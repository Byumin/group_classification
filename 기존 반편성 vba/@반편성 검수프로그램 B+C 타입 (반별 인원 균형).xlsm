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70ED5C24-A1A2-4128-89F2-A57ED06E65D4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설명" sheetId="63" r:id="rId1"/>
    <sheet name="사용방법" sheetId="62" r:id="rId2"/>
    <sheet name="이름 일치" sheetId="1" r:id="rId3"/>
    <sheet name="통합-정리전" sheetId="49" r:id="rId4"/>
    <sheet name="임시반번호순" sheetId="50" r:id="rId5"/>
  </sheets>
  <definedNames>
    <definedName name="_xlnm._FilterDatabase" localSheetId="2" hidden="1">'이름 일치'!$O$22:$P$501</definedName>
    <definedName name="_xlnm._FilterDatabase" localSheetId="4" hidden="1">임시반번호순!$A$25:$AE$25</definedName>
    <definedName name="_xlnm.Print_Titles" localSheetId="4">임시반번호순!$25:$25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1" i="50" l="1"/>
  <c r="F20" i="50"/>
  <c r="F19" i="50"/>
  <c r="F18" i="50"/>
  <c r="F17" i="50"/>
  <c r="F16" i="50"/>
  <c r="F15" i="50"/>
  <c r="F14" i="50"/>
  <c r="F13" i="50"/>
  <c r="F12" i="50"/>
  <c r="F11" i="50"/>
  <c r="F10" i="50"/>
  <c r="F9" i="50"/>
  <c r="F8" i="50"/>
  <c r="F7" i="50"/>
  <c r="F6" i="50"/>
  <c r="F5" i="50"/>
  <c r="F4" i="50"/>
  <c r="F3" i="50"/>
  <c r="F2" i="50"/>
  <c r="G2" i="50"/>
  <c r="S3" i="1"/>
  <c r="R3" i="1"/>
  <c r="P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3" i="1"/>
  <c r="G4" i="1" l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3" i="1"/>
  <c r="D16" i="50" l="1"/>
  <c r="H16" i="50"/>
  <c r="D17" i="50"/>
  <c r="C16" i="50"/>
  <c r="C17" i="50"/>
  <c r="C18" i="50"/>
  <c r="C19" i="50"/>
  <c r="A21" i="50"/>
  <c r="C21" i="50" s="1"/>
  <c r="A20" i="50"/>
  <c r="C20" i="50" s="1"/>
  <c r="A19" i="50"/>
  <c r="D19" i="50" s="1"/>
  <c r="A18" i="50"/>
  <c r="D18" i="50" s="1"/>
  <c r="A17" i="50"/>
  <c r="H17" i="50" s="1"/>
  <c r="A16" i="50"/>
  <c r="B16" i="50" s="1"/>
  <c r="E16" i="50" s="1"/>
  <c r="A15" i="50"/>
  <c r="H15" i="50" s="1"/>
  <c r="A14" i="50"/>
  <c r="H14" i="50" s="1"/>
  <c r="A13" i="50"/>
  <c r="H13" i="50" s="1"/>
  <c r="A12" i="50"/>
  <c r="B12" i="50" s="1"/>
  <c r="E12" i="50" s="1"/>
  <c r="A11" i="50"/>
  <c r="B11" i="50" s="1"/>
  <c r="E11" i="50" s="1"/>
  <c r="A10" i="50"/>
  <c r="D10" i="50" s="1"/>
  <c r="G11" i="50" l="1"/>
  <c r="G12" i="50"/>
  <c r="C14" i="50"/>
  <c r="C13" i="50"/>
  <c r="H21" i="50"/>
  <c r="C12" i="50"/>
  <c r="D15" i="50"/>
  <c r="D14" i="50"/>
  <c r="C11" i="50"/>
  <c r="D21" i="50"/>
  <c r="B21" i="50"/>
  <c r="E21" i="50" s="1"/>
  <c r="H20" i="50"/>
  <c r="B20" i="50"/>
  <c r="E20" i="50" s="1"/>
  <c r="D13" i="50"/>
  <c r="B19" i="50"/>
  <c r="E19" i="50" s="1"/>
  <c r="H12" i="50"/>
  <c r="B18" i="50"/>
  <c r="E18" i="50" s="1"/>
  <c r="D20" i="50"/>
  <c r="B17" i="50"/>
  <c r="E17" i="50" s="1"/>
  <c r="H19" i="50"/>
  <c r="D12" i="50"/>
  <c r="B15" i="50"/>
  <c r="E15" i="50" s="1"/>
  <c r="H11" i="50"/>
  <c r="B14" i="50"/>
  <c r="E14" i="50" s="1"/>
  <c r="B13" i="50"/>
  <c r="E13" i="50" s="1"/>
  <c r="H18" i="50"/>
  <c r="D11" i="50"/>
  <c r="H10" i="50"/>
  <c r="C15" i="50"/>
  <c r="C10" i="50"/>
  <c r="B10" i="50"/>
  <c r="E10" i="50" s="1"/>
  <c r="G16" i="50"/>
  <c r="G10" i="50"/>
  <c r="A9" i="50"/>
  <c r="A8" i="50"/>
  <c r="A7" i="50"/>
  <c r="A6" i="50"/>
  <c r="A5" i="50"/>
  <c r="A4" i="50"/>
  <c r="A3" i="50"/>
  <c r="T6" i="1"/>
  <c r="G13" i="50" l="1"/>
  <c r="G19" i="50"/>
  <c r="G14" i="50"/>
  <c r="G15" i="50"/>
  <c r="G18" i="50"/>
  <c r="G17" i="50"/>
  <c r="G20" i="50"/>
  <c r="G21" i="50"/>
  <c r="T5" i="1"/>
  <c r="H5" i="50"/>
  <c r="H4" i="50"/>
  <c r="H9" i="50"/>
  <c r="H8" i="50"/>
  <c r="H7" i="50"/>
  <c r="H6" i="50"/>
  <c r="H3" i="50"/>
  <c r="A2" i="50"/>
  <c r="H2" i="50" l="1"/>
  <c r="H22" i="50" s="1"/>
  <c r="H23" i="50"/>
  <c r="T3" i="1"/>
  <c r="R4" i="1"/>
  <c r="S4" i="1"/>
  <c r="L500" i="1" l="1"/>
  <c r="L498" i="1"/>
  <c r="L496" i="1"/>
  <c r="L495" i="1"/>
  <c r="L493" i="1"/>
  <c r="L491" i="1"/>
  <c r="L489" i="1"/>
  <c r="L487" i="1"/>
  <c r="L485" i="1"/>
  <c r="L483" i="1"/>
  <c r="L482" i="1"/>
  <c r="L501" i="1"/>
  <c r="L499" i="1"/>
  <c r="L497" i="1"/>
  <c r="L494" i="1"/>
  <c r="L492" i="1"/>
  <c r="L490" i="1"/>
  <c r="L488" i="1"/>
  <c r="L486" i="1"/>
  <c r="L484" i="1"/>
  <c r="L481" i="1"/>
  <c r="L480" i="1"/>
  <c r="L479" i="1"/>
  <c r="L478" i="1"/>
  <c r="L477" i="1"/>
  <c r="L476" i="1"/>
  <c r="L475" i="1"/>
  <c r="L474" i="1"/>
  <c r="L473" i="1"/>
  <c r="L472" i="1"/>
  <c r="L471" i="1"/>
  <c r="L470" i="1"/>
  <c r="L469" i="1"/>
  <c r="L468" i="1"/>
  <c r="L467" i="1"/>
  <c r="L466" i="1"/>
  <c r="L465" i="1"/>
  <c r="L464" i="1"/>
  <c r="L463" i="1"/>
  <c r="L462" i="1"/>
  <c r="L461" i="1"/>
  <c r="L460" i="1"/>
  <c r="L459" i="1"/>
  <c r="L458" i="1"/>
  <c r="L457" i="1"/>
  <c r="L456" i="1"/>
  <c r="L455" i="1"/>
  <c r="L454" i="1"/>
  <c r="L453" i="1"/>
  <c r="L452" i="1"/>
  <c r="L451" i="1"/>
  <c r="L450" i="1"/>
  <c r="L449" i="1"/>
  <c r="L448" i="1"/>
  <c r="L447" i="1"/>
  <c r="L446" i="1"/>
  <c r="L445" i="1"/>
  <c r="L444" i="1"/>
  <c r="L443" i="1"/>
  <c r="L442" i="1"/>
  <c r="L441" i="1"/>
  <c r="L440" i="1"/>
  <c r="L439" i="1"/>
  <c r="L438" i="1"/>
  <c r="L437" i="1"/>
  <c r="L436" i="1"/>
  <c r="L435" i="1"/>
  <c r="L434" i="1"/>
  <c r="L433" i="1"/>
  <c r="L432" i="1"/>
  <c r="L431" i="1"/>
  <c r="L430" i="1"/>
  <c r="L429" i="1"/>
  <c r="L428" i="1"/>
  <c r="L427" i="1"/>
  <c r="L426" i="1"/>
  <c r="L425" i="1"/>
  <c r="L424" i="1"/>
  <c r="L423" i="1"/>
  <c r="L422" i="1"/>
  <c r="L421" i="1"/>
  <c r="L420" i="1"/>
  <c r="L419" i="1"/>
  <c r="L418" i="1"/>
  <c r="L417" i="1"/>
  <c r="L416" i="1"/>
  <c r="L415" i="1"/>
  <c r="L414" i="1"/>
  <c r="L413" i="1"/>
  <c r="L412" i="1"/>
  <c r="L411" i="1"/>
  <c r="L410" i="1"/>
  <c r="L409" i="1"/>
  <c r="L408" i="1"/>
  <c r="L407" i="1"/>
  <c r="L406" i="1"/>
  <c r="L405" i="1"/>
  <c r="L404" i="1"/>
  <c r="L403" i="1"/>
  <c r="L402" i="1"/>
  <c r="L401" i="1"/>
  <c r="L400" i="1"/>
  <c r="L399" i="1"/>
  <c r="L398" i="1"/>
  <c r="L397" i="1"/>
  <c r="L396" i="1"/>
  <c r="L395" i="1"/>
  <c r="L394" i="1"/>
  <c r="L393" i="1"/>
  <c r="L392" i="1"/>
  <c r="L391" i="1"/>
  <c r="L390" i="1"/>
  <c r="L389" i="1"/>
  <c r="L388" i="1"/>
  <c r="L387" i="1"/>
  <c r="L386" i="1"/>
  <c r="L385" i="1"/>
  <c r="L384" i="1"/>
  <c r="L383" i="1"/>
  <c r="L382" i="1"/>
  <c r="L381" i="1"/>
  <c r="L380" i="1"/>
  <c r="L379" i="1"/>
  <c r="L378" i="1"/>
  <c r="L377" i="1"/>
  <c r="L376" i="1"/>
  <c r="L375" i="1"/>
  <c r="L374" i="1"/>
  <c r="L373" i="1"/>
  <c r="L372" i="1"/>
  <c r="L371" i="1"/>
  <c r="L370" i="1"/>
  <c r="L369" i="1"/>
  <c r="L368" i="1"/>
  <c r="L367" i="1"/>
  <c r="L366" i="1"/>
  <c r="L365" i="1"/>
  <c r="L364" i="1"/>
  <c r="L363" i="1"/>
  <c r="L362" i="1"/>
  <c r="L361" i="1"/>
  <c r="L360" i="1"/>
  <c r="L359" i="1"/>
  <c r="L358" i="1"/>
  <c r="L357" i="1"/>
  <c r="L356" i="1"/>
  <c r="L355" i="1"/>
  <c r="L354" i="1"/>
  <c r="L353" i="1"/>
  <c r="L352" i="1"/>
  <c r="L351" i="1"/>
  <c r="L350" i="1"/>
  <c r="L349" i="1"/>
  <c r="L348" i="1"/>
  <c r="L347" i="1"/>
  <c r="L346" i="1"/>
  <c r="L345" i="1"/>
  <c r="L344" i="1"/>
  <c r="L343" i="1"/>
  <c r="L342" i="1"/>
  <c r="L341" i="1"/>
  <c r="L340" i="1"/>
  <c r="L339" i="1"/>
  <c r="L338" i="1"/>
  <c r="L337" i="1"/>
  <c r="L336" i="1"/>
  <c r="L335" i="1"/>
  <c r="L334" i="1"/>
  <c r="L333" i="1"/>
  <c r="L332" i="1"/>
  <c r="L331" i="1"/>
  <c r="L330" i="1"/>
  <c r="L329" i="1"/>
  <c r="L328" i="1"/>
  <c r="L327" i="1"/>
  <c r="L326" i="1"/>
  <c r="L325" i="1"/>
  <c r="L324" i="1"/>
  <c r="L323" i="1"/>
  <c r="L322" i="1"/>
  <c r="L321" i="1"/>
  <c r="L320" i="1"/>
  <c r="L319" i="1"/>
  <c r="L318" i="1"/>
  <c r="L317" i="1"/>
  <c r="L316" i="1"/>
  <c r="L315" i="1"/>
  <c r="L314" i="1"/>
  <c r="L313" i="1"/>
  <c r="L312" i="1"/>
  <c r="L311" i="1"/>
  <c r="L310" i="1"/>
  <c r="L309" i="1"/>
  <c r="L308" i="1"/>
  <c r="L307" i="1"/>
  <c r="L306" i="1"/>
  <c r="L305" i="1"/>
  <c r="L304" i="1"/>
  <c r="L303" i="1"/>
  <c r="L302" i="1"/>
  <c r="L301" i="1"/>
  <c r="L300" i="1"/>
  <c r="L299" i="1"/>
  <c r="L298" i="1"/>
  <c r="L297" i="1"/>
  <c r="L296" i="1"/>
  <c r="L295" i="1"/>
  <c r="L294" i="1"/>
  <c r="L293" i="1"/>
  <c r="L292" i="1"/>
  <c r="L291" i="1"/>
  <c r="L290" i="1"/>
  <c r="L289" i="1"/>
  <c r="L288" i="1"/>
  <c r="L287" i="1"/>
  <c r="L286" i="1"/>
  <c r="L285" i="1"/>
  <c r="L284" i="1"/>
  <c r="L283" i="1"/>
  <c r="L282" i="1"/>
  <c r="L281" i="1"/>
  <c r="L280" i="1"/>
  <c r="L279" i="1"/>
  <c r="L278" i="1"/>
  <c r="L277" i="1"/>
  <c r="L276" i="1"/>
  <c r="L275" i="1"/>
  <c r="L274" i="1"/>
  <c r="L273" i="1"/>
  <c r="L272" i="1"/>
  <c r="L271" i="1"/>
  <c r="L270" i="1"/>
  <c r="L269" i="1"/>
  <c r="L268" i="1"/>
  <c r="L267" i="1"/>
  <c r="L266" i="1"/>
  <c r="L265" i="1"/>
  <c r="L264" i="1"/>
  <c r="L263" i="1"/>
  <c r="L262" i="1"/>
  <c r="L3" i="1" l="1"/>
  <c r="L22" i="1"/>
  <c r="L20" i="1"/>
  <c r="L18" i="1"/>
  <c r="L16" i="1"/>
  <c r="L14" i="1"/>
  <c r="L12" i="1"/>
  <c r="L10" i="1"/>
  <c r="L8" i="1"/>
  <c r="L6" i="1"/>
  <c r="L4" i="1"/>
  <c r="L21" i="1"/>
  <c r="L19" i="1"/>
  <c r="L17" i="1"/>
  <c r="L15" i="1"/>
  <c r="L13" i="1"/>
  <c r="L11" i="1"/>
  <c r="L9" i="1"/>
  <c r="L7" i="1"/>
  <c r="L5" i="1"/>
  <c r="L88" i="1"/>
  <c r="L260" i="1"/>
  <c r="L258" i="1"/>
  <c r="L256" i="1"/>
  <c r="L254" i="1"/>
  <c r="L252" i="1"/>
  <c r="L250" i="1"/>
  <c r="L248" i="1"/>
  <c r="L246" i="1"/>
  <c r="L244" i="1"/>
  <c r="L242" i="1"/>
  <c r="L240" i="1"/>
  <c r="L238" i="1"/>
  <c r="L236" i="1"/>
  <c r="L234" i="1"/>
  <c r="L232" i="1"/>
  <c r="L230" i="1"/>
  <c r="L228" i="1"/>
  <c r="L226" i="1"/>
  <c r="L224" i="1"/>
  <c r="L222" i="1"/>
  <c r="L220" i="1"/>
  <c r="L218" i="1"/>
  <c r="L216" i="1"/>
  <c r="L214" i="1"/>
  <c r="L212" i="1"/>
  <c r="L210" i="1"/>
  <c r="L208" i="1"/>
  <c r="L206" i="1"/>
  <c r="L204" i="1"/>
  <c r="L202" i="1"/>
  <c r="L200" i="1"/>
  <c r="L198" i="1"/>
  <c r="L196" i="1"/>
  <c r="L194" i="1"/>
  <c r="L192" i="1"/>
  <c r="L190" i="1"/>
  <c r="L188" i="1"/>
  <c r="L186" i="1"/>
  <c r="L184" i="1"/>
  <c r="L182" i="1"/>
  <c r="L180" i="1"/>
  <c r="L178" i="1"/>
  <c r="L176" i="1"/>
  <c r="L174" i="1"/>
  <c r="L172" i="1"/>
  <c r="L170" i="1"/>
  <c r="L168" i="1"/>
  <c r="L166" i="1"/>
  <c r="L164" i="1"/>
  <c r="L162" i="1"/>
  <c r="L160" i="1"/>
  <c r="L158" i="1"/>
  <c r="L156" i="1"/>
  <c r="L154" i="1"/>
  <c r="L152" i="1"/>
  <c r="L150" i="1"/>
  <c r="L148" i="1"/>
  <c r="L146" i="1"/>
  <c r="L144" i="1"/>
  <c r="L142" i="1"/>
  <c r="L140" i="1"/>
  <c r="L138" i="1"/>
  <c r="L136" i="1"/>
  <c r="L134" i="1"/>
  <c r="L132" i="1"/>
  <c r="L130" i="1"/>
  <c r="L128" i="1"/>
  <c r="L126" i="1"/>
  <c r="L124" i="1"/>
  <c r="L122" i="1"/>
  <c r="L120" i="1"/>
  <c r="L118" i="1"/>
  <c r="L116" i="1"/>
  <c r="L114" i="1"/>
  <c r="L112" i="1"/>
  <c r="L110" i="1"/>
  <c r="L108" i="1"/>
  <c r="L106" i="1"/>
  <c r="L104" i="1"/>
  <c r="L102" i="1"/>
  <c r="L100" i="1"/>
  <c r="L98" i="1"/>
  <c r="L96" i="1"/>
  <c r="L94" i="1"/>
  <c r="L92" i="1"/>
  <c r="L90" i="1"/>
  <c r="L86" i="1"/>
  <c r="L84" i="1"/>
  <c r="L82" i="1"/>
  <c r="L80" i="1"/>
  <c r="L78" i="1"/>
  <c r="L76" i="1"/>
  <c r="L74" i="1"/>
  <c r="L72" i="1"/>
  <c r="L70" i="1"/>
  <c r="L68" i="1"/>
  <c r="L66" i="1"/>
  <c r="L64" i="1"/>
  <c r="L62" i="1"/>
  <c r="L60" i="1"/>
  <c r="L58" i="1"/>
  <c r="L56" i="1"/>
  <c r="L54" i="1"/>
  <c r="L52" i="1"/>
  <c r="L50" i="1"/>
  <c r="L48" i="1"/>
  <c r="L46" i="1"/>
  <c r="L44" i="1"/>
  <c r="L42" i="1"/>
  <c r="L40" i="1"/>
  <c r="L38" i="1"/>
  <c r="L36" i="1"/>
  <c r="L34" i="1"/>
  <c r="L32" i="1"/>
  <c r="L30" i="1"/>
  <c r="L28" i="1"/>
  <c r="L26" i="1"/>
  <c r="L24" i="1"/>
  <c r="L261" i="1"/>
  <c r="L259" i="1"/>
  <c r="L257" i="1"/>
  <c r="L255" i="1"/>
  <c r="L253" i="1"/>
  <c r="L251" i="1"/>
  <c r="L249" i="1"/>
  <c r="L247" i="1"/>
  <c r="L245" i="1"/>
  <c r="L243" i="1"/>
  <c r="L241" i="1"/>
  <c r="L239" i="1"/>
  <c r="L237" i="1"/>
  <c r="L235" i="1"/>
  <c r="L233" i="1"/>
  <c r="L231" i="1"/>
  <c r="L229" i="1"/>
  <c r="L227" i="1"/>
  <c r="L225" i="1"/>
  <c r="L223" i="1"/>
  <c r="L221" i="1"/>
  <c r="L219" i="1"/>
  <c r="L217" i="1"/>
  <c r="L215" i="1"/>
  <c r="L213" i="1"/>
  <c r="L211" i="1"/>
  <c r="L209" i="1"/>
  <c r="L207" i="1"/>
  <c r="L205" i="1"/>
  <c r="L203" i="1"/>
  <c r="L201" i="1"/>
  <c r="L199" i="1"/>
  <c r="L197" i="1"/>
  <c r="L195" i="1"/>
  <c r="L193" i="1"/>
  <c r="L191" i="1"/>
  <c r="L189" i="1"/>
  <c r="L187" i="1"/>
  <c r="L185" i="1"/>
  <c r="L183" i="1"/>
  <c r="L181" i="1"/>
  <c r="L179" i="1"/>
  <c r="L177" i="1"/>
  <c r="L175" i="1"/>
  <c r="L173" i="1"/>
  <c r="L171" i="1"/>
  <c r="L169" i="1"/>
  <c r="L167" i="1"/>
  <c r="L165" i="1"/>
  <c r="L163" i="1"/>
  <c r="L161" i="1"/>
  <c r="L159" i="1"/>
  <c r="L157" i="1"/>
  <c r="L155" i="1"/>
  <c r="L153" i="1"/>
  <c r="L151" i="1"/>
  <c r="L149" i="1"/>
  <c r="L147" i="1"/>
  <c r="L145" i="1"/>
  <c r="L143" i="1"/>
  <c r="L141" i="1"/>
  <c r="L139" i="1"/>
  <c r="L137" i="1"/>
  <c r="L135" i="1"/>
  <c r="L133" i="1"/>
  <c r="L131" i="1"/>
  <c r="L129" i="1"/>
  <c r="L127" i="1"/>
  <c r="L125" i="1"/>
  <c r="L123" i="1"/>
  <c r="L121" i="1"/>
  <c r="L119" i="1"/>
  <c r="L117" i="1"/>
  <c r="L115" i="1"/>
  <c r="L113" i="1"/>
  <c r="L111" i="1"/>
  <c r="L109" i="1"/>
  <c r="L107" i="1"/>
  <c r="L105" i="1"/>
  <c r="L103" i="1"/>
  <c r="L101" i="1"/>
  <c r="L99" i="1"/>
  <c r="L97" i="1"/>
  <c r="L95" i="1"/>
  <c r="L93" i="1"/>
  <c r="L91" i="1"/>
  <c r="L89" i="1"/>
  <c r="L87" i="1"/>
  <c r="L85" i="1"/>
  <c r="L83" i="1"/>
  <c r="L81" i="1"/>
  <c r="L79" i="1"/>
  <c r="L77" i="1"/>
  <c r="L75" i="1"/>
  <c r="L73" i="1"/>
  <c r="L71" i="1"/>
  <c r="L69" i="1"/>
  <c r="L67" i="1"/>
  <c r="L65" i="1"/>
  <c r="L63" i="1"/>
  <c r="L61" i="1"/>
  <c r="L59" i="1"/>
  <c r="L57" i="1"/>
  <c r="L55" i="1"/>
  <c r="L53" i="1"/>
  <c r="L51" i="1"/>
  <c r="L49" i="1"/>
  <c r="L47" i="1"/>
  <c r="L45" i="1"/>
  <c r="L43" i="1"/>
  <c r="L41" i="1"/>
  <c r="L39" i="1"/>
  <c r="L37" i="1"/>
  <c r="L35" i="1"/>
  <c r="L33" i="1"/>
  <c r="L31" i="1"/>
  <c r="L29" i="1"/>
  <c r="L27" i="1"/>
  <c r="L25" i="1"/>
  <c r="L23" i="1"/>
  <c r="B2" i="50" l="1"/>
  <c r="E2" i="50" s="1"/>
  <c r="C2" i="50"/>
  <c r="D2" i="50"/>
  <c r="B3" i="50" l="1"/>
  <c r="E3" i="50" s="1"/>
  <c r="C3" i="50"/>
  <c r="D3" i="50"/>
  <c r="B4" i="50"/>
  <c r="E4" i="50" s="1"/>
  <c r="C4" i="50"/>
  <c r="D4" i="50"/>
  <c r="B5" i="50"/>
  <c r="E5" i="50" s="1"/>
  <c r="C5" i="50"/>
  <c r="D5" i="50"/>
  <c r="B6" i="50"/>
  <c r="E6" i="50" s="1"/>
  <c r="C6" i="50"/>
  <c r="D6" i="50"/>
  <c r="B7" i="50"/>
  <c r="E7" i="50" s="1"/>
  <c r="C7" i="50"/>
  <c r="D7" i="50"/>
  <c r="B8" i="50"/>
  <c r="E8" i="50" s="1"/>
  <c r="C8" i="50"/>
  <c r="D8" i="50"/>
  <c r="B9" i="50"/>
  <c r="E9" i="50" s="1"/>
  <c r="C9" i="50"/>
  <c r="D9" i="50"/>
  <c r="F22" i="50" l="1"/>
  <c r="E22" i="50"/>
  <c r="E23" i="50"/>
  <c r="G3" i="50"/>
  <c r="G22" i="50" s="1"/>
  <c r="G9" i="50"/>
  <c r="G7" i="50"/>
  <c r="G5" i="50"/>
  <c r="G8" i="50"/>
  <c r="G6" i="50"/>
  <c r="G4" i="50"/>
  <c r="G23" i="50" l="1"/>
  <c r="F23" i="50"/>
</calcChain>
</file>

<file path=xl/sharedStrings.xml><?xml version="1.0" encoding="utf-8"?>
<sst xmlns="http://schemas.openxmlformats.org/spreadsheetml/2006/main" count="681" uniqueCount="180">
  <si>
    <t>학년반번호</t>
  </si>
  <si>
    <t>B 인성</t>
    <phoneticPr fontId="3" type="noConversion"/>
  </si>
  <si>
    <t>일치 결과</t>
    <phoneticPr fontId="3" type="noConversion"/>
  </si>
  <si>
    <t>동명이인</t>
    <phoneticPr fontId="3" type="noConversion"/>
  </si>
  <si>
    <t>이름</t>
  </si>
  <si>
    <t>비고</t>
    <phoneticPr fontId="3" type="noConversion"/>
  </si>
  <si>
    <t>전체인원수</t>
    <phoneticPr fontId="3" type="noConversion"/>
  </si>
  <si>
    <t>남</t>
    <phoneticPr fontId="3" type="noConversion"/>
  </si>
  <si>
    <t>여</t>
    <phoneticPr fontId="3" type="noConversion"/>
  </si>
  <si>
    <t>이름</t>
    <phoneticPr fontId="3" type="noConversion"/>
  </si>
  <si>
    <t>명이인</t>
  </si>
  <si>
    <t>성+이름</t>
    <phoneticPr fontId="3" type="noConversion"/>
  </si>
  <si>
    <t>학교명</t>
  </si>
  <si>
    <t>성별</t>
  </si>
  <si>
    <t>T점수 평균</t>
  </si>
  <si>
    <t>외향성</t>
  </si>
  <si>
    <t>개방성</t>
  </si>
  <si>
    <t>친화성</t>
  </si>
  <si>
    <t>성실성</t>
  </si>
  <si>
    <t>신경증</t>
  </si>
  <si>
    <t>대인관계 좋음</t>
  </si>
  <si>
    <t>대인관계 힘듬</t>
  </si>
  <si>
    <t>소수의 깊은 친밀감</t>
  </si>
  <si>
    <t>매우 행복</t>
  </si>
  <si>
    <t>매우 불행</t>
  </si>
  <si>
    <t>자긍심 낮음</t>
  </si>
  <si>
    <t>사회적 고립</t>
  </si>
  <si>
    <t>심리적 충격</t>
  </si>
  <si>
    <t>폭력 경향성</t>
  </si>
  <si>
    <t>반사회적 성향</t>
  </si>
  <si>
    <t>매우 심한 우울증</t>
  </si>
  <si>
    <t>ADHD 가능성</t>
  </si>
  <si>
    <t>*붙여넣기</t>
    <phoneticPr fontId="3" type="noConversion"/>
  </si>
  <si>
    <t>*일치하지 않으면 999</t>
    <phoneticPr fontId="3" type="noConversion"/>
  </si>
  <si>
    <t>*동명이인일 때 빨간색 셀-&gt;</t>
    <phoneticPr fontId="3" type="noConversion"/>
  </si>
  <si>
    <t>한 반 인원</t>
    <phoneticPr fontId="3" type="noConversion"/>
  </si>
  <si>
    <t>상담여부</t>
  </si>
  <si>
    <t>대인관계/학업생활 만족</t>
  </si>
  <si>
    <t>사회성</t>
  </si>
  <si>
    <t>지배성</t>
  </si>
  <si>
    <t>자극추구</t>
  </si>
  <si>
    <t>창의성</t>
  </si>
  <si>
    <t>정서성</t>
  </si>
  <si>
    <t>사고유연성</t>
  </si>
  <si>
    <t>온정성</t>
  </si>
  <si>
    <t>신뢰성</t>
  </si>
  <si>
    <t>관용성</t>
  </si>
  <si>
    <t>유능감</t>
  </si>
  <si>
    <t>조직성</t>
  </si>
  <si>
    <t>책임감</t>
  </si>
  <si>
    <t>불안</t>
  </si>
  <si>
    <t>적대감</t>
  </si>
  <si>
    <t>우울</t>
  </si>
  <si>
    <t>충동성</t>
  </si>
  <si>
    <t>사회적위축</t>
  </si>
  <si>
    <t>정서충격</t>
  </si>
  <si>
    <t>비고</t>
  </si>
  <si>
    <t>신규반</t>
  </si>
  <si>
    <t>신규번호</t>
  </si>
  <si>
    <t>로우데이터 불러오기</t>
    <phoneticPr fontId="3" type="noConversion"/>
  </si>
  <si>
    <t>반</t>
    <phoneticPr fontId="3" type="noConversion"/>
  </si>
  <si>
    <t>성비</t>
    <phoneticPr fontId="3" type="noConversion"/>
  </si>
  <si>
    <t>전체</t>
    <phoneticPr fontId="3" type="noConversion"/>
  </si>
  <si>
    <t>상담여부</t>
    <phoneticPr fontId="3" type="noConversion"/>
  </si>
  <si>
    <t>어휘적용력 T</t>
  </si>
  <si>
    <t>어휘적용력 P</t>
  </si>
  <si>
    <t>어휘적용력 수준</t>
  </si>
  <si>
    <t>언어유추력 T</t>
  </si>
  <si>
    <t>언어유추력 P</t>
  </si>
  <si>
    <t>언어유추력 수준</t>
  </si>
  <si>
    <t>도식화능력 T</t>
  </si>
  <si>
    <t>도식화능력 P</t>
  </si>
  <si>
    <t>도식화능력 수준</t>
  </si>
  <si>
    <t>수리력 T</t>
  </si>
  <si>
    <t>수리력 P</t>
  </si>
  <si>
    <t>수리력 수준</t>
  </si>
  <si>
    <t>공간지각력 T</t>
  </si>
  <si>
    <t>공간지각력 P</t>
  </si>
  <si>
    <t>공간지각력 수준</t>
  </si>
  <si>
    <t>추리력 T</t>
  </si>
  <si>
    <t>추리력 P</t>
  </si>
  <si>
    <t>추리력 수준</t>
  </si>
  <si>
    <t>대인관계/학업생활 만족</t>
    <phoneticPr fontId="3" type="noConversion"/>
  </si>
  <si>
    <t>무응답</t>
  </si>
  <si>
    <t>반응일관성</t>
  </si>
  <si>
    <t>반응성실성</t>
  </si>
  <si>
    <t/>
  </si>
  <si>
    <t>남자 반</t>
    <phoneticPr fontId="3" type="noConversion"/>
  </si>
  <si>
    <t>여자 반</t>
    <phoneticPr fontId="3" type="noConversion"/>
  </si>
  <si>
    <t>남녀 합반</t>
    <phoneticPr fontId="3" type="noConversion"/>
  </si>
  <si>
    <t>남녀 분반</t>
    <phoneticPr fontId="3" type="noConversion"/>
  </si>
  <si>
    <t>학교 양식 시트나눔</t>
    <phoneticPr fontId="3" type="noConversion"/>
  </si>
  <si>
    <t>★ 검수 ★</t>
    <phoneticPr fontId="3" type="noConversion"/>
  </si>
  <si>
    <t>1 )로우데이터 불러오기</t>
    <phoneticPr fontId="3" type="noConversion"/>
  </si>
  <si>
    <t xml:space="preserve"> - 폴더 내 로우데이터만 있어야함</t>
    <phoneticPr fontId="3" type="noConversion"/>
  </si>
  <si>
    <t>2) 이름확인 - 비고작성</t>
    <phoneticPr fontId="3" type="noConversion"/>
  </si>
  <si>
    <t xml:space="preserve"> - 종합, 능력&amp;인성 선택</t>
    <phoneticPr fontId="3" type="noConversion"/>
  </si>
  <si>
    <t xml:space="preserve">    누락된 학생 확인 -&gt; 누락된 검사 같은 위치에 빈 행 삽입해줘야함!</t>
    <phoneticPr fontId="3" type="noConversion"/>
  </si>
  <si>
    <t>3) 정렬 &amp; 저장</t>
    <phoneticPr fontId="3" type="noConversion"/>
  </si>
  <si>
    <t xml:space="preserve"> - 종합, 능력, 인성 선택</t>
    <phoneticPr fontId="3" type="noConversion"/>
  </si>
  <si>
    <t>4) 반 입력 매크로</t>
    <phoneticPr fontId="3" type="noConversion"/>
  </si>
  <si>
    <t xml:space="preserve"> - 남녀 합반, 분반 선택</t>
    <phoneticPr fontId="3" type="noConversion"/>
  </si>
  <si>
    <t>5)  검수 ★</t>
    <phoneticPr fontId="3" type="noConversion"/>
  </si>
  <si>
    <t>6) 학교 양식 시트나눔</t>
    <phoneticPr fontId="3" type="noConversion"/>
  </si>
  <si>
    <t>합반 →</t>
    <phoneticPr fontId="3" type="noConversion"/>
  </si>
  <si>
    <t>분반 →</t>
    <phoneticPr fontId="3" type="noConversion"/>
  </si>
  <si>
    <t>전체 반 수</t>
    <phoneticPr fontId="3" type="noConversion"/>
  </si>
  <si>
    <t xml:space="preserve"> - 인원 수 및 이름 확인</t>
    <phoneticPr fontId="3" type="noConversion"/>
  </si>
  <si>
    <t xml:space="preserve">    ( 오류 시 '이름일치' 탭 반 수 입력되어 있는지 확인! )</t>
    <phoneticPr fontId="3" type="noConversion"/>
  </si>
  <si>
    <r>
      <t xml:space="preserve">* 분반 오류 시 </t>
    </r>
    <r>
      <rPr>
        <b/>
        <sz val="11"/>
        <color rgb="FFFF0000"/>
        <rFont val="맑은 고딕"/>
        <family val="3"/>
        <charset val="129"/>
        <scheme val="minor"/>
      </rPr>
      <t>반 수</t>
    </r>
    <r>
      <rPr>
        <sz val="11"/>
        <color rgb="FFFF0000"/>
        <rFont val="맑은 고딕"/>
        <family val="2"/>
        <charset val="129"/>
        <scheme val="minor"/>
      </rPr>
      <t xml:space="preserve"> 입력했는지 확인</t>
    </r>
    <phoneticPr fontId="3" type="noConversion"/>
  </si>
  <si>
    <t xml:space="preserve">    ( '학교명_반편성'으로 자동저장 )</t>
  </si>
  <si>
    <t xml:space="preserve"> - '통합 - 정리 전' 시트 : 리딩된 로우데이터 값 보존 </t>
  </si>
  <si>
    <t xml:space="preserve"> - '통합 - 정리 전(2)' 시트 : 학교에 보낼 하위척도 정리 (임시반번호순 복사용) </t>
    <phoneticPr fontId="3" type="noConversion"/>
  </si>
  <si>
    <t xml:space="preserve">    ( 수기로 분배 필요 / 분배 후 검수 )</t>
  </si>
  <si>
    <t xml:space="preserve"> - 학교에 보낼 파일로 정리</t>
    <phoneticPr fontId="3" type="noConversion"/>
  </si>
  <si>
    <t xml:space="preserve">    ( 기존반번호순, 임시반번호순, 각반별 시트로 정리 )</t>
    <phoneticPr fontId="3" type="noConversion"/>
  </si>
  <si>
    <t>※ 무응답 수가 많으면 음수값 결과, 신경증 점수 상승, 상담여부 체크 등 신뢰롭지 못한 검사결과가 산출될 수 있으므로 해석에 유의하시기 바랍니다.</t>
    <phoneticPr fontId="3" type="noConversion"/>
  </si>
  <si>
    <t xml:space="preserve"> 신경증 척도중(불안/적대감/우울/충동성/사회적위축/정서충격)이 타 학생들에 비해 요인이 높거나 낮은 학생들로 구성되었습니다.</t>
    <phoneticPr fontId="3" type="noConversion"/>
  </si>
  <si>
    <t>※ 상담 대상군에 속한 학생의 근거치는 5요인(외향성,개방성,친화성,성실성,신경증)을 포함하여</t>
    <phoneticPr fontId="3" type="noConversion"/>
  </si>
  <si>
    <t>단순히 본 결과를 누설하거나 전문적 상담절차 없이 본인에게 잘못 전달하여 심리적인 큰 상처를 주지 않도록 해야 합니다.</t>
  </si>
  <si>
    <t>검사 결과에 따른 상담 대상은 하나의 가능성일 뿐이며, 검사자의 개인적 성장을 위하여 상담을 권장하기 위한 것입니다.</t>
    <phoneticPr fontId="3" type="noConversion"/>
  </si>
  <si>
    <r>
      <t> &lt;</t>
    </r>
    <r>
      <rPr>
        <b/>
        <sz val="10"/>
        <color rgb="FF000000"/>
        <rFont val="맑은 고딕"/>
        <family val="3"/>
        <charset val="129"/>
      </rPr>
      <t>잠재능력진단검사 B형(인성) 검사 해석 시 유의사항&gt;</t>
    </r>
    <phoneticPr fontId="3" type="noConversion"/>
  </si>
  <si>
    <t>예를 들어, 하위검사의 T점수가 60점인 경우 해당 영역의 능력을 ‘해당영역 60점’으로 해석하기 보다는 ‘보통상’에 속해있다고 해석하는 것이 검사의 결과를 이해하는 데 더 적절합니다.</t>
    <phoneticPr fontId="3" type="noConversion"/>
  </si>
  <si>
    <t>시간이 지남에 따라 상당한 변화와 발달이 발생한다는 점에서 볼 때, 검사에서 얻은 점수는 전체 영역의 단일점수로서보다는 각 하위검사의 점수대 즉, 수준으로서 해석하는 것이 좋습니다. </t>
    <phoneticPr fontId="3" type="noConversion"/>
  </si>
  <si>
    <t xml:space="preserve">※ T점수: 평균이 50, 표준편차가 10인 표준점수로써 50점을 기준으로 이보다 위의 점수는 평균점보다 높고, 아래의 점수는 평균점보다 낮은 것을 의미합니다. </t>
    <phoneticPr fontId="3" type="noConversion"/>
  </si>
  <si>
    <t xml:space="preserve">           일반적으로 T점수가 70점 이상이면 전국기준 2.5% 이내에 해당하는 상당히 높은 점수라고 할 수 있습니다.</t>
    <phoneticPr fontId="3" type="noConversion"/>
  </si>
  <si>
    <t xml:space="preserve">                 자기보다 낮은 점수를 받은 학생이 79명, 높은 학생이 20명 있다는 뜻입니다.</t>
    <phoneticPr fontId="3" type="noConversion"/>
  </si>
  <si>
    <t xml:space="preserve">※ 수준 </t>
    <phoneticPr fontId="3" type="noConversion"/>
  </si>
  <si>
    <t> &lt;잠재능력진단검사 A형(능력) 검사 해석 시 유의사항&gt;</t>
    <phoneticPr fontId="3" type="noConversion"/>
  </si>
  <si>
    <t xml:space="preserve">    (쌍둥이 : 쌍1, 쌍2 / 분리배치필요 : 분1, 분2 ..)</t>
    <phoneticPr fontId="3" type="noConversion"/>
  </si>
  <si>
    <t xml:space="preserve">    ( 홈 - 정렬 및 필터 - 사용자지정 정렬 - 기준추가 - 신규반 가장 위 배치 - 확인 )</t>
    <phoneticPr fontId="3" type="noConversion"/>
  </si>
  <si>
    <t>합계</t>
    <phoneticPr fontId="3" type="noConversion"/>
  </si>
  <si>
    <t>평균</t>
    <phoneticPr fontId="3" type="noConversion"/>
  </si>
  <si>
    <t>(ex. 남자 1-5반, 여자 6-10반일 경우</t>
    <phoneticPr fontId="3" type="noConversion"/>
  </si>
  <si>
    <r>
      <t xml:space="preserve">      </t>
    </r>
    <r>
      <rPr>
        <b/>
        <sz val="11"/>
        <color rgb="FFFF0000"/>
        <rFont val="맑은 고딕"/>
        <family val="3"/>
        <charset val="129"/>
        <scheme val="minor"/>
      </rPr>
      <t>남자 : 5 / 여자 : 10</t>
    </r>
    <r>
      <rPr>
        <sz val="11"/>
        <color rgb="FFFF0000"/>
        <rFont val="맑은 고딕"/>
        <family val="3"/>
        <charset val="129"/>
        <scheme val="minor"/>
      </rPr>
      <t>으로 작성)</t>
    </r>
    <phoneticPr fontId="3" type="noConversion"/>
  </si>
  <si>
    <t xml:space="preserve">* 학교양식으로 시트 나누기 전 </t>
    <phoneticPr fontId="3" type="noConversion"/>
  </si>
  <si>
    <r>
      <t xml:space="preserve">  </t>
    </r>
    <r>
      <rPr>
        <b/>
        <sz val="11"/>
        <color rgb="FFFF0000"/>
        <rFont val="맑은 고딕"/>
        <family val="3"/>
        <charset val="129"/>
        <scheme val="minor"/>
      </rPr>
      <t xml:space="preserve">신규반번호순으로 정렬 </t>
    </r>
    <r>
      <rPr>
        <sz val="11"/>
        <color rgb="FFFF0000"/>
        <rFont val="맑은 고딕"/>
        <family val="3"/>
        <charset val="129"/>
        <scheme val="minor"/>
      </rPr>
      <t>필요</t>
    </r>
    <phoneticPr fontId="3" type="noConversion"/>
  </si>
  <si>
    <t xml:space="preserve">    ( 남녀 합반 : 전체 반, 분반 : 각 성별 마지막 반 입력 )</t>
    <phoneticPr fontId="3" type="noConversion"/>
  </si>
  <si>
    <t>* 각 성별 마지막 반 적어야 함</t>
    <phoneticPr fontId="3" type="noConversion"/>
  </si>
  <si>
    <r>
      <t xml:space="preserve"> - 검수 후 학교에서 요청한 번호부여순 </t>
    </r>
    <r>
      <rPr>
        <b/>
        <sz val="11"/>
        <color rgb="FFFF0000"/>
        <rFont val="맑은 고딕"/>
        <family val="3"/>
        <charset val="129"/>
        <scheme val="minor"/>
      </rPr>
      <t>정렬★</t>
    </r>
    <phoneticPr fontId="3" type="noConversion"/>
  </si>
  <si>
    <t>&lt; '임시반번호순' 시트에서 수기 작업 / 검수 &gt;</t>
    <phoneticPr fontId="3" type="noConversion"/>
  </si>
  <si>
    <t xml:space="preserve"> - '이름 일치'시트 노란색 음영에 반 입력★</t>
    <phoneticPr fontId="3" type="noConversion"/>
  </si>
  <si>
    <t xml:space="preserve"> - 비고 작성★ </t>
    <phoneticPr fontId="3" type="noConversion"/>
  </si>
  <si>
    <t xml:space="preserve"> - 저장 시 암호설정★</t>
    <phoneticPr fontId="3" type="noConversion"/>
  </si>
  <si>
    <t xml:space="preserve">   ( 로우데이터 시트가 추가로 생성됨 )</t>
    <phoneticPr fontId="3" type="noConversion"/>
  </si>
  <si>
    <t>①</t>
    <phoneticPr fontId="3" type="noConversion"/>
  </si>
  <si>
    <t>②</t>
    <phoneticPr fontId="3" type="noConversion"/>
  </si>
  <si>
    <t>③</t>
    <phoneticPr fontId="3" type="noConversion"/>
  </si>
  <si>
    <t>⑤</t>
    <phoneticPr fontId="3" type="noConversion"/>
  </si>
  <si>
    <t>⑥</t>
    <phoneticPr fontId="3" type="noConversion"/>
  </si>
  <si>
    <t>④</t>
    <phoneticPr fontId="3" type="noConversion"/>
  </si>
  <si>
    <t>원하는 형태 선택</t>
    <phoneticPr fontId="3" type="noConversion"/>
  </si>
  <si>
    <t>여자반-남자반 순서일 경우</t>
    <phoneticPr fontId="3" type="noConversion"/>
  </si>
  <si>
    <t>남자-여자 기준 작업 후 '임시반번호순' 시트에서 마지막으로 수정하세요</t>
    <phoneticPr fontId="3" type="noConversion"/>
  </si>
  <si>
    <t>사용 전
클릭!</t>
    <phoneticPr fontId="3" type="noConversion"/>
  </si>
  <si>
    <t xml:space="preserve"> 파일을 열고, 콘텐츠 사용을 클릭합니다.</t>
    <phoneticPr fontId="3" type="noConversion"/>
  </si>
  <si>
    <t xml:space="preserve"> - 결시생 포함 시 이름 일치 시트와 로우데이터 시트에 인적사항 추가 필요</t>
    <phoneticPr fontId="3" type="noConversion"/>
  </si>
  <si>
    <t>※ 종합지수P: 전체 집단을 100으로 보았을 때, 한 개인의 점수가 아래에서부터 몇 번째에 해당하는가를 나타내는 수치입니다. 예를 들어, 백분위 80은 전체를 100으로 보았을 때</t>
  </si>
  <si>
    <t>종합지수</t>
  </si>
  <si>
    <t>종합지수 P</t>
  </si>
  <si>
    <t xml:space="preserve"> - 반 인원 수, 분리배치 필요한 학생, 종합지수, 상담필요학생 등 요청사항에 따라 분배★</t>
  </si>
  <si>
    <t>잠재능력 B Type(인성) Raw Data 중 만성적 학업부진 컬럼 삭제</t>
    <phoneticPr fontId="3" type="noConversion"/>
  </si>
  <si>
    <t>임시반번호순 summary 부분 기존 15반에서 20반으로 수정</t>
    <phoneticPr fontId="3" type="noConversion"/>
  </si>
  <si>
    <t>교육청 NEIS 시트 추가(표시형식 텍스트)</t>
    <phoneticPr fontId="3" type="noConversion"/>
  </si>
  <si>
    <t>* 200922 수정사항</t>
    <phoneticPr fontId="3" type="noConversion"/>
  </si>
  <si>
    <t>C 학습</t>
    <phoneticPr fontId="3" type="noConversion"/>
  </si>
  <si>
    <r>
      <rPr>
        <b/>
        <sz val="11"/>
        <color theme="1"/>
        <rFont val="맑은 고딕"/>
        <family val="3"/>
        <charset val="129"/>
        <scheme val="minor"/>
      </rPr>
      <t>인성+학습</t>
    </r>
    <r>
      <rPr>
        <sz val="11"/>
        <color theme="1"/>
        <rFont val="맑은 고딕"/>
        <family val="2"/>
        <charset val="129"/>
        <scheme val="minor"/>
      </rPr>
      <t xml:space="preserve">
이름확인 - 비고작성</t>
    </r>
    <phoneticPr fontId="3" type="noConversion"/>
  </si>
  <si>
    <r>
      <rPr>
        <b/>
        <sz val="11"/>
        <color theme="1"/>
        <rFont val="맑은 고딕"/>
        <family val="3"/>
        <charset val="129"/>
        <scheme val="minor"/>
      </rPr>
      <t>학습</t>
    </r>
    <r>
      <rPr>
        <sz val="11"/>
        <color theme="1"/>
        <rFont val="맑은 고딕"/>
        <family val="2"/>
        <charset val="129"/>
        <scheme val="minor"/>
      </rPr>
      <t xml:space="preserve">
이름확인 - 비고작성</t>
    </r>
    <phoneticPr fontId="3" type="noConversion"/>
  </si>
  <si>
    <r>
      <rPr>
        <b/>
        <sz val="11"/>
        <color theme="1"/>
        <rFont val="맑은 고딕"/>
        <family val="3"/>
        <charset val="129"/>
        <scheme val="minor"/>
      </rPr>
      <t>인성+학습</t>
    </r>
    <r>
      <rPr>
        <sz val="11"/>
        <color theme="1"/>
        <rFont val="맑은 고딕"/>
        <family val="2"/>
        <charset val="129"/>
        <scheme val="minor"/>
      </rPr>
      <t xml:space="preserve">
정렬 &amp; 저장</t>
    </r>
    <phoneticPr fontId="3" type="noConversion"/>
  </si>
  <si>
    <r>
      <rPr>
        <b/>
        <sz val="11"/>
        <color theme="1"/>
        <rFont val="맑은 고딕"/>
        <family val="3"/>
        <charset val="129"/>
        <scheme val="minor"/>
      </rPr>
      <t>학습</t>
    </r>
    <r>
      <rPr>
        <sz val="11"/>
        <color theme="1"/>
        <rFont val="맑은 고딕"/>
        <family val="2"/>
        <charset val="129"/>
        <scheme val="minor"/>
      </rPr>
      <t xml:space="preserve">
정렬 &amp; 저장</t>
    </r>
    <phoneticPr fontId="3" type="noConversion"/>
  </si>
  <si>
    <r>
      <t> &lt;</t>
    </r>
    <r>
      <rPr>
        <b/>
        <sz val="10"/>
        <color rgb="FF000000"/>
        <rFont val="맑은 고딕"/>
        <family val="3"/>
        <charset val="129"/>
      </rPr>
      <t>잠재능력진단검사 C형(학습) 검사 해석 시 유의사항&gt;</t>
    </r>
    <phoneticPr fontId="3" type="noConversion"/>
  </si>
  <si>
    <t>자기주도 학습지수(LQ)는 학습자의 현재 주도학습 수준을 단일지표로 보여줍니다.</t>
    <phoneticPr fontId="3" type="noConversion"/>
  </si>
  <si>
    <t xml:space="preserve">자기주도 학습과 가장 관련성이 높은 요인인 성격 특성, 행동 특성, 학습 동기 세 가지 요인의 총점을 표준화시켜 합산하여 그 값의 평균을 100, 표준편차 15로 환산한 점수입니다. </t>
    <phoneticPr fontId="3" type="noConversion"/>
  </si>
  <si>
    <t xml:space="preserve"> </t>
    <phoneticPr fontId="3" type="noConversion"/>
  </si>
  <si>
    <t xml:space="preserve">※ 수준 </t>
  </si>
  <si>
    <r>
      <rPr>
        <b/>
        <sz val="11"/>
        <color theme="1"/>
        <rFont val="맑은 고딕"/>
        <family val="3"/>
        <charset val="129"/>
        <scheme val="minor"/>
      </rPr>
      <t>인성</t>
    </r>
    <r>
      <rPr>
        <sz val="11"/>
        <color theme="1"/>
        <rFont val="맑은 고딕"/>
        <family val="2"/>
        <charset val="129"/>
        <scheme val="minor"/>
      </rPr>
      <t xml:space="preserve">
이름확인 - 비고작성</t>
    </r>
    <phoneticPr fontId="3" type="noConversion"/>
  </si>
  <si>
    <r>
      <rPr>
        <b/>
        <sz val="11"/>
        <color theme="1"/>
        <rFont val="맑은 고딕"/>
        <family val="3"/>
        <charset val="129"/>
        <scheme val="minor"/>
      </rPr>
      <t>인성</t>
    </r>
    <r>
      <rPr>
        <sz val="11"/>
        <color theme="1"/>
        <rFont val="맑은 고딕"/>
        <family val="2"/>
        <charset val="129"/>
        <scheme val="minor"/>
      </rPr>
      <t xml:space="preserve">
정렬 &amp; 저장</t>
    </r>
    <phoneticPr fontId="3" type="noConversion"/>
  </si>
  <si>
    <t>만성적 학업부진</t>
    <phoneticPr fontId="3" type="noConversion"/>
  </si>
  <si>
    <t>외향성 평균</t>
  </si>
  <si>
    <t>LQ지수 평균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</si>
</sst>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40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4"/>
      <name val="맑은 고딕"/>
      <family val="2"/>
      <charset val="129"/>
      <scheme val="minor"/>
    </font>
    <font>
      <sz val="11"/>
      <color theme="4"/>
      <name val="맑은 고딕"/>
      <family val="3"/>
      <charset val="129"/>
      <scheme val="minor"/>
    </font>
    <font>
      <sz val="11"/>
      <color theme="9"/>
      <name val="맑은 고딕"/>
      <family val="2"/>
      <charset val="129"/>
      <scheme val="minor"/>
    </font>
    <font>
      <sz val="11"/>
      <color theme="9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2"/>
      <color rgb="FF00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name val="맑은 고딕"/>
      <family val="2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</font>
    <font>
      <b/>
      <sz val="16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</fills>
  <borders count="4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</borders>
  <cellStyleXfs count="46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1" fillId="0" borderId="7" applyNumberFormat="0" applyFill="0" applyAlignment="0" applyProtection="0">
      <alignment vertical="center"/>
    </xf>
    <xf numFmtId="0" fontId="12" fillId="0" borderId="8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9" applyNumberFormat="0" applyAlignment="0" applyProtection="0">
      <alignment vertical="center"/>
    </xf>
    <xf numFmtId="0" fontId="17" fillId="8" borderId="10" applyNumberFormat="0" applyAlignment="0" applyProtection="0">
      <alignment vertical="center"/>
    </xf>
    <xf numFmtId="0" fontId="18" fillId="8" borderId="9" applyNumberFormat="0" applyAlignment="0" applyProtection="0">
      <alignment vertical="center"/>
    </xf>
    <xf numFmtId="0" fontId="19" fillId="0" borderId="11" applyNumberFormat="0" applyFill="0" applyAlignment="0" applyProtection="0">
      <alignment vertical="center"/>
    </xf>
    <xf numFmtId="0" fontId="20" fillId="9" borderId="12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8" fillId="10" borderId="13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14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2" fillId="0" borderId="0">
      <alignment vertical="center"/>
    </xf>
    <xf numFmtId="0" fontId="39" fillId="0" borderId="0">
      <alignment vertical="center"/>
    </xf>
    <xf numFmtId="0" fontId="1" fillId="0" borderId="0">
      <alignment vertical="center"/>
    </xf>
    <xf numFmtId="0" fontId="39" fillId="0" borderId="0">
      <alignment vertical="center"/>
    </xf>
  </cellStyleXfs>
  <cellXfs count="178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0" fillId="0" borderId="3" xfId="0" applyBorder="1">
      <alignment vertical="center"/>
    </xf>
    <xf numFmtId="0" fontId="0" fillId="3" borderId="2" xfId="0" applyFill="1" applyBorder="1" applyAlignment="1">
      <alignment vertical="center" wrapText="1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0" fillId="0" borderId="2" xfId="0" applyBorder="1">
      <alignment vertical="center"/>
    </xf>
    <xf numFmtId="0" fontId="0" fillId="35" borderId="3" xfId="0" applyFill="1" applyBorder="1" applyAlignment="1">
      <alignment vertical="center" wrapText="1"/>
    </xf>
    <xf numFmtId="0" fontId="0" fillId="37" borderId="2" xfId="0" applyFill="1" applyBorder="1" applyAlignment="1">
      <alignment vertical="center" wrapText="1"/>
    </xf>
    <xf numFmtId="0" fontId="0" fillId="36" borderId="2" xfId="0" applyFill="1" applyBorder="1" applyAlignment="1">
      <alignment vertical="center" wrapText="1"/>
    </xf>
    <xf numFmtId="0" fontId="0" fillId="35" borderId="3" xfId="0" applyFill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 wrapText="1"/>
    </xf>
    <xf numFmtId="0" fontId="0" fillId="38" borderId="2" xfId="0" applyFill="1" applyBorder="1" applyAlignment="1">
      <alignment vertical="center" wrapText="1"/>
    </xf>
    <xf numFmtId="0" fontId="0" fillId="39" borderId="2" xfId="0" applyFill="1" applyBorder="1" applyAlignment="1">
      <alignment vertical="center" wrapText="1"/>
    </xf>
    <xf numFmtId="1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25" fillId="0" borderId="2" xfId="0" applyFont="1" applyBorder="1" applyAlignment="1">
      <alignment vertical="center" wrapText="1"/>
    </xf>
    <xf numFmtId="0" fontId="25" fillId="0" borderId="3" xfId="0" applyFont="1" applyBorder="1">
      <alignment vertical="center"/>
    </xf>
    <xf numFmtId="0" fontId="25" fillId="0" borderId="4" xfId="0" applyFont="1" applyBorder="1" applyAlignment="1">
      <alignment vertical="center" wrapText="1"/>
    </xf>
    <xf numFmtId="0" fontId="25" fillId="0" borderId="0" xfId="0" applyFont="1">
      <alignment vertical="center"/>
    </xf>
    <xf numFmtId="0" fontId="0" fillId="38" borderId="2" xfId="0" applyFill="1" applyBorder="1">
      <alignment vertical="center"/>
    </xf>
    <xf numFmtId="0" fontId="0" fillId="39" borderId="2" xfId="0" applyFill="1" applyBorder="1">
      <alignment vertical="center"/>
    </xf>
    <xf numFmtId="0" fontId="0" fillId="3" borderId="2" xfId="0" applyFill="1" applyBorder="1">
      <alignment vertical="center"/>
    </xf>
    <xf numFmtId="0" fontId="0" fillId="36" borderId="2" xfId="0" applyFill="1" applyBorder="1">
      <alignment vertical="center"/>
    </xf>
    <xf numFmtId="0" fontId="0" fillId="37" borderId="2" xfId="0" applyFill="1" applyBorder="1">
      <alignment vertical="center"/>
    </xf>
    <xf numFmtId="0" fontId="26" fillId="0" borderId="0" xfId="0" applyFont="1">
      <alignment vertical="center"/>
    </xf>
    <xf numFmtId="0" fontId="27" fillId="0" borderId="0" xfId="0" applyFont="1">
      <alignment vertical="center"/>
    </xf>
    <xf numFmtId="176" fontId="25" fillId="0" borderId="0" xfId="0" applyNumberFormat="1" applyFont="1">
      <alignment vertical="center"/>
    </xf>
    <xf numFmtId="0" fontId="25" fillId="0" borderId="2" xfId="0" applyFont="1" applyBorder="1">
      <alignment vertical="center"/>
    </xf>
    <xf numFmtId="0" fontId="25" fillId="38" borderId="2" xfId="0" applyFont="1" applyFill="1" applyBorder="1" applyAlignment="1">
      <alignment vertical="center" wrapText="1"/>
    </xf>
    <xf numFmtId="0" fontId="25" fillId="39" borderId="2" xfId="0" applyFont="1" applyFill="1" applyBorder="1" applyAlignment="1">
      <alignment vertical="center" wrapText="1"/>
    </xf>
    <xf numFmtId="0" fontId="25" fillId="36" borderId="2" xfId="0" applyFont="1" applyFill="1" applyBorder="1" applyAlignment="1">
      <alignment vertical="center" wrapText="1"/>
    </xf>
    <xf numFmtId="0" fontId="25" fillId="3" borderId="2" xfId="0" applyFont="1" applyFill="1" applyBorder="1" applyAlignment="1">
      <alignment vertical="center" wrapText="1"/>
    </xf>
    <xf numFmtId="0" fontId="25" fillId="37" borderId="2" xfId="0" applyFont="1" applyFill="1" applyBorder="1" applyAlignment="1">
      <alignment vertical="center" wrapText="1"/>
    </xf>
    <xf numFmtId="0" fontId="25" fillId="3" borderId="1" xfId="0" applyFont="1" applyFill="1" applyBorder="1" applyAlignment="1">
      <alignment vertical="center" wrapText="1"/>
    </xf>
    <xf numFmtId="0" fontId="25" fillId="3" borderId="5" xfId="0" applyFont="1" applyFill="1" applyBorder="1" applyAlignment="1">
      <alignment vertical="center" wrapText="1"/>
    </xf>
    <xf numFmtId="0" fontId="25" fillId="35" borderId="3" xfId="0" applyFont="1" applyFill="1" applyBorder="1">
      <alignment vertical="center"/>
    </xf>
    <xf numFmtId="0" fontId="0" fillId="0" borderId="0" xfId="0" quotePrefix="1">
      <alignment vertical="center"/>
    </xf>
    <xf numFmtId="0" fontId="21" fillId="0" borderId="0" xfId="0" applyFont="1">
      <alignment vertical="center"/>
    </xf>
    <xf numFmtId="0" fontId="27" fillId="0" borderId="15" xfId="0" applyFont="1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21" xfId="0" quotePrefix="1" applyBorder="1" applyAlignment="1">
      <alignment horizontal="left" vertical="center"/>
    </xf>
    <xf numFmtId="0" fontId="0" fillId="0" borderId="22" xfId="0" applyBorder="1">
      <alignment vertical="center"/>
    </xf>
    <xf numFmtId="0" fontId="21" fillId="0" borderId="21" xfId="0" applyFont="1" applyBorder="1">
      <alignment vertical="center"/>
    </xf>
    <xf numFmtId="0" fontId="0" fillId="0" borderId="15" xfId="0" quotePrefix="1" applyBorder="1" applyAlignment="1">
      <alignment horizontal="left" vertical="center"/>
    </xf>
    <xf numFmtId="0" fontId="0" fillId="0" borderId="15" xfId="0" quotePrefix="1" applyBorder="1">
      <alignment vertical="center"/>
    </xf>
    <xf numFmtId="0" fontId="29" fillId="0" borderId="21" xfId="0" applyFont="1" applyBorder="1">
      <alignment vertical="center"/>
    </xf>
    <xf numFmtId="0" fontId="0" fillId="0" borderId="21" xfId="0" quotePrefix="1" applyBorder="1">
      <alignment vertical="center"/>
    </xf>
    <xf numFmtId="0" fontId="0" fillId="0" borderId="18" xfId="0" quotePrefix="1" applyBorder="1">
      <alignment vertical="center"/>
    </xf>
    <xf numFmtId="0" fontId="29" fillId="0" borderId="0" xfId="0" applyFont="1">
      <alignment vertical="center"/>
    </xf>
    <xf numFmtId="0" fontId="0" fillId="0" borderId="23" xfId="0" applyBorder="1" applyAlignment="1">
      <alignment vertical="center" wrapText="1"/>
    </xf>
    <xf numFmtId="0" fontId="21" fillId="0" borderId="19" xfId="0" quotePrefix="1" applyFont="1" applyBorder="1">
      <alignment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justify" vertical="center"/>
    </xf>
    <xf numFmtId="0" fontId="32" fillId="0" borderId="21" xfId="0" applyFont="1" applyBorder="1" applyAlignment="1">
      <alignment horizontal="left" vertical="center"/>
    </xf>
    <xf numFmtId="0" fontId="31" fillId="0" borderId="0" xfId="0" applyFont="1" applyAlignment="1">
      <alignment horizontal="left" vertical="center"/>
    </xf>
    <xf numFmtId="0" fontId="31" fillId="0" borderId="22" xfId="0" applyFont="1" applyBorder="1" applyAlignment="1">
      <alignment horizontal="left" vertical="center"/>
    </xf>
    <xf numFmtId="0" fontId="32" fillId="0" borderId="18" xfId="0" applyFont="1" applyBorder="1" applyAlignment="1">
      <alignment horizontal="left" vertical="center"/>
    </xf>
    <xf numFmtId="0" fontId="31" fillId="0" borderId="19" xfId="0" applyFont="1" applyBorder="1" applyAlignment="1">
      <alignment horizontal="left" vertical="center"/>
    </xf>
    <xf numFmtId="0" fontId="31" fillId="0" borderId="20" xfId="0" applyFont="1" applyBorder="1" applyAlignment="1">
      <alignment horizontal="left" vertical="center"/>
    </xf>
    <xf numFmtId="0" fontId="32" fillId="0" borderId="0" xfId="0" applyFont="1" applyAlignment="1">
      <alignment horizontal="left" vertical="center"/>
    </xf>
    <xf numFmtId="0" fontId="32" fillId="0" borderId="22" xfId="0" applyFont="1" applyBorder="1" applyAlignment="1">
      <alignment horizontal="left" vertical="center"/>
    </xf>
    <xf numFmtId="0" fontId="32" fillId="0" borderId="21" xfId="0" applyFont="1" applyBorder="1">
      <alignment vertical="center"/>
    </xf>
    <xf numFmtId="0" fontId="32" fillId="0" borderId="0" xfId="0" applyFont="1">
      <alignment vertical="center"/>
    </xf>
    <xf numFmtId="0" fontId="31" fillId="0" borderId="21" xfId="0" applyFont="1" applyBorder="1">
      <alignment vertical="center"/>
    </xf>
    <xf numFmtId="0" fontId="30" fillId="0" borderId="0" xfId="0" applyFont="1">
      <alignment vertical="center"/>
    </xf>
    <xf numFmtId="0" fontId="34" fillId="2" borderId="3" xfId="0" applyFont="1" applyFill="1" applyBorder="1">
      <alignment vertical="center"/>
    </xf>
    <xf numFmtId="0" fontId="29" fillId="0" borderId="18" xfId="0" applyFont="1" applyBorder="1">
      <alignment vertical="center"/>
    </xf>
    <xf numFmtId="0" fontId="21" fillId="0" borderId="18" xfId="0" applyFont="1" applyBorder="1">
      <alignment vertical="center"/>
    </xf>
    <xf numFmtId="0" fontId="24" fillId="0" borderId="0" xfId="0" applyFont="1">
      <alignment vertical="center"/>
    </xf>
    <xf numFmtId="0" fontId="0" fillId="0" borderId="27" xfId="0" applyBorder="1">
      <alignment vertical="center"/>
    </xf>
    <xf numFmtId="0" fontId="0" fillId="0" borderId="28" xfId="0" applyBorder="1">
      <alignment vertical="center"/>
    </xf>
    <xf numFmtId="176" fontId="0" fillId="0" borderId="28" xfId="0" applyNumberFormat="1" applyBorder="1">
      <alignment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1" fontId="0" fillId="0" borderId="31" xfId="0" applyNumberFormat="1" applyBorder="1">
      <alignment vertical="center"/>
    </xf>
    <xf numFmtId="176" fontId="0" fillId="0" borderId="31" xfId="0" applyNumberFormat="1" applyBorder="1">
      <alignment vertical="center"/>
    </xf>
    <xf numFmtId="0" fontId="0" fillId="0" borderId="32" xfId="0" applyBorder="1">
      <alignment vertical="center"/>
    </xf>
    <xf numFmtId="0" fontId="0" fillId="0" borderId="33" xfId="0" applyBorder="1">
      <alignment vertical="center"/>
    </xf>
    <xf numFmtId="0" fontId="0" fillId="44" borderId="36" xfId="0" applyFill="1" applyBorder="1" applyAlignment="1">
      <alignment horizontal="center" vertical="center"/>
    </xf>
    <xf numFmtId="0" fontId="0" fillId="44" borderId="37" xfId="0" applyFill="1" applyBorder="1" applyAlignment="1">
      <alignment horizontal="center" vertical="center"/>
    </xf>
    <xf numFmtId="0" fontId="0" fillId="44" borderId="38" xfId="0" applyFill="1" applyBorder="1" applyAlignment="1">
      <alignment horizontal="center" vertical="center"/>
    </xf>
    <xf numFmtId="0" fontId="25" fillId="46" borderId="24" xfId="0" applyFont="1" applyFill="1" applyBorder="1">
      <alignment vertical="center"/>
    </xf>
    <xf numFmtId="0" fontId="25" fillId="46" borderId="0" xfId="0" applyFont="1" applyFill="1">
      <alignment vertical="center"/>
    </xf>
    <xf numFmtId="0" fontId="25" fillId="46" borderId="25" xfId="0" applyFont="1" applyFill="1" applyBorder="1">
      <alignment vertical="center"/>
    </xf>
    <xf numFmtId="0" fontId="25" fillId="46" borderId="26" xfId="0" applyFont="1" applyFill="1" applyBorder="1">
      <alignment vertical="center"/>
    </xf>
    <xf numFmtId="0" fontId="25" fillId="45" borderId="34" xfId="0" applyFont="1" applyFill="1" applyBorder="1" applyAlignment="1">
      <alignment horizontal="center" vertical="center"/>
    </xf>
    <xf numFmtId="0" fontId="0" fillId="44" borderId="37" xfId="0" applyFill="1" applyBorder="1" applyAlignment="1">
      <alignment horizontal="left" vertical="center"/>
    </xf>
    <xf numFmtId="176" fontId="25" fillId="47" borderId="34" xfId="0" applyNumberFormat="1" applyFont="1" applyFill="1" applyBorder="1">
      <alignment vertical="center"/>
    </xf>
    <xf numFmtId="0" fontId="25" fillId="47" borderId="35" xfId="0" applyFont="1" applyFill="1" applyBorder="1">
      <alignment vertical="center"/>
    </xf>
    <xf numFmtId="0" fontId="35" fillId="0" borderId="0" xfId="0" applyFont="1">
      <alignment vertical="center"/>
    </xf>
    <xf numFmtId="0" fontId="30" fillId="0" borderId="15" xfId="0" applyFont="1" applyBorder="1">
      <alignment vertical="center"/>
    </xf>
    <xf numFmtId="0" fontId="0" fillId="0" borderId="0" xfId="0" applyAlignment="1">
      <alignment horizontal="right" vertical="center"/>
    </xf>
    <xf numFmtId="0" fontId="34" fillId="0" borderId="0" xfId="0" applyFont="1">
      <alignment vertical="center"/>
    </xf>
    <xf numFmtId="0" fontId="38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0" fillId="0" borderId="39" xfId="0" applyBorder="1">
      <alignment vertical="center"/>
    </xf>
    <xf numFmtId="0" fontId="25" fillId="45" borderId="40" xfId="0" applyFont="1" applyFill="1" applyBorder="1" applyAlignment="1">
      <alignment horizontal="center" vertical="center"/>
    </xf>
    <xf numFmtId="0" fontId="25" fillId="47" borderId="40" xfId="0" applyFont="1" applyFill="1" applyBorder="1">
      <alignment vertical="center"/>
    </xf>
    <xf numFmtId="0" fontId="25" fillId="47" borderId="41" xfId="0" applyFont="1" applyFill="1" applyBorder="1">
      <alignment vertical="center"/>
    </xf>
    <xf numFmtId="176" fontId="0" fillId="0" borderId="39" xfId="0" applyNumberFormat="1" applyBorder="1">
      <alignment vertical="center"/>
    </xf>
    <xf numFmtId="0" fontId="0" fillId="0" borderId="42" xfId="0" applyBorder="1">
      <alignment vertical="center"/>
    </xf>
    <xf numFmtId="0" fontId="31" fillId="0" borderId="0" xfId="0" applyFont="1" applyAlignment="1">
      <alignment vertical="center" wrapText="1"/>
    </xf>
    <xf numFmtId="0" fontId="31" fillId="0" borderId="22" xfId="0" applyFont="1" applyBorder="1">
      <alignment vertical="center"/>
    </xf>
    <xf numFmtId="0" fontId="31" fillId="0" borderId="21" xfId="0" applyFont="1" applyBorder="1" applyAlignment="1">
      <alignment vertical="center" wrapText="1"/>
    </xf>
    <xf numFmtId="0" fontId="31" fillId="0" borderId="22" xfId="0" applyFont="1" applyBorder="1" applyAlignment="1">
      <alignment vertical="center" wrapText="1"/>
    </xf>
    <xf numFmtId="0" fontId="31" fillId="0" borderId="18" xfId="0" applyFont="1" applyBorder="1" applyAlignment="1">
      <alignment vertical="center" wrapText="1"/>
    </xf>
    <xf numFmtId="0" fontId="31" fillId="0" borderId="19" xfId="0" applyFont="1" applyBorder="1" applyAlignment="1">
      <alignment vertical="center" wrapText="1"/>
    </xf>
    <xf numFmtId="0" fontId="31" fillId="0" borderId="20" xfId="0" applyFont="1" applyBorder="1" applyAlignment="1">
      <alignment vertical="center" wrapText="1"/>
    </xf>
    <xf numFmtId="0" fontId="31" fillId="0" borderId="21" xfId="0" applyFont="1" applyBorder="1" applyAlignment="1">
      <alignment horizontal="left" vertical="center"/>
    </xf>
    <xf numFmtId="0" fontId="31" fillId="0" borderId="0" xfId="0" applyFont="1" applyAlignment="1">
      <alignment horizontal="left" vertical="center"/>
    </xf>
    <xf numFmtId="0" fontId="31" fillId="0" borderId="22" xfId="0" applyFont="1" applyBorder="1" applyAlignment="1">
      <alignment horizontal="left" vertical="center"/>
    </xf>
    <xf numFmtId="0" fontId="32" fillId="0" borderId="15" xfId="0" applyFont="1" applyBorder="1" applyAlignment="1">
      <alignment horizontal="left" vertical="center"/>
    </xf>
    <xf numFmtId="0" fontId="32" fillId="0" borderId="16" xfId="0" applyFont="1" applyBorder="1" applyAlignment="1">
      <alignment horizontal="left" vertical="center"/>
    </xf>
    <xf numFmtId="0" fontId="32" fillId="0" borderId="17" xfId="0" applyFont="1" applyBorder="1" applyAlignment="1">
      <alignment horizontal="left" vertical="center"/>
    </xf>
    <xf numFmtId="0" fontId="31" fillId="0" borderId="21" xfId="0" applyFont="1" applyBorder="1" applyAlignment="1">
      <alignment horizontal="left" vertical="center" wrapText="1"/>
    </xf>
    <xf numFmtId="0" fontId="32" fillId="0" borderId="21" xfId="0" applyFont="1" applyBorder="1" applyAlignment="1">
      <alignment horizontal="left" vertical="center"/>
    </xf>
    <xf numFmtId="0" fontId="32" fillId="0" borderId="0" xfId="0" applyFont="1" applyAlignment="1">
      <alignment horizontal="left" vertical="center"/>
    </xf>
    <xf numFmtId="0" fontId="32" fillId="0" borderId="22" xfId="0" applyFont="1" applyBorder="1" applyAlignment="1">
      <alignment horizontal="left" vertical="center"/>
    </xf>
    <xf numFmtId="0" fontId="33" fillId="0" borderId="15" xfId="0" applyFont="1" applyBorder="1" applyAlignment="1">
      <alignment horizontal="left" vertical="center"/>
    </xf>
    <xf numFmtId="0" fontId="33" fillId="0" borderId="16" xfId="0" applyFont="1" applyBorder="1" applyAlignment="1">
      <alignment horizontal="left" vertical="center"/>
    </xf>
    <xf numFmtId="0" fontId="33" fillId="0" borderId="17" xfId="0" applyFont="1" applyBorder="1" applyAlignment="1">
      <alignment horizontal="left" vertical="center"/>
    </xf>
    <xf numFmtId="0" fontId="31" fillId="0" borderId="18" xfId="0" applyFont="1" applyBorder="1" applyAlignment="1">
      <alignment horizontal="left" vertical="center"/>
    </xf>
    <xf numFmtId="0" fontId="31" fillId="0" borderId="19" xfId="0" applyFont="1" applyBorder="1" applyAlignment="1">
      <alignment horizontal="left" vertical="center"/>
    </xf>
    <xf numFmtId="0" fontId="24" fillId="41" borderId="21" xfId="0" applyFont="1" applyFill="1" applyBorder="1" applyAlignment="1">
      <alignment horizontal="center" vertical="center"/>
    </xf>
    <xf numFmtId="0" fontId="24" fillId="41" borderId="0" xfId="0" applyFont="1" applyFill="1" applyAlignment="1">
      <alignment horizontal="center" vertical="center"/>
    </xf>
    <xf numFmtId="0" fontId="24" fillId="41" borderId="18" xfId="0" applyFont="1" applyFill="1" applyBorder="1" applyAlignment="1">
      <alignment horizontal="center" vertical="center"/>
    </xf>
    <xf numFmtId="0" fontId="24" fillId="41" borderId="19" xfId="0" applyFont="1" applyFill="1" applyBorder="1" applyAlignment="1">
      <alignment horizontal="center" vertical="center"/>
    </xf>
    <xf numFmtId="0" fontId="28" fillId="40" borderId="15" xfId="0" applyFont="1" applyFill="1" applyBorder="1" applyAlignment="1">
      <alignment horizontal="center" vertical="center"/>
    </xf>
    <xf numFmtId="0" fontId="28" fillId="40" borderId="17" xfId="0" applyFont="1" applyFill="1" applyBorder="1" applyAlignment="1">
      <alignment horizontal="center" vertical="center"/>
    </xf>
    <xf numFmtId="0" fontId="28" fillId="40" borderId="21" xfId="0" applyFont="1" applyFill="1" applyBorder="1" applyAlignment="1">
      <alignment horizontal="center" vertical="center"/>
    </xf>
    <xf numFmtId="0" fontId="28" fillId="40" borderId="22" xfId="0" applyFont="1" applyFill="1" applyBorder="1" applyAlignment="1">
      <alignment horizontal="center" vertical="center"/>
    </xf>
    <xf numFmtId="0" fontId="28" fillId="40" borderId="18" xfId="0" applyFont="1" applyFill="1" applyBorder="1" applyAlignment="1">
      <alignment horizontal="center" vertical="center"/>
    </xf>
    <xf numFmtId="0" fontId="28" fillId="40" borderId="20" xfId="0" applyFont="1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 wrapText="1"/>
    </xf>
    <xf numFmtId="0" fontId="0" fillId="3" borderId="17" xfId="0" applyFill="1" applyBorder="1" applyAlignment="1">
      <alignment horizontal="center" vertical="center" wrapText="1"/>
    </xf>
    <xf numFmtId="0" fontId="0" fillId="3" borderId="21" xfId="0" applyFill="1" applyBorder="1" applyAlignment="1">
      <alignment horizontal="center" vertical="center" wrapText="1"/>
    </xf>
    <xf numFmtId="0" fontId="0" fillId="3" borderId="22" xfId="0" applyFill="1" applyBorder="1" applyAlignment="1">
      <alignment horizontal="center" vertical="center" wrapText="1"/>
    </xf>
    <xf numFmtId="0" fontId="0" fillId="3" borderId="18" xfId="0" applyFill="1" applyBorder="1" applyAlignment="1">
      <alignment horizontal="center" vertical="center" wrapText="1"/>
    </xf>
    <xf numFmtId="0" fontId="0" fillId="3" borderId="20" xfId="0" applyFill="1" applyBorder="1" applyAlignment="1">
      <alignment horizontal="center" vertical="center" wrapText="1"/>
    </xf>
    <xf numFmtId="0" fontId="30" fillId="48" borderId="3" xfId="0" applyFont="1" applyFill="1" applyBorder="1" applyAlignment="1">
      <alignment horizontal="center" vertical="center" wrapText="1"/>
    </xf>
    <xf numFmtId="0" fontId="30" fillId="48" borderId="3" xfId="0" applyFont="1" applyFill="1" applyBorder="1" applyAlignment="1">
      <alignment horizontal="center" vertical="center"/>
    </xf>
    <xf numFmtId="0" fontId="38" fillId="48" borderId="3" xfId="0" applyFont="1" applyFill="1" applyBorder="1" applyAlignment="1">
      <alignment horizontal="left" vertical="center"/>
    </xf>
    <xf numFmtId="0" fontId="0" fillId="37" borderId="15" xfId="0" applyFill="1" applyBorder="1" applyAlignment="1">
      <alignment horizontal="center" vertical="center"/>
    </xf>
    <xf numFmtId="0" fontId="0" fillId="37" borderId="16" xfId="0" applyFill="1" applyBorder="1" applyAlignment="1">
      <alignment horizontal="center" vertical="center"/>
    </xf>
    <xf numFmtId="0" fontId="0" fillId="37" borderId="18" xfId="0" applyFill="1" applyBorder="1" applyAlignment="1">
      <alignment horizontal="center" vertical="center"/>
    </xf>
    <xf numFmtId="0" fontId="0" fillId="37" borderId="19" xfId="0" applyFill="1" applyBorder="1" applyAlignment="1">
      <alignment horizontal="center" vertical="center"/>
    </xf>
    <xf numFmtId="0" fontId="0" fillId="42" borderId="15" xfId="0" applyFill="1" applyBorder="1" applyAlignment="1">
      <alignment horizontal="center" vertical="center"/>
    </xf>
    <xf numFmtId="0" fontId="0" fillId="42" borderId="16" xfId="0" applyFill="1" applyBorder="1" applyAlignment="1">
      <alignment horizontal="center" vertical="center"/>
    </xf>
    <xf numFmtId="0" fontId="0" fillId="42" borderId="18" xfId="0" applyFill="1" applyBorder="1" applyAlignment="1">
      <alignment horizontal="center" vertical="center"/>
    </xf>
    <xf numFmtId="0" fontId="0" fillId="42" borderId="19" xfId="0" applyFill="1" applyBorder="1" applyAlignment="1">
      <alignment horizontal="center" vertical="center"/>
    </xf>
    <xf numFmtId="0" fontId="0" fillId="36" borderId="15" xfId="0" applyFill="1" applyBorder="1" applyAlignment="1">
      <alignment horizontal="center" vertical="center"/>
    </xf>
    <xf numFmtId="0" fontId="0" fillId="36" borderId="16" xfId="0" applyFill="1" applyBorder="1" applyAlignment="1">
      <alignment horizontal="center" vertical="center"/>
    </xf>
    <xf numFmtId="0" fontId="0" fillId="36" borderId="21" xfId="0" applyFill="1" applyBorder="1" applyAlignment="1">
      <alignment horizontal="center" vertical="center"/>
    </xf>
    <xf numFmtId="0" fontId="0" fillId="36" borderId="0" xfId="0" applyFill="1" applyAlignment="1">
      <alignment horizontal="center" vertical="center"/>
    </xf>
    <xf numFmtId="0" fontId="0" fillId="36" borderId="18" xfId="0" applyFill="1" applyBorder="1" applyAlignment="1">
      <alignment horizontal="center" vertical="center"/>
    </xf>
    <xf numFmtId="0" fontId="0" fillId="36" borderId="19" xfId="0" applyFill="1" applyBorder="1" applyAlignment="1">
      <alignment horizontal="center" vertical="center"/>
    </xf>
    <xf numFmtId="0" fontId="25" fillId="36" borderId="0" xfId="0" applyFont="1" applyFill="1" applyAlignment="1">
      <alignment horizontal="center" vertical="center" wrapText="1"/>
    </xf>
    <xf numFmtId="0" fontId="0" fillId="43" borderId="3" xfId="0" applyFill="1" applyBorder="1" applyAlignment="1">
      <alignment horizontal="center" vertical="center"/>
    </xf>
    <xf numFmtId="0" fontId="25" fillId="3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37" borderId="0" xfId="0" applyFill="1" applyAlignment="1">
      <alignment horizontal="center" vertical="center"/>
    </xf>
    <xf numFmtId="0" fontId="28" fillId="40" borderId="0" xfId="0" applyFont="1" applyFill="1" applyAlignment="1">
      <alignment horizontal="center" vertical="center"/>
    </xf>
    <xf numFmtId="0" fontId="0" fillId="42" borderId="0" xfId="0" applyFill="1" applyAlignment="1">
      <alignment horizontal="center" vertical="center"/>
    </xf>
    <xf numFmtId="0" fontId="36" fillId="0" borderId="21" xfId="0" applyFont="1" applyBorder="1" applyAlignment="1">
      <alignment horizontal="right" vertical="center"/>
    </xf>
    <xf numFmtId="0" fontId="37" fillId="0" borderId="21" xfId="0" applyFont="1" applyBorder="1" applyAlignment="1">
      <alignment horizontal="right" vertical="center"/>
    </xf>
  </cellXfs>
  <cellStyles count="46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  <cellStyle name="표준 2" xfId="42" xr:uid="{341FD411-2A12-420F-92F7-AA0FEAE36BF6}"/>
    <cellStyle name="표준 3" xfId="43" xr:uid="{D5947716-552D-417C-9AC0-0FA638D6EE50}"/>
    <cellStyle name="표준 4" xfId="44" xr:uid="{CE6F18C4-89DA-4BB6-B9D6-66D18946067C}"/>
    <cellStyle name="표준 4 2" xfId="45" xr:uid="{1AD4747D-3150-4272-BBEE-43EB66A6B840}"/>
  </cellStyles>
  <dxfs count="5"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CFF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Label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Label" lockText="1"/>
</file>

<file path=xl/ctrlProps/ctrlProp11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9524</xdr:colOff>
      <xdr:row>10</xdr:row>
      <xdr:rowOff>0</xdr:rowOff>
    </xdr:from>
    <xdr:to>
      <xdr:col>5</xdr:col>
      <xdr:colOff>222817</xdr:colOff>
      <xdr:row>20</xdr:row>
      <xdr:rowOff>228600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982" t="17932" r="818" b="34810"/>
        <a:stretch>
          <a:fillRect/>
        </a:stretch>
      </xdr:blipFill>
      <xdr:spPr bwMode="auto">
        <a:xfrm>
          <a:off x="9524" y="2105025"/>
          <a:ext cx="7271317" cy="2714625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134470</xdr:colOff>
      <xdr:row>34</xdr:row>
      <xdr:rowOff>89649</xdr:rowOff>
    </xdr:from>
    <xdr:to>
      <xdr:col>4</xdr:col>
      <xdr:colOff>2211481</xdr:colOff>
      <xdr:row>45</xdr:row>
      <xdr:rowOff>788336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794" y="8213914"/>
          <a:ext cx="6917952" cy="429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57149</xdr:colOff>
      <xdr:row>1</xdr:row>
      <xdr:rowOff>145677</xdr:rowOff>
    </xdr:from>
    <xdr:to>
      <xdr:col>9</xdr:col>
      <xdr:colOff>112058</xdr:colOff>
      <xdr:row>3</xdr:row>
      <xdr:rowOff>134471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625973" y="268942"/>
          <a:ext cx="6453467" cy="5266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9</xdr:col>
          <xdr:colOff>2495550</xdr:colOff>
          <xdr:row>2</xdr:row>
          <xdr:rowOff>400050</xdr:rowOff>
        </xdr:to>
        <xdr:sp macro="" textlink="">
          <xdr:nvSpPr>
            <xdr:cNvPr id="4097" name="Label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657225</xdr:colOff>
      <xdr:row>13</xdr:row>
      <xdr:rowOff>171451</xdr:rowOff>
    </xdr:from>
    <xdr:to>
      <xdr:col>23</xdr:col>
      <xdr:colOff>28575</xdr:colOff>
      <xdr:row>16</xdr:row>
      <xdr:rowOff>47625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9744075" y="2895601"/>
          <a:ext cx="5743575" cy="504824"/>
        </a:xfrm>
        <a:prstGeom prst="rect">
          <a:avLst/>
        </a:prstGeom>
        <a:noFill/>
        <a:ln w="28575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666750</xdr:colOff>
      <xdr:row>16</xdr:row>
      <xdr:rowOff>161926</xdr:rowOff>
    </xdr:from>
    <xdr:to>
      <xdr:col>23</xdr:col>
      <xdr:colOff>38100</xdr:colOff>
      <xdr:row>19</xdr:row>
      <xdr:rowOff>38100</xdr:rowOff>
    </xdr:to>
    <xdr:sp macro="" textlink="">
      <xdr:nvSpPr>
        <xdr:cNvPr id="13" name="직사각형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9753600" y="3514726"/>
          <a:ext cx="5743575" cy="504824"/>
        </a:xfrm>
        <a:prstGeom prst="rect">
          <a:avLst/>
        </a:prstGeom>
        <a:noFill/>
        <a:ln w="28575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9526</xdr:colOff>
      <xdr:row>19</xdr:row>
      <xdr:rowOff>161926</xdr:rowOff>
    </xdr:from>
    <xdr:to>
      <xdr:col>20</xdr:col>
      <xdr:colOff>19051</xdr:colOff>
      <xdr:row>22</xdr:row>
      <xdr:rowOff>38100</xdr:rowOff>
    </xdr:to>
    <xdr:sp macro="" textlink="">
      <xdr:nvSpPr>
        <xdr:cNvPr id="14" name="직사각형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9782176" y="4143376"/>
          <a:ext cx="3638550" cy="504824"/>
        </a:xfrm>
        <a:prstGeom prst="rect">
          <a:avLst/>
        </a:prstGeom>
        <a:noFill/>
        <a:ln w="28575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11</xdr:row>
          <xdr:rowOff>19050</xdr:rowOff>
        </xdr:from>
        <xdr:to>
          <xdr:col>16</xdr:col>
          <xdr:colOff>666750</xdr:colOff>
          <xdr:row>12</xdr:row>
          <xdr:rowOff>190500</xdr:rowOff>
        </xdr:to>
        <xdr:sp macro="" textlink="">
          <xdr:nvSpPr>
            <xdr:cNvPr id="3073" name="Label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17</xdr:row>
          <xdr:rowOff>19050</xdr:rowOff>
        </xdr:from>
        <xdr:to>
          <xdr:col>16</xdr:col>
          <xdr:colOff>685800</xdr:colOff>
          <xdr:row>19</xdr:row>
          <xdr:rowOff>0</xdr:rowOff>
        </xdr:to>
        <xdr:sp macro="" textlink="">
          <xdr:nvSpPr>
            <xdr:cNvPr id="3074" name="Label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38100</xdr:colOff>
          <xdr:row>17</xdr:row>
          <xdr:rowOff>9525</xdr:rowOff>
        </xdr:from>
        <xdr:to>
          <xdr:col>19</xdr:col>
          <xdr:colOff>714375</xdr:colOff>
          <xdr:row>18</xdr:row>
          <xdr:rowOff>200025</xdr:rowOff>
        </xdr:to>
        <xdr:sp macro="" textlink="">
          <xdr:nvSpPr>
            <xdr:cNvPr id="3075" name="Label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22</xdr:col>
          <xdr:colOff>676275</xdr:colOff>
          <xdr:row>18</xdr:row>
          <xdr:rowOff>200025</xdr:rowOff>
        </xdr:to>
        <xdr:sp macro="" textlink="">
          <xdr:nvSpPr>
            <xdr:cNvPr id="3076" name="Label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20</xdr:row>
          <xdr:rowOff>19050</xdr:rowOff>
        </xdr:from>
        <xdr:to>
          <xdr:col>16</xdr:col>
          <xdr:colOff>676275</xdr:colOff>
          <xdr:row>22</xdr:row>
          <xdr:rowOff>0</xdr:rowOff>
        </xdr:to>
        <xdr:sp macro="" textlink="">
          <xdr:nvSpPr>
            <xdr:cNvPr id="3077" name="Label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</xdr:colOff>
          <xdr:row>20</xdr:row>
          <xdr:rowOff>19050</xdr:rowOff>
        </xdr:from>
        <xdr:to>
          <xdr:col>19</xdr:col>
          <xdr:colOff>704850</xdr:colOff>
          <xdr:row>22</xdr:row>
          <xdr:rowOff>0</xdr:rowOff>
        </xdr:to>
        <xdr:sp macro="" textlink="">
          <xdr:nvSpPr>
            <xdr:cNvPr id="3078" name="Label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14</xdr:row>
          <xdr:rowOff>19050</xdr:rowOff>
        </xdr:from>
        <xdr:to>
          <xdr:col>16</xdr:col>
          <xdr:colOff>685800</xdr:colOff>
          <xdr:row>16</xdr:row>
          <xdr:rowOff>0</xdr:rowOff>
        </xdr:to>
        <xdr:sp macro="" textlink="">
          <xdr:nvSpPr>
            <xdr:cNvPr id="3079" name="Label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</xdr:colOff>
          <xdr:row>14</xdr:row>
          <xdr:rowOff>0</xdr:rowOff>
        </xdr:from>
        <xdr:to>
          <xdr:col>19</xdr:col>
          <xdr:colOff>704850</xdr:colOff>
          <xdr:row>15</xdr:row>
          <xdr:rowOff>190500</xdr:rowOff>
        </xdr:to>
        <xdr:sp macro="" textlink="">
          <xdr:nvSpPr>
            <xdr:cNvPr id="3080" name="Label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26</xdr:row>
          <xdr:rowOff>19050</xdr:rowOff>
        </xdr:from>
        <xdr:to>
          <xdr:col>16</xdr:col>
          <xdr:colOff>676275</xdr:colOff>
          <xdr:row>28</xdr:row>
          <xdr:rowOff>0</xdr:rowOff>
        </xdr:to>
        <xdr:sp macro="" textlink="">
          <xdr:nvSpPr>
            <xdr:cNvPr id="3081" name="Label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14</xdr:row>
          <xdr:rowOff>9525</xdr:rowOff>
        </xdr:from>
        <xdr:to>
          <xdr:col>22</xdr:col>
          <xdr:colOff>676275</xdr:colOff>
          <xdr:row>15</xdr:row>
          <xdr:rowOff>200025</xdr:rowOff>
        </xdr:to>
        <xdr:sp macro="" textlink="">
          <xdr:nvSpPr>
            <xdr:cNvPr id="3082" name="Label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J48"/>
  <sheetViews>
    <sheetView showGridLines="0" zoomScale="85" zoomScaleNormal="85" workbookViewId="0">
      <selection activeCell="J12" sqref="J12"/>
    </sheetView>
  </sheetViews>
  <sheetFormatPr defaultRowHeight="20.100000000000001" customHeight="1"/>
  <cols>
    <col min="1" max="1" width="3.125" style="62" customWidth="1"/>
    <col min="2" max="2" width="5.25" style="62" customWidth="1"/>
    <col min="3" max="6" width="29.125" style="62" customWidth="1"/>
    <col min="7" max="7" width="17.875" style="62" customWidth="1"/>
    <col min="8" max="9" width="14.125" style="62" customWidth="1"/>
    <col min="10" max="10" width="62.5" style="62" customWidth="1"/>
    <col min="11" max="16384" width="9" style="62"/>
  </cols>
  <sheetData>
    <row r="1" spans="2:10" ht="18" customHeight="1"/>
    <row r="2" spans="2:10" ht="20.100000000000001" customHeight="1">
      <c r="B2" s="131" t="s">
        <v>128</v>
      </c>
      <c r="C2" s="132"/>
      <c r="D2" s="132"/>
      <c r="E2" s="132"/>
      <c r="F2" s="132"/>
      <c r="G2" s="133"/>
      <c r="H2" s="73"/>
      <c r="I2" s="73"/>
      <c r="J2" s="73"/>
    </row>
    <row r="3" spans="2:10" ht="20.100000000000001" customHeight="1">
      <c r="B3" s="64" t="s">
        <v>123</v>
      </c>
      <c r="C3" s="70"/>
      <c r="D3" s="70"/>
      <c r="E3" s="70"/>
      <c r="F3" s="70"/>
      <c r="G3" s="71"/>
      <c r="H3" s="73"/>
      <c r="I3" s="73"/>
      <c r="J3" s="73"/>
    </row>
    <row r="4" spans="2:10" ht="20.100000000000001" customHeight="1">
      <c r="B4" s="128" t="s">
        <v>122</v>
      </c>
      <c r="C4" s="129"/>
      <c r="D4" s="129"/>
      <c r="E4" s="129"/>
      <c r="F4" s="129"/>
      <c r="G4" s="130"/>
      <c r="H4" s="73"/>
      <c r="I4" s="73"/>
      <c r="J4" s="73"/>
    </row>
    <row r="5" spans="2:10" ht="9.75" customHeight="1">
      <c r="B5" s="128"/>
      <c r="C5" s="129"/>
      <c r="D5" s="129"/>
      <c r="E5" s="129"/>
      <c r="F5" s="129"/>
      <c r="G5" s="130"/>
      <c r="H5" s="73"/>
      <c r="I5" s="73"/>
      <c r="J5" s="73"/>
    </row>
    <row r="6" spans="2:10" ht="20.100000000000001" customHeight="1">
      <c r="B6" s="128" t="s">
        <v>124</v>
      </c>
      <c r="C6" s="129"/>
      <c r="D6" s="129"/>
      <c r="E6" s="129"/>
      <c r="F6" s="129"/>
      <c r="G6" s="130"/>
      <c r="H6" s="73"/>
      <c r="I6" s="73"/>
      <c r="J6" s="73"/>
    </row>
    <row r="7" spans="2:10" ht="20.100000000000001" customHeight="1">
      <c r="B7" s="128" t="s">
        <v>125</v>
      </c>
      <c r="C7" s="129"/>
      <c r="D7" s="129"/>
      <c r="E7" s="129"/>
      <c r="F7" s="129"/>
      <c r="G7" s="130"/>
      <c r="H7" s="73"/>
      <c r="I7" s="73"/>
      <c r="J7" s="73"/>
    </row>
    <row r="8" spans="2:10" ht="20.100000000000001" customHeight="1">
      <c r="B8" s="128" t="s">
        <v>157</v>
      </c>
      <c r="C8" s="129"/>
      <c r="D8" s="129"/>
      <c r="E8" s="129"/>
      <c r="F8" s="129"/>
      <c r="G8" s="130"/>
      <c r="H8" s="73"/>
      <c r="I8" s="73"/>
      <c r="J8" s="73"/>
    </row>
    <row r="9" spans="2:10" ht="20.100000000000001" customHeight="1">
      <c r="B9" s="128" t="s">
        <v>126</v>
      </c>
      <c r="C9" s="129"/>
      <c r="D9" s="129"/>
      <c r="E9" s="129"/>
      <c r="F9" s="129"/>
      <c r="G9" s="130"/>
      <c r="H9" s="73"/>
      <c r="I9" s="73"/>
      <c r="J9" s="73"/>
    </row>
    <row r="10" spans="2:10" ht="20.100000000000001" customHeight="1">
      <c r="B10" s="64" t="s">
        <v>127</v>
      </c>
      <c r="C10" s="70"/>
      <c r="D10" s="70"/>
      <c r="E10" s="70"/>
      <c r="F10" s="70"/>
      <c r="G10" s="71"/>
      <c r="H10" s="73"/>
      <c r="I10" s="73"/>
      <c r="J10" s="73"/>
    </row>
    <row r="11" spans="2:10" ht="20.100000000000001" customHeight="1">
      <c r="B11" s="64"/>
      <c r="C11" s="70"/>
      <c r="D11" s="70"/>
      <c r="E11" s="70"/>
      <c r="F11" s="70"/>
      <c r="G11" s="71"/>
      <c r="H11" s="73"/>
      <c r="I11" s="73"/>
      <c r="J11" s="73"/>
    </row>
    <row r="12" spans="2:10" ht="20.100000000000001" customHeight="1">
      <c r="B12" s="64"/>
      <c r="C12" s="70"/>
      <c r="D12" s="70"/>
      <c r="E12" s="70"/>
      <c r="F12" s="70"/>
      <c r="G12" s="71"/>
      <c r="H12" s="73"/>
      <c r="I12" s="73"/>
      <c r="J12" s="73"/>
    </row>
    <row r="13" spans="2:10" ht="20.100000000000001" customHeight="1">
      <c r="B13" s="64"/>
      <c r="C13" s="70"/>
      <c r="D13" s="70"/>
      <c r="E13" s="70"/>
      <c r="F13" s="70"/>
      <c r="G13" s="71"/>
      <c r="H13" s="73"/>
      <c r="I13" s="73"/>
      <c r="J13" s="73"/>
    </row>
    <row r="14" spans="2:10" ht="20.100000000000001" customHeight="1">
      <c r="B14" s="64"/>
      <c r="C14" s="70"/>
      <c r="D14" s="70"/>
      <c r="E14" s="70"/>
      <c r="F14" s="70"/>
      <c r="G14" s="71"/>
      <c r="H14" s="73"/>
      <c r="I14" s="73"/>
      <c r="J14" s="73"/>
    </row>
    <row r="15" spans="2:10" ht="20.100000000000001" customHeight="1">
      <c r="B15" s="64"/>
      <c r="C15" s="70"/>
      <c r="D15" s="70"/>
      <c r="E15" s="70"/>
      <c r="F15" s="70"/>
      <c r="G15" s="71"/>
      <c r="H15" s="73"/>
      <c r="I15" s="73"/>
      <c r="J15" s="73"/>
    </row>
    <row r="16" spans="2:10" ht="20.100000000000001" customHeight="1">
      <c r="B16" s="64"/>
      <c r="C16" s="70"/>
      <c r="D16" s="70"/>
      <c r="E16" s="70"/>
      <c r="F16" s="70"/>
      <c r="G16" s="71"/>
      <c r="H16" s="73"/>
      <c r="I16" s="73"/>
      <c r="J16" s="73"/>
    </row>
    <row r="17" spans="2:10" ht="20.100000000000001" customHeight="1">
      <c r="B17" s="64"/>
      <c r="C17" s="70"/>
      <c r="D17" s="70"/>
      <c r="E17" s="70"/>
      <c r="F17" s="70"/>
      <c r="G17" s="71"/>
      <c r="H17" s="70"/>
      <c r="I17" s="70"/>
      <c r="J17" s="70"/>
    </row>
    <row r="18" spans="2:10" ht="20.100000000000001" customHeight="1">
      <c r="B18" s="64"/>
      <c r="C18" s="70"/>
      <c r="D18" s="70"/>
      <c r="E18" s="70"/>
      <c r="F18" s="70"/>
      <c r="G18" s="71"/>
      <c r="H18" s="70"/>
      <c r="I18" s="70"/>
      <c r="J18" s="70"/>
    </row>
    <row r="19" spans="2:10" ht="20.25" customHeight="1">
      <c r="B19" s="64"/>
      <c r="C19" s="65"/>
      <c r="D19" s="65"/>
      <c r="E19" s="65"/>
      <c r="F19" s="65"/>
      <c r="G19" s="66"/>
      <c r="H19" s="65"/>
      <c r="I19" s="65"/>
      <c r="J19" s="65"/>
    </row>
    <row r="20" spans="2:10" ht="20.100000000000001" customHeight="1">
      <c r="B20" s="64"/>
      <c r="C20" s="65"/>
      <c r="D20" s="65"/>
      <c r="E20" s="65"/>
      <c r="F20" s="65"/>
      <c r="G20" s="66"/>
      <c r="H20" s="65"/>
      <c r="I20" s="65"/>
      <c r="J20" s="65"/>
    </row>
    <row r="21" spans="2:10" ht="19.5" customHeight="1">
      <c r="B21" s="67"/>
      <c r="C21" s="68"/>
      <c r="D21" s="68"/>
      <c r="E21" s="68"/>
      <c r="F21" s="68"/>
      <c r="G21" s="69"/>
      <c r="H21" s="65"/>
      <c r="I21" s="65"/>
      <c r="J21" s="65"/>
    </row>
    <row r="22" spans="2:10" ht="20.100000000000001" customHeight="1">
      <c r="B22" s="63"/>
    </row>
    <row r="23" spans="2:10" ht="20.100000000000001" customHeight="1">
      <c r="B23" s="124" t="s">
        <v>121</v>
      </c>
      <c r="C23" s="125"/>
      <c r="D23" s="125"/>
      <c r="E23" s="125"/>
      <c r="F23" s="125"/>
      <c r="G23" s="125"/>
      <c r="H23" s="72"/>
      <c r="I23" s="73"/>
      <c r="J23" s="73"/>
    </row>
    <row r="24" spans="2:10" ht="19.5" customHeight="1">
      <c r="B24" s="121" t="s">
        <v>120</v>
      </c>
      <c r="C24" s="122"/>
      <c r="D24" s="122"/>
      <c r="E24" s="122"/>
      <c r="F24" s="122"/>
      <c r="G24" s="122"/>
      <c r="H24" s="74"/>
    </row>
    <row r="25" spans="2:10" ht="19.5" customHeight="1">
      <c r="B25" s="121" t="s">
        <v>119</v>
      </c>
      <c r="C25" s="122"/>
      <c r="D25" s="122"/>
      <c r="E25" s="122"/>
      <c r="F25" s="122"/>
      <c r="G25" s="122"/>
      <c r="H25" s="74"/>
    </row>
    <row r="26" spans="2:10" ht="9.75" customHeight="1">
      <c r="B26" s="121"/>
      <c r="C26" s="122"/>
      <c r="D26" s="122"/>
      <c r="E26" s="122"/>
      <c r="F26" s="122"/>
      <c r="G26" s="122"/>
      <c r="H26" s="74"/>
    </row>
    <row r="27" spans="2:10" ht="20.100000000000001" customHeight="1">
      <c r="B27" s="128" t="s">
        <v>118</v>
      </c>
      <c r="C27" s="129"/>
      <c r="D27" s="129"/>
      <c r="E27" s="129"/>
      <c r="F27" s="129"/>
      <c r="G27" s="129"/>
      <c r="H27" s="72"/>
      <c r="I27" s="73"/>
      <c r="J27" s="73"/>
    </row>
    <row r="28" spans="2:10" ht="20.100000000000001" customHeight="1">
      <c r="B28" s="121" t="s">
        <v>117</v>
      </c>
      <c r="C28" s="122"/>
      <c r="D28" s="122"/>
      <c r="E28" s="122"/>
      <c r="F28" s="122"/>
      <c r="G28" s="122"/>
      <c r="H28" s="74"/>
    </row>
    <row r="29" spans="2:10" ht="20.100000000000001" customHeight="1">
      <c r="B29" s="134" t="s">
        <v>116</v>
      </c>
      <c r="C29" s="135"/>
      <c r="D29" s="135"/>
      <c r="E29" s="135"/>
      <c r="F29" s="135"/>
      <c r="G29" s="135"/>
      <c r="H29" s="74"/>
    </row>
    <row r="31" spans="2:10" ht="20.100000000000001" customHeight="1">
      <c r="B31" s="124" t="s">
        <v>170</v>
      </c>
      <c r="C31" s="125"/>
      <c r="D31" s="125"/>
      <c r="E31" s="125"/>
      <c r="F31" s="125"/>
      <c r="G31" s="126"/>
    </row>
    <row r="32" spans="2:10" ht="20.100000000000001" customHeight="1">
      <c r="B32" s="127" t="s">
        <v>171</v>
      </c>
      <c r="C32" s="122"/>
      <c r="D32" s="122"/>
      <c r="E32" s="122"/>
      <c r="F32" s="122"/>
      <c r="G32" s="123"/>
    </row>
    <row r="33" spans="2:8" ht="20.100000000000001" customHeight="1">
      <c r="B33" s="121" t="s">
        <v>172</v>
      </c>
      <c r="C33" s="122"/>
      <c r="D33" s="122"/>
      <c r="E33" s="122"/>
      <c r="F33" s="122"/>
      <c r="G33" s="123"/>
    </row>
    <row r="34" spans="2:8" ht="20.100000000000001" customHeight="1">
      <c r="B34" s="121" t="s">
        <v>174</v>
      </c>
      <c r="C34" s="122"/>
      <c r="D34" s="122"/>
      <c r="E34" s="122"/>
      <c r="F34" s="122"/>
      <c r="G34" s="123"/>
    </row>
    <row r="35" spans="2:8" ht="20.100000000000001" customHeight="1">
      <c r="B35" s="128"/>
      <c r="C35" s="129"/>
      <c r="D35" s="129"/>
      <c r="E35" s="129"/>
      <c r="F35" s="129"/>
      <c r="G35" s="130"/>
      <c r="H35" s="62" t="s">
        <v>173</v>
      </c>
    </row>
    <row r="36" spans="2:8" ht="20.100000000000001" customHeight="1">
      <c r="B36" s="121"/>
      <c r="C36" s="122"/>
      <c r="D36" s="122"/>
      <c r="E36" s="122"/>
      <c r="F36" s="122"/>
      <c r="G36" s="123"/>
    </row>
    <row r="37" spans="2:8" ht="20.100000000000001" customHeight="1">
      <c r="B37" s="121"/>
      <c r="C37" s="122"/>
      <c r="D37" s="122"/>
      <c r="E37" s="122"/>
      <c r="F37" s="122"/>
      <c r="G37" s="123"/>
    </row>
    <row r="38" spans="2:8" ht="20.100000000000001" customHeight="1">
      <c r="B38" s="74"/>
      <c r="G38" s="115"/>
    </row>
    <row r="39" spans="2:8" ht="20.100000000000001" customHeight="1">
      <c r="B39" s="74"/>
      <c r="G39" s="115"/>
    </row>
    <row r="40" spans="2:8" ht="20.100000000000001" customHeight="1">
      <c r="B40" s="74"/>
      <c r="G40" s="115"/>
    </row>
    <row r="41" spans="2:8" ht="20.100000000000001" customHeight="1">
      <c r="B41" s="74"/>
      <c r="G41" s="115"/>
    </row>
    <row r="42" spans="2:8" ht="20.100000000000001" customHeight="1">
      <c r="B42" s="74"/>
      <c r="G42" s="115"/>
    </row>
    <row r="43" spans="2:8" ht="20.100000000000001" customHeight="1">
      <c r="B43" s="74"/>
      <c r="G43" s="115"/>
    </row>
    <row r="44" spans="2:8" s="114" customFormat="1" ht="40.5" customHeight="1">
      <c r="B44" s="116"/>
      <c r="G44" s="117"/>
    </row>
    <row r="45" spans="2:8" s="114" customFormat="1" ht="67.5" customHeight="1">
      <c r="B45" s="116"/>
      <c r="G45" s="117"/>
    </row>
    <row r="46" spans="2:8" s="114" customFormat="1" ht="70.5" customHeight="1">
      <c r="B46" s="118"/>
      <c r="C46" s="119"/>
      <c r="D46" s="119"/>
      <c r="E46" s="119"/>
      <c r="F46" s="119"/>
      <c r="G46" s="120"/>
    </row>
    <row r="47" spans="2:8" s="114" customFormat="1" ht="62.25" customHeight="1"/>
    <row r="48" spans="2:8" s="114" customFormat="1" ht="77.25" customHeight="1"/>
  </sheetData>
  <mergeCells count="21">
    <mergeCell ref="B24:G24"/>
    <mergeCell ref="B23:G23"/>
    <mergeCell ref="B29:G29"/>
    <mergeCell ref="B28:G28"/>
    <mergeCell ref="B27:G27"/>
    <mergeCell ref="B26:G26"/>
    <mergeCell ref="B25:G25"/>
    <mergeCell ref="B2:G2"/>
    <mergeCell ref="B9:G9"/>
    <mergeCell ref="B8:G8"/>
    <mergeCell ref="B7:G7"/>
    <mergeCell ref="B6:G6"/>
    <mergeCell ref="B5:G5"/>
    <mergeCell ref="B4:G4"/>
    <mergeCell ref="B36:G36"/>
    <mergeCell ref="B37:G37"/>
    <mergeCell ref="B31:G31"/>
    <mergeCell ref="B32:G32"/>
    <mergeCell ref="B33:G33"/>
    <mergeCell ref="B34:G34"/>
    <mergeCell ref="B35:G35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M38"/>
  <sheetViews>
    <sheetView zoomScale="85" zoomScaleNormal="85" workbookViewId="0">
      <selection activeCell="E8" sqref="E8"/>
    </sheetView>
  </sheetViews>
  <sheetFormatPr defaultRowHeight="16.5"/>
  <cols>
    <col min="2" max="3" width="11.625" customWidth="1"/>
    <col min="4" max="10" width="12" customWidth="1"/>
  </cols>
  <sheetData>
    <row r="1" spans="1:13" ht="9.75" customHeight="1"/>
    <row r="2" spans="1:13" ht="21" customHeight="1">
      <c r="A2" s="105"/>
      <c r="B2" s="152" t="s">
        <v>154</v>
      </c>
      <c r="C2" s="154"/>
      <c r="D2" s="154"/>
      <c r="E2" s="154"/>
      <c r="F2" s="154"/>
      <c r="G2" s="154"/>
      <c r="H2" s="154"/>
      <c r="I2" s="154"/>
      <c r="J2" s="154"/>
    </row>
    <row r="3" spans="1:13" ht="21" customHeight="1">
      <c r="B3" s="153"/>
      <c r="C3" s="154"/>
      <c r="D3" s="154"/>
      <c r="E3" s="154"/>
      <c r="F3" s="154"/>
      <c r="G3" s="154"/>
      <c r="H3" s="154"/>
      <c r="I3" s="154"/>
      <c r="J3" s="154"/>
    </row>
    <row r="4" spans="1:13" ht="21" customHeight="1">
      <c r="B4" s="153"/>
      <c r="C4" s="154"/>
      <c r="D4" s="154"/>
      <c r="E4" s="154"/>
      <c r="F4" s="154"/>
      <c r="G4" s="154"/>
      <c r="H4" s="154"/>
      <c r="I4" s="154"/>
      <c r="J4" s="154"/>
    </row>
    <row r="5" spans="1:13" ht="24.75" customHeight="1">
      <c r="B5" s="153"/>
      <c r="C5" s="154" t="s">
        <v>155</v>
      </c>
      <c r="D5" s="154"/>
      <c r="E5" s="154"/>
      <c r="F5" s="154"/>
      <c r="G5" s="154"/>
      <c r="H5" s="154"/>
      <c r="I5" s="154"/>
      <c r="J5" s="154"/>
    </row>
    <row r="6" spans="1:13">
      <c r="B6" s="106"/>
      <c r="C6" s="107"/>
      <c r="D6" s="107"/>
    </row>
    <row r="7" spans="1:13" ht="26.25" customHeight="1">
      <c r="B7" s="159" t="s">
        <v>93</v>
      </c>
      <c r="C7" s="160"/>
      <c r="D7" s="45" t="s">
        <v>94</v>
      </c>
      <c r="E7" s="46"/>
      <c r="F7" s="46"/>
      <c r="G7" s="46"/>
      <c r="H7" s="46"/>
      <c r="I7" s="46"/>
      <c r="J7" s="47"/>
    </row>
    <row r="8" spans="1:13" ht="26.25" customHeight="1">
      <c r="B8" s="161"/>
      <c r="C8" s="162"/>
      <c r="D8" s="48" t="s">
        <v>144</v>
      </c>
      <c r="E8" s="49"/>
      <c r="F8" s="49"/>
      <c r="G8" s="49"/>
      <c r="H8" s="49"/>
      <c r="I8" s="49"/>
      <c r="J8" s="50"/>
    </row>
    <row r="9" spans="1:13" ht="26.25" customHeight="1">
      <c r="B9" s="146" t="s">
        <v>95</v>
      </c>
      <c r="C9" s="147"/>
      <c r="D9" s="51" t="s">
        <v>96</v>
      </c>
      <c r="J9" s="52"/>
    </row>
    <row r="10" spans="1:13" ht="26.25" customHeight="1">
      <c r="B10" s="148"/>
      <c r="C10" s="149"/>
      <c r="D10" s="56" t="s">
        <v>141</v>
      </c>
      <c r="J10" s="52"/>
      <c r="M10" s="44"/>
    </row>
    <row r="11" spans="1:13" ht="26.25" customHeight="1">
      <c r="B11" s="148"/>
      <c r="C11" s="149"/>
      <c r="D11" s="56" t="s">
        <v>137</v>
      </c>
      <c r="J11" s="52"/>
      <c r="M11" s="59"/>
    </row>
    <row r="12" spans="1:13" ht="26.25" customHeight="1">
      <c r="B12" s="148"/>
      <c r="C12" s="149"/>
      <c r="D12" s="57" t="s">
        <v>107</v>
      </c>
      <c r="J12" s="52"/>
    </row>
    <row r="13" spans="1:13" ht="26.25" customHeight="1">
      <c r="B13" s="148"/>
      <c r="C13" s="149"/>
      <c r="D13" s="53" t="s">
        <v>97</v>
      </c>
      <c r="J13" s="52"/>
    </row>
    <row r="14" spans="1:13" ht="26.25" customHeight="1">
      <c r="B14" s="148"/>
      <c r="C14" s="149"/>
      <c r="D14" s="53" t="s">
        <v>156</v>
      </c>
      <c r="J14" s="52"/>
    </row>
    <row r="15" spans="1:13" ht="26.25" customHeight="1">
      <c r="B15" s="148"/>
      <c r="C15" s="149"/>
      <c r="D15" s="56" t="s">
        <v>142</v>
      </c>
      <c r="J15" s="52"/>
    </row>
    <row r="16" spans="1:13" ht="26.25" customHeight="1">
      <c r="B16" s="150"/>
      <c r="C16" s="151"/>
      <c r="D16" s="77" t="s">
        <v>129</v>
      </c>
      <c r="E16" s="49"/>
      <c r="F16" s="49"/>
      <c r="G16" s="49"/>
      <c r="H16" s="49"/>
      <c r="I16" s="49"/>
      <c r="J16" s="50"/>
    </row>
    <row r="17" spans="2:10" ht="26.25" customHeight="1">
      <c r="B17" s="163" t="s">
        <v>98</v>
      </c>
      <c r="C17" s="164"/>
      <c r="D17" s="54" t="s">
        <v>99</v>
      </c>
      <c r="E17" s="46"/>
      <c r="F17" s="46"/>
      <c r="G17" s="46"/>
      <c r="H17" s="46"/>
      <c r="I17" s="46"/>
      <c r="J17" s="47"/>
    </row>
    <row r="18" spans="2:10" ht="26.25" customHeight="1">
      <c r="B18" s="165"/>
      <c r="C18" s="166"/>
      <c r="D18" s="51" t="s">
        <v>110</v>
      </c>
      <c r="J18" s="52"/>
    </row>
    <row r="19" spans="2:10" ht="26.25" customHeight="1">
      <c r="B19" s="165"/>
      <c r="C19" s="166"/>
      <c r="D19" s="51" t="s">
        <v>111</v>
      </c>
      <c r="J19" s="52"/>
    </row>
    <row r="20" spans="2:10" ht="26.25" customHeight="1">
      <c r="B20" s="167"/>
      <c r="C20" s="168"/>
      <c r="D20" s="58" t="s">
        <v>112</v>
      </c>
      <c r="E20" s="49"/>
      <c r="F20" s="49"/>
      <c r="G20" s="49"/>
      <c r="H20" s="49"/>
      <c r="I20" s="49"/>
      <c r="J20" s="50"/>
    </row>
    <row r="21" spans="2:10" ht="26.25" customHeight="1">
      <c r="B21" s="155" t="s">
        <v>100</v>
      </c>
      <c r="C21" s="156"/>
      <c r="D21" s="55" t="s">
        <v>101</v>
      </c>
      <c r="E21" s="46"/>
      <c r="F21" s="46"/>
      <c r="G21" s="46"/>
      <c r="H21" s="46"/>
      <c r="I21" s="46"/>
      <c r="J21" s="47"/>
    </row>
    <row r="22" spans="2:10" ht="26.25" customHeight="1">
      <c r="B22" s="157"/>
      <c r="C22" s="158"/>
      <c r="D22" s="48" t="s">
        <v>108</v>
      </c>
      <c r="E22" s="49"/>
      <c r="F22" s="49"/>
      <c r="G22" s="49"/>
      <c r="H22" s="49"/>
      <c r="I22" s="49"/>
      <c r="J22" s="50"/>
    </row>
    <row r="23" spans="2:10" ht="26.25" customHeight="1">
      <c r="B23" s="140" t="s">
        <v>102</v>
      </c>
      <c r="C23" s="141"/>
      <c r="D23" s="102" t="s">
        <v>140</v>
      </c>
      <c r="E23" s="46"/>
      <c r="F23" s="46"/>
      <c r="G23" s="46"/>
      <c r="H23" s="46"/>
      <c r="I23" s="46"/>
      <c r="J23" s="47"/>
    </row>
    <row r="24" spans="2:10" ht="26.25" customHeight="1">
      <c r="B24" s="142"/>
      <c r="C24" s="143"/>
      <c r="D24" s="56" t="s">
        <v>160</v>
      </c>
      <c r="J24" s="52"/>
    </row>
    <row r="25" spans="2:10" ht="26.25" customHeight="1">
      <c r="B25" s="142"/>
      <c r="C25" s="143"/>
      <c r="D25" s="56" t="s">
        <v>113</v>
      </c>
      <c r="J25" s="52"/>
    </row>
    <row r="26" spans="2:10" ht="26.25" customHeight="1">
      <c r="B26" s="142"/>
      <c r="C26" s="143"/>
      <c r="D26" s="56" t="s">
        <v>139</v>
      </c>
      <c r="J26" s="52"/>
    </row>
    <row r="27" spans="2:10" ht="26.25" customHeight="1">
      <c r="B27" s="144"/>
      <c r="C27" s="145"/>
      <c r="D27" s="78" t="s">
        <v>130</v>
      </c>
      <c r="E27" s="49"/>
      <c r="F27" s="49"/>
      <c r="G27" s="49"/>
      <c r="H27" s="49"/>
      <c r="I27" s="49"/>
      <c r="J27" s="50"/>
    </row>
    <row r="28" spans="2:10" ht="26.25" customHeight="1">
      <c r="B28" s="136" t="s">
        <v>103</v>
      </c>
      <c r="C28" s="137"/>
      <c r="D28" s="57" t="s">
        <v>114</v>
      </c>
      <c r="J28" s="52"/>
    </row>
    <row r="29" spans="2:10" ht="26.25" customHeight="1">
      <c r="B29" s="136"/>
      <c r="C29" s="137"/>
      <c r="D29" t="s">
        <v>115</v>
      </c>
      <c r="J29" s="52"/>
    </row>
    <row r="30" spans="2:10" ht="26.25" customHeight="1">
      <c r="B30" s="138"/>
      <c r="C30" s="139"/>
      <c r="D30" s="61" t="s">
        <v>143</v>
      </c>
      <c r="E30" s="49"/>
      <c r="F30" s="49"/>
      <c r="G30" s="49"/>
      <c r="H30" s="49"/>
      <c r="I30" s="49"/>
      <c r="J30" s="50"/>
    </row>
    <row r="31" spans="2:10">
      <c r="B31" s="32"/>
    </row>
    <row r="32" spans="2:10">
      <c r="B32" s="32" t="s">
        <v>164</v>
      </c>
    </row>
    <row r="33" spans="2:2">
      <c r="B33" t="s">
        <v>161</v>
      </c>
    </row>
    <row r="34" spans="2:2">
      <c r="B34" t="s">
        <v>162</v>
      </c>
    </row>
    <row r="35" spans="2:2">
      <c r="B35" t="s">
        <v>163</v>
      </c>
    </row>
    <row r="36" spans="2:2">
      <c r="B36" s="32"/>
    </row>
    <row r="37" spans="2:2">
      <c r="B37" s="32"/>
    </row>
    <row r="38" spans="2:2">
      <c r="B38" s="32"/>
    </row>
  </sheetData>
  <mergeCells count="9">
    <mergeCell ref="B28:C30"/>
    <mergeCell ref="B23:C27"/>
    <mergeCell ref="B9:C16"/>
    <mergeCell ref="B2:B5"/>
    <mergeCell ref="C5:J5"/>
    <mergeCell ref="C2:J4"/>
    <mergeCell ref="B21:C22"/>
    <mergeCell ref="B7:C8"/>
    <mergeCell ref="B17:C20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Label 1">
              <controlPr defaultSize="0" autoFill="0" autoLine="0" autoPict="0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9</xdr:col>
                    <xdr:colOff>2495550</xdr:colOff>
                    <xdr:row>2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X502"/>
  <sheetViews>
    <sheetView tabSelected="1" workbookViewId="0">
      <selection activeCell="F9" sqref="F9"/>
    </sheetView>
  </sheetViews>
  <sheetFormatPr defaultRowHeight="16.5"/>
  <cols>
    <col min="2" max="2" width="11" style="25" bestFit="1" customWidth="1"/>
    <col min="3" max="3" width="5.25" style="25" bestFit="1" customWidth="1"/>
    <col min="4" max="4" width="9" style="25"/>
    <col min="5" max="5" width="0" style="25" hidden="1" customWidth="1"/>
    <col min="6" max="6" width="9" style="25"/>
    <col min="7" max="7" width="13" style="25" bestFit="1" customWidth="1"/>
    <col min="16" max="16" width="10.5" customWidth="1"/>
    <col min="17" max="17" width="9.375" customWidth="1"/>
    <col min="20" max="20" width="9.75" customWidth="1"/>
  </cols>
  <sheetData>
    <row r="1" spans="1:24">
      <c r="D1" s="5" t="s">
        <v>1</v>
      </c>
      <c r="E1" s="5" t="s">
        <v>1</v>
      </c>
      <c r="F1" s="5" t="s">
        <v>165</v>
      </c>
      <c r="G1" s="5" t="s">
        <v>2</v>
      </c>
      <c r="K1" t="s">
        <v>3</v>
      </c>
      <c r="L1" s="1" t="s">
        <v>10</v>
      </c>
    </row>
    <row r="2" spans="1:24">
      <c r="B2" s="4" t="s">
        <v>0</v>
      </c>
      <c r="C2" s="4" t="s">
        <v>13</v>
      </c>
      <c r="D2" s="5" t="s">
        <v>4</v>
      </c>
      <c r="E2" s="5" t="s">
        <v>9</v>
      </c>
      <c r="F2" s="5" t="s">
        <v>9</v>
      </c>
      <c r="G2" s="5"/>
      <c r="H2" s="8" t="s">
        <v>33</v>
      </c>
      <c r="K2" s="3" t="s">
        <v>11</v>
      </c>
      <c r="L2" s="4" t="s">
        <v>9</v>
      </c>
      <c r="N2" s="5" t="s">
        <v>5</v>
      </c>
      <c r="O2" s="170" t="s">
        <v>104</v>
      </c>
      <c r="P2" s="5" t="s">
        <v>6</v>
      </c>
      <c r="Q2" s="5" t="s">
        <v>106</v>
      </c>
      <c r="R2" s="5" t="s">
        <v>7</v>
      </c>
      <c r="S2" s="5" t="s">
        <v>8</v>
      </c>
      <c r="T2" s="5" t="s">
        <v>35</v>
      </c>
    </row>
    <row r="3" spans="1:24">
      <c r="A3" s="7" t="s">
        <v>32</v>
      </c>
      <c r="B3" s="4"/>
      <c r="C3" s="4"/>
      <c r="D3" s="4"/>
      <c r="E3" s="22"/>
      <c r="F3" s="22"/>
      <c r="G3" s="23" t="str">
        <f>IF(AND(D3=E3,E3=F3),"",IF(AND(F3="",D3=E3),"",IF(AND(D3="",E3=F3),"",IF(AND(E3="",D3=F3),"","불일치"))))</f>
        <v/>
      </c>
      <c r="H3" s="9" t="s">
        <v>34</v>
      </c>
      <c r="K3" s="2" t="str">
        <f>+IF(D3="","",+D3)</f>
        <v/>
      </c>
      <c r="L3" s="2" t="str">
        <f>RIGHT(K3,2)</f>
        <v/>
      </c>
      <c r="M3" s="2" t="str">
        <f>IF(B3="","",IF(COUNTIF($K$3:$K$295,K3)&gt;1,"동명",""))</f>
        <v/>
      </c>
      <c r="N3" s="5"/>
      <c r="O3" s="170"/>
      <c r="P3" s="5" t="str">
        <f>IF(COUNTA(B3:B482)=0,"",COUNTA(B3:B482))</f>
        <v/>
      </c>
      <c r="Q3" s="76"/>
      <c r="R3" s="5" t="str">
        <f>IF(COUNTA(B3:B482)=0,"",COUNTIF(C3:C482,1))</f>
        <v/>
      </c>
      <c r="S3" s="5" t="str">
        <f>IF(COUNTA(B3:B482)=0,"",COUNTIF(C3:C482,2))</f>
        <v/>
      </c>
      <c r="T3" s="5" t="str">
        <f>IF(Q3="","",P3/Q3)</f>
        <v/>
      </c>
    </row>
    <row r="4" spans="1:24">
      <c r="B4" s="60"/>
      <c r="C4" s="60"/>
      <c r="D4" s="2"/>
      <c r="E4" s="22"/>
      <c r="F4" s="22"/>
      <c r="G4" s="23" t="str">
        <f t="shared" ref="G4:G67" si="0">IF(AND(D4=E4,E4=F4),"",IF(AND(F4="",D4=E4),"",IF(AND(D4="",E4=F4),"",IF(AND(E4="",D4=F4),"","불일치"))))</f>
        <v/>
      </c>
      <c r="K4" s="2" t="str">
        <f t="shared" ref="K4:K67" si="1">+IF(D4="","",+D4)</f>
        <v/>
      </c>
      <c r="L4" s="2" t="str">
        <f t="shared" ref="L4:L67" si="2">RIGHT(K4,2)</f>
        <v/>
      </c>
      <c r="M4" s="2" t="str">
        <f t="shared" ref="M4:M67" si="3">IF(B4="","",IF(COUNTIF($K$3:$K$295,K4)&gt;1,"동명",""))</f>
        <v/>
      </c>
      <c r="N4" s="5"/>
      <c r="R4" s="5" t="str">
        <f>IF(Q3="","",R3/Q3)</f>
        <v/>
      </c>
      <c r="S4" s="5" t="str">
        <f>IF(Q3="","",S3/Q3)</f>
        <v/>
      </c>
    </row>
    <row r="5" spans="1:24">
      <c r="B5" s="22"/>
      <c r="C5" s="22"/>
      <c r="D5" s="22"/>
      <c r="E5" s="22"/>
      <c r="F5" s="22"/>
      <c r="G5" s="23" t="str">
        <f t="shared" si="0"/>
        <v/>
      </c>
      <c r="K5" s="2" t="str">
        <f t="shared" si="1"/>
        <v/>
      </c>
      <c r="L5" s="2" t="str">
        <f t="shared" si="2"/>
        <v/>
      </c>
      <c r="M5" s="2" t="str">
        <f t="shared" si="3"/>
        <v/>
      </c>
      <c r="N5" s="5"/>
      <c r="O5" s="170" t="s">
        <v>105</v>
      </c>
      <c r="P5" s="5" t="s">
        <v>87</v>
      </c>
      <c r="Q5" s="76"/>
      <c r="T5" s="5" t="str">
        <f>IF(Q5="","",R3/Q5)</f>
        <v/>
      </c>
      <c r="U5" s="44" t="s">
        <v>138</v>
      </c>
    </row>
    <row r="6" spans="1:24">
      <c r="B6" s="22"/>
      <c r="C6" s="22"/>
      <c r="D6" s="22"/>
      <c r="E6" s="22"/>
      <c r="F6" s="22"/>
      <c r="G6" s="23" t="str">
        <f t="shared" si="0"/>
        <v/>
      </c>
      <c r="H6" s="9"/>
      <c r="K6" s="2" t="str">
        <f t="shared" si="1"/>
        <v/>
      </c>
      <c r="L6" s="2" t="str">
        <f t="shared" si="2"/>
        <v/>
      </c>
      <c r="M6" s="2" t="str">
        <f t="shared" si="3"/>
        <v/>
      </c>
      <c r="N6" s="5"/>
      <c r="O6" s="170"/>
      <c r="P6" s="5" t="s">
        <v>88</v>
      </c>
      <c r="Q6" s="76"/>
      <c r="T6" s="5" t="str">
        <f>IF(Q6="","",S3/(Q6-Q5))</f>
        <v/>
      </c>
      <c r="U6" s="44" t="s">
        <v>133</v>
      </c>
    </row>
    <row r="7" spans="1:24">
      <c r="B7" s="22"/>
      <c r="C7" s="22"/>
      <c r="D7" s="22"/>
      <c r="E7" s="22"/>
      <c r="F7" s="22"/>
      <c r="G7" s="23" t="str">
        <f t="shared" si="0"/>
        <v/>
      </c>
      <c r="H7" s="10"/>
      <c r="K7" s="2" t="str">
        <f t="shared" si="1"/>
        <v/>
      </c>
      <c r="L7" s="2" t="str">
        <f t="shared" si="2"/>
        <v/>
      </c>
      <c r="M7" s="2" t="str">
        <f t="shared" si="3"/>
        <v/>
      </c>
      <c r="N7" s="5"/>
      <c r="U7" s="44" t="s">
        <v>134</v>
      </c>
    </row>
    <row r="8" spans="1:24">
      <c r="B8" s="22"/>
      <c r="C8" s="22"/>
      <c r="D8" s="22"/>
      <c r="E8" s="22"/>
      <c r="F8" s="22"/>
      <c r="G8" s="23" t="str">
        <f t="shared" si="0"/>
        <v/>
      </c>
      <c r="H8" s="10"/>
      <c r="K8" s="2" t="str">
        <f t="shared" si="1"/>
        <v/>
      </c>
      <c r="L8" s="2" t="str">
        <f t="shared" si="2"/>
        <v/>
      </c>
      <c r="M8" s="2" t="str">
        <f t="shared" si="3"/>
        <v/>
      </c>
      <c r="N8" s="5"/>
      <c r="Q8" s="75"/>
      <c r="T8" s="104" t="s">
        <v>152</v>
      </c>
    </row>
    <row r="9" spans="1:24">
      <c r="B9" s="22"/>
      <c r="C9" s="22"/>
      <c r="D9" s="22"/>
      <c r="E9" s="22"/>
      <c r="F9" s="22"/>
      <c r="G9" s="23" t="str">
        <f t="shared" si="0"/>
        <v/>
      </c>
      <c r="K9" s="2" t="str">
        <f t="shared" si="1"/>
        <v/>
      </c>
      <c r="L9" s="2" t="str">
        <f t="shared" si="2"/>
        <v/>
      </c>
      <c r="M9" s="2" t="str">
        <f t="shared" si="3"/>
        <v/>
      </c>
      <c r="N9" s="5"/>
      <c r="T9" s="104" t="s">
        <v>153</v>
      </c>
    </row>
    <row r="10" spans="1:24">
      <c r="B10" s="22"/>
      <c r="C10" s="22"/>
      <c r="D10" s="22"/>
      <c r="E10" s="22"/>
      <c r="F10" s="22"/>
      <c r="G10" s="23" t="str">
        <f t="shared" si="0"/>
        <v/>
      </c>
      <c r="K10" s="2" t="str">
        <f t="shared" si="1"/>
        <v/>
      </c>
      <c r="L10" s="2" t="str">
        <f t="shared" si="2"/>
        <v/>
      </c>
      <c r="M10" s="2" t="str">
        <f t="shared" si="3"/>
        <v/>
      </c>
      <c r="N10" s="5"/>
    </row>
    <row r="11" spans="1:24">
      <c r="B11" s="22"/>
      <c r="C11" s="22"/>
      <c r="D11" s="22"/>
      <c r="E11" s="22"/>
      <c r="F11" s="22"/>
      <c r="G11" s="23" t="str">
        <f t="shared" si="0"/>
        <v/>
      </c>
      <c r="K11" s="2" t="str">
        <f t="shared" si="1"/>
        <v/>
      </c>
      <c r="L11" s="2" t="str">
        <f t="shared" si="2"/>
        <v/>
      </c>
      <c r="M11" s="2" t="str">
        <f t="shared" si="3"/>
        <v/>
      </c>
      <c r="N11" s="5"/>
    </row>
    <row r="12" spans="1:24">
      <c r="B12" s="22"/>
      <c r="C12" s="22"/>
      <c r="D12" s="22"/>
      <c r="E12" s="22"/>
      <c r="F12" s="22"/>
      <c r="G12" s="23" t="str">
        <f t="shared" si="0"/>
        <v/>
      </c>
      <c r="K12" s="2" t="str">
        <f t="shared" si="1"/>
        <v/>
      </c>
      <c r="L12" s="2" t="str">
        <f t="shared" si="2"/>
        <v/>
      </c>
      <c r="M12" s="2" t="str">
        <f t="shared" si="3"/>
        <v/>
      </c>
      <c r="N12" s="5"/>
      <c r="O12" s="176" t="s">
        <v>145</v>
      </c>
      <c r="P12" s="175" t="s">
        <v>59</v>
      </c>
      <c r="Q12" s="175"/>
    </row>
    <row r="13" spans="1:24">
      <c r="B13" s="22"/>
      <c r="C13" s="22"/>
      <c r="D13" s="22"/>
      <c r="E13" s="22"/>
      <c r="F13" s="22"/>
      <c r="G13" s="23" t="str">
        <f t="shared" si="0"/>
        <v/>
      </c>
      <c r="K13" s="2" t="str">
        <f t="shared" si="1"/>
        <v/>
      </c>
      <c r="L13" s="2" t="str">
        <f t="shared" si="2"/>
        <v/>
      </c>
      <c r="M13" s="2" t="str">
        <f t="shared" si="3"/>
        <v/>
      </c>
      <c r="N13" s="5"/>
      <c r="O13" s="177"/>
      <c r="P13" s="175"/>
      <c r="Q13" s="175"/>
    </row>
    <row r="14" spans="1:24">
      <c r="B14" s="22"/>
      <c r="C14" s="22"/>
      <c r="D14" s="22"/>
      <c r="E14" s="22"/>
      <c r="F14" s="22"/>
      <c r="G14" s="23" t="str">
        <f t="shared" si="0"/>
        <v/>
      </c>
      <c r="K14" s="2" t="str">
        <f t="shared" si="1"/>
        <v/>
      </c>
      <c r="L14" s="2" t="str">
        <f t="shared" si="2"/>
        <v/>
      </c>
      <c r="M14" s="2" t="str">
        <f t="shared" si="3"/>
        <v/>
      </c>
      <c r="N14" s="5"/>
      <c r="O14" s="103"/>
    </row>
    <row r="15" spans="1:24">
      <c r="B15" s="22"/>
      <c r="C15" s="22"/>
      <c r="D15" s="22"/>
      <c r="E15" s="22"/>
      <c r="F15" s="22"/>
      <c r="G15" s="23" t="str">
        <f t="shared" si="0"/>
        <v/>
      </c>
      <c r="K15" s="2" t="str">
        <f t="shared" si="1"/>
        <v/>
      </c>
      <c r="L15" s="2" t="str">
        <f t="shared" si="2"/>
        <v/>
      </c>
      <c r="M15" s="2" t="str">
        <f t="shared" si="3"/>
        <v/>
      </c>
      <c r="N15" s="5"/>
      <c r="O15" s="177" t="s">
        <v>146</v>
      </c>
      <c r="P15" s="171" t="s">
        <v>166</v>
      </c>
      <c r="Q15" s="172"/>
      <c r="S15" s="171" t="s">
        <v>175</v>
      </c>
      <c r="T15" s="172"/>
      <c r="V15" s="171" t="s">
        <v>167</v>
      </c>
      <c r="W15" s="172"/>
      <c r="X15" t="s">
        <v>151</v>
      </c>
    </row>
    <row r="16" spans="1:24">
      <c r="B16" s="22"/>
      <c r="C16" s="22"/>
      <c r="D16" s="22"/>
      <c r="E16" s="22"/>
      <c r="F16" s="22"/>
      <c r="G16" s="23" t="str">
        <f t="shared" si="0"/>
        <v/>
      </c>
      <c r="K16" s="2" t="str">
        <f t="shared" si="1"/>
        <v/>
      </c>
      <c r="L16" s="2" t="str">
        <f t="shared" si="2"/>
        <v/>
      </c>
      <c r="M16" s="2" t="str">
        <f t="shared" si="3"/>
        <v/>
      </c>
      <c r="N16" s="5"/>
      <c r="O16" s="177"/>
      <c r="P16" s="172"/>
      <c r="Q16" s="172"/>
      <c r="S16" s="172"/>
      <c r="T16" s="172"/>
      <c r="V16" s="172"/>
      <c r="W16" s="172"/>
    </row>
    <row r="17" spans="2:24">
      <c r="B17" s="22"/>
      <c r="C17" s="22"/>
      <c r="D17" s="22"/>
      <c r="E17" s="22"/>
      <c r="F17" s="22"/>
      <c r="G17" s="23" t="str">
        <f t="shared" si="0"/>
        <v/>
      </c>
      <c r="K17" s="2" t="str">
        <f t="shared" si="1"/>
        <v/>
      </c>
      <c r="L17" s="2" t="str">
        <f t="shared" si="2"/>
        <v/>
      </c>
      <c r="M17" s="2" t="str">
        <f t="shared" si="3"/>
        <v/>
      </c>
      <c r="N17" s="5"/>
      <c r="O17" s="103"/>
    </row>
    <row r="18" spans="2:24">
      <c r="B18" s="22"/>
      <c r="C18" s="22"/>
      <c r="D18" s="22"/>
      <c r="E18" s="22"/>
      <c r="F18" s="22"/>
      <c r="G18" s="23" t="str">
        <f t="shared" si="0"/>
        <v/>
      </c>
      <c r="K18" s="2" t="str">
        <f t="shared" si="1"/>
        <v/>
      </c>
      <c r="L18" s="2" t="str">
        <f t="shared" si="2"/>
        <v/>
      </c>
      <c r="M18" s="2" t="str">
        <f t="shared" si="3"/>
        <v/>
      </c>
      <c r="N18" s="5"/>
      <c r="O18" s="177" t="s">
        <v>147</v>
      </c>
      <c r="P18" s="169" t="s">
        <v>168</v>
      </c>
      <c r="Q18" s="166"/>
      <c r="S18" s="169" t="s">
        <v>176</v>
      </c>
      <c r="T18" s="166"/>
      <c r="V18" s="169" t="s">
        <v>169</v>
      </c>
      <c r="W18" s="166"/>
      <c r="X18" t="s">
        <v>151</v>
      </c>
    </row>
    <row r="19" spans="2:24">
      <c r="B19" s="22"/>
      <c r="C19" s="22"/>
      <c r="D19" s="22"/>
      <c r="E19" s="22"/>
      <c r="F19" s="22"/>
      <c r="G19" s="23" t="str">
        <f t="shared" si="0"/>
        <v/>
      </c>
      <c r="K19" s="2" t="str">
        <f t="shared" si="1"/>
        <v/>
      </c>
      <c r="L19" s="2" t="str">
        <f t="shared" si="2"/>
        <v/>
      </c>
      <c r="M19" s="2" t="str">
        <f t="shared" si="3"/>
        <v/>
      </c>
      <c r="N19" s="5"/>
      <c r="O19" s="177"/>
      <c r="P19" s="166"/>
      <c r="Q19" s="166"/>
      <c r="S19" s="166"/>
      <c r="T19" s="166"/>
      <c r="V19" s="166"/>
      <c r="W19" s="166"/>
    </row>
    <row r="20" spans="2:24">
      <c r="B20" s="22"/>
      <c r="C20" s="22"/>
      <c r="D20" s="22"/>
      <c r="E20" s="22"/>
      <c r="F20" s="22"/>
      <c r="G20" s="23" t="str">
        <f t="shared" si="0"/>
        <v/>
      </c>
      <c r="K20" s="2" t="str">
        <f t="shared" si="1"/>
        <v/>
      </c>
      <c r="L20" s="2" t="str">
        <f t="shared" si="2"/>
        <v/>
      </c>
      <c r="M20" s="2" t="str">
        <f t="shared" si="3"/>
        <v/>
      </c>
      <c r="N20" s="5"/>
      <c r="O20" s="103"/>
    </row>
    <row r="21" spans="2:24">
      <c r="B21" s="22"/>
      <c r="C21" s="22"/>
      <c r="D21" s="22"/>
      <c r="E21" s="22"/>
      <c r="F21" s="22"/>
      <c r="G21" s="23" t="str">
        <f t="shared" si="0"/>
        <v/>
      </c>
      <c r="K21" s="2" t="str">
        <f t="shared" si="1"/>
        <v/>
      </c>
      <c r="L21" s="2" t="str">
        <f t="shared" si="2"/>
        <v/>
      </c>
      <c r="M21" s="2" t="str">
        <f t="shared" si="3"/>
        <v/>
      </c>
      <c r="N21" s="5"/>
      <c r="O21" s="176" t="s">
        <v>150</v>
      </c>
      <c r="P21" s="173" t="s">
        <v>89</v>
      </c>
      <c r="Q21" s="173"/>
      <c r="S21" s="173" t="s">
        <v>90</v>
      </c>
      <c r="T21" s="173"/>
      <c r="U21" t="s">
        <v>151</v>
      </c>
    </row>
    <row r="22" spans="2:24">
      <c r="B22" s="22"/>
      <c r="C22" s="22"/>
      <c r="D22" s="22"/>
      <c r="E22" s="22"/>
      <c r="F22" s="22"/>
      <c r="G22" s="23" t="str">
        <f t="shared" si="0"/>
        <v/>
      </c>
      <c r="K22" s="2" t="str">
        <f t="shared" si="1"/>
        <v/>
      </c>
      <c r="L22" s="2" t="str">
        <f t="shared" si="2"/>
        <v/>
      </c>
      <c r="M22" s="2" t="str">
        <f t="shared" si="3"/>
        <v/>
      </c>
      <c r="N22" s="5"/>
      <c r="O22" s="177"/>
      <c r="P22" s="173"/>
      <c r="Q22" s="173"/>
      <c r="S22" s="173"/>
      <c r="T22" s="173"/>
      <c r="U22" s="44" t="s">
        <v>109</v>
      </c>
    </row>
    <row r="23" spans="2:24">
      <c r="B23" s="22"/>
      <c r="C23" s="22"/>
      <c r="D23" s="22"/>
      <c r="E23" s="22"/>
      <c r="F23" s="22"/>
      <c r="G23" s="23" t="str">
        <f t="shared" si="0"/>
        <v/>
      </c>
      <c r="K23" s="2" t="str">
        <f t="shared" si="1"/>
        <v/>
      </c>
      <c r="L23" s="2" t="str">
        <f t="shared" si="2"/>
        <v/>
      </c>
      <c r="M23" s="2" t="str">
        <f t="shared" si="3"/>
        <v/>
      </c>
      <c r="N23" s="5"/>
      <c r="O23" s="103"/>
    </row>
    <row r="24" spans="2:24">
      <c r="B24" s="22"/>
      <c r="C24" s="22"/>
      <c r="D24" s="22"/>
      <c r="E24" s="22"/>
      <c r="F24" s="22"/>
      <c r="G24" s="23" t="str">
        <f t="shared" si="0"/>
        <v/>
      </c>
      <c r="K24" s="2" t="str">
        <f t="shared" si="1"/>
        <v/>
      </c>
      <c r="L24" s="2" t="str">
        <f t="shared" si="2"/>
        <v/>
      </c>
      <c r="M24" s="2" t="str">
        <f t="shared" si="3"/>
        <v/>
      </c>
      <c r="N24" s="5"/>
      <c r="O24" s="177" t="s">
        <v>148</v>
      </c>
      <c r="P24" s="174" t="s">
        <v>92</v>
      </c>
      <c r="Q24" s="174"/>
    </row>
    <row r="25" spans="2:24">
      <c r="B25" s="22"/>
      <c r="C25" s="22"/>
      <c r="D25" s="22"/>
      <c r="E25" s="22"/>
      <c r="F25" s="22"/>
      <c r="G25" s="23" t="str">
        <f t="shared" si="0"/>
        <v/>
      </c>
      <c r="K25" s="2" t="str">
        <f t="shared" si="1"/>
        <v/>
      </c>
      <c r="L25" s="2" t="str">
        <f t="shared" si="2"/>
        <v/>
      </c>
      <c r="M25" s="2" t="str">
        <f t="shared" si="3"/>
        <v/>
      </c>
      <c r="N25" s="5"/>
      <c r="O25" s="177"/>
      <c r="P25" s="174"/>
      <c r="Q25" s="174"/>
    </row>
    <row r="26" spans="2:24">
      <c r="B26" s="22"/>
      <c r="C26" s="22"/>
      <c r="D26" s="22"/>
      <c r="E26" s="22"/>
      <c r="F26" s="22"/>
      <c r="G26" s="23" t="str">
        <f t="shared" si="0"/>
        <v/>
      </c>
      <c r="K26" s="2" t="str">
        <f t="shared" si="1"/>
        <v/>
      </c>
      <c r="L26" s="2" t="str">
        <f t="shared" si="2"/>
        <v/>
      </c>
      <c r="M26" s="2" t="str">
        <f t="shared" si="3"/>
        <v/>
      </c>
      <c r="N26" s="5"/>
      <c r="O26" s="103"/>
    </row>
    <row r="27" spans="2:24">
      <c r="B27" s="22"/>
      <c r="C27" s="22"/>
      <c r="D27" s="22"/>
      <c r="E27" s="22"/>
      <c r="F27" s="22"/>
      <c r="G27" s="23" t="str">
        <f t="shared" si="0"/>
        <v/>
      </c>
      <c r="K27" s="2" t="str">
        <f t="shared" si="1"/>
        <v/>
      </c>
      <c r="L27" s="2" t="str">
        <f t="shared" si="2"/>
        <v/>
      </c>
      <c r="M27" s="2" t="str">
        <f t="shared" si="3"/>
        <v/>
      </c>
      <c r="N27" s="5"/>
      <c r="O27" s="177" t="s">
        <v>149</v>
      </c>
      <c r="P27" s="137" t="s">
        <v>91</v>
      </c>
      <c r="Q27" s="137"/>
      <c r="S27" s="44" t="s">
        <v>135</v>
      </c>
    </row>
    <row r="28" spans="2:24">
      <c r="B28" s="22"/>
      <c r="C28" s="22"/>
      <c r="D28" s="22"/>
      <c r="E28" s="22"/>
      <c r="F28" s="22"/>
      <c r="G28" s="23" t="str">
        <f t="shared" si="0"/>
        <v/>
      </c>
      <c r="K28" s="2" t="str">
        <f t="shared" si="1"/>
        <v/>
      </c>
      <c r="L28" s="2" t="str">
        <f t="shared" si="2"/>
        <v/>
      </c>
      <c r="M28" s="2" t="str">
        <f t="shared" si="3"/>
        <v/>
      </c>
      <c r="N28" s="5"/>
      <c r="O28" s="177"/>
      <c r="P28" s="137"/>
      <c r="Q28" s="137"/>
      <c r="R28" s="43"/>
      <c r="S28" s="59" t="s">
        <v>136</v>
      </c>
    </row>
    <row r="29" spans="2:24">
      <c r="B29" s="22"/>
      <c r="C29" s="22"/>
      <c r="D29" s="22"/>
      <c r="E29" s="22"/>
      <c r="F29" s="22"/>
      <c r="G29" s="23" t="str">
        <f t="shared" si="0"/>
        <v/>
      </c>
      <c r="K29" s="2" t="str">
        <f t="shared" si="1"/>
        <v/>
      </c>
      <c r="L29" s="2" t="str">
        <f t="shared" si="2"/>
        <v/>
      </c>
      <c r="M29" s="2" t="str">
        <f t="shared" si="3"/>
        <v/>
      </c>
      <c r="N29" s="5"/>
    </row>
    <row r="30" spans="2:24">
      <c r="B30" s="22"/>
      <c r="C30" s="22"/>
      <c r="D30" s="22"/>
      <c r="E30" s="22"/>
      <c r="F30" s="22"/>
      <c r="G30" s="23" t="str">
        <f t="shared" si="0"/>
        <v/>
      </c>
      <c r="K30" s="2" t="str">
        <f t="shared" si="1"/>
        <v/>
      </c>
      <c r="L30" s="2" t="str">
        <f t="shared" si="2"/>
        <v/>
      </c>
      <c r="M30" s="2" t="str">
        <f t="shared" si="3"/>
        <v/>
      </c>
      <c r="N30" s="5"/>
    </row>
    <row r="31" spans="2:24">
      <c r="B31" s="22"/>
      <c r="C31" s="22"/>
      <c r="D31" s="22"/>
      <c r="E31" s="22"/>
      <c r="F31" s="22"/>
      <c r="G31" s="23" t="str">
        <f t="shared" si="0"/>
        <v/>
      </c>
      <c r="K31" s="2" t="str">
        <f t="shared" si="1"/>
        <v/>
      </c>
      <c r="L31" s="2" t="str">
        <f t="shared" si="2"/>
        <v/>
      </c>
      <c r="M31" s="2" t="str">
        <f t="shared" si="3"/>
        <v/>
      </c>
      <c r="N31" s="5"/>
    </row>
    <row r="32" spans="2:24">
      <c r="B32" s="22"/>
      <c r="C32" s="22"/>
      <c r="D32" s="22"/>
      <c r="E32" s="22"/>
      <c r="F32" s="22"/>
      <c r="G32" s="23" t="str">
        <f t="shared" si="0"/>
        <v/>
      </c>
      <c r="K32" s="2" t="str">
        <f t="shared" si="1"/>
        <v/>
      </c>
      <c r="L32" s="2" t="str">
        <f t="shared" si="2"/>
        <v/>
      </c>
      <c r="M32" s="2" t="str">
        <f t="shared" si="3"/>
        <v/>
      </c>
      <c r="N32" s="5"/>
    </row>
    <row r="33" spans="2:16">
      <c r="B33" s="22"/>
      <c r="C33" s="22"/>
      <c r="D33" s="22"/>
      <c r="E33" s="22"/>
      <c r="F33" s="22"/>
      <c r="G33" s="23" t="str">
        <f t="shared" si="0"/>
        <v/>
      </c>
      <c r="K33" s="2" t="str">
        <f t="shared" si="1"/>
        <v/>
      </c>
      <c r="L33" s="2" t="str">
        <f t="shared" si="2"/>
        <v/>
      </c>
      <c r="M33" s="2" t="str">
        <f t="shared" si="3"/>
        <v/>
      </c>
      <c r="N33" s="5"/>
    </row>
    <row r="34" spans="2:16">
      <c r="B34" s="22"/>
      <c r="C34" s="22"/>
      <c r="D34" s="22"/>
      <c r="E34" s="22"/>
      <c r="F34" s="22"/>
      <c r="G34" s="23" t="str">
        <f t="shared" si="0"/>
        <v/>
      </c>
      <c r="K34" s="2" t="str">
        <f t="shared" si="1"/>
        <v/>
      </c>
      <c r="L34" s="2" t="str">
        <f t="shared" si="2"/>
        <v/>
      </c>
      <c r="M34" s="2" t="str">
        <f t="shared" si="3"/>
        <v/>
      </c>
      <c r="N34" s="5"/>
    </row>
    <row r="35" spans="2:16">
      <c r="B35" s="22"/>
      <c r="C35" s="22"/>
      <c r="D35" s="22"/>
      <c r="E35" s="22"/>
      <c r="F35" s="22"/>
      <c r="G35" s="23" t="str">
        <f t="shared" si="0"/>
        <v/>
      </c>
      <c r="K35" s="2" t="str">
        <f t="shared" si="1"/>
        <v/>
      </c>
      <c r="L35" s="2" t="str">
        <f t="shared" si="2"/>
        <v/>
      </c>
      <c r="M35" s="2" t="str">
        <f t="shared" si="3"/>
        <v/>
      </c>
      <c r="N35" s="5"/>
    </row>
    <row r="36" spans="2:16">
      <c r="B36" s="22"/>
      <c r="C36" s="22"/>
      <c r="D36" s="22"/>
      <c r="E36" s="22"/>
      <c r="F36" s="22"/>
      <c r="G36" s="23" t="str">
        <f t="shared" si="0"/>
        <v/>
      </c>
      <c r="K36" s="2" t="str">
        <f t="shared" si="1"/>
        <v/>
      </c>
      <c r="L36" s="2" t="str">
        <f t="shared" si="2"/>
        <v/>
      </c>
      <c r="M36" s="2" t="str">
        <f t="shared" si="3"/>
        <v/>
      </c>
      <c r="N36" s="5"/>
    </row>
    <row r="37" spans="2:16">
      <c r="B37" s="22"/>
      <c r="C37" s="22"/>
      <c r="D37" s="22"/>
      <c r="E37" s="22"/>
      <c r="F37" s="22"/>
      <c r="G37" s="23" t="str">
        <f t="shared" si="0"/>
        <v/>
      </c>
      <c r="K37" s="2" t="str">
        <f t="shared" si="1"/>
        <v/>
      </c>
      <c r="L37" s="2" t="str">
        <f t="shared" si="2"/>
        <v/>
      </c>
      <c r="M37" s="2" t="str">
        <f t="shared" si="3"/>
        <v/>
      </c>
      <c r="N37" s="5"/>
      <c r="P37" t="s">
        <v>86</v>
      </c>
    </row>
    <row r="38" spans="2:16">
      <c r="B38" s="22"/>
      <c r="C38" s="22"/>
      <c r="D38" s="22"/>
      <c r="E38" s="22"/>
      <c r="F38" s="22"/>
      <c r="G38" s="23" t="str">
        <f t="shared" si="0"/>
        <v/>
      </c>
      <c r="K38" s="2" t="str">
        <f t="shared" si="1"/>
        <v/>
      </c>
      <c r="L38" s="2" t="str">
        <f t="shared" si="2"/>
        <v/>
      </c>
      <c r="M38" s="2" t="str">
        <f t="shared" si="3"/>
        <v/>
      </c>
      <c r="N38" s="5"/>
      <c r="P38" t="s">
        <v>86</v>
      </c>
    </row>
    <row r="39" spans="2:16">
      <c r="B39" s="22"/>
      <c r="C39" s="22"/>
      <c r="D39" s="22"/>
      <c r="E39" s="22"/>
      <c r="F39" s="22"/>
      <c r="G39" s="23" t="str">
        <f t="shared" si="0"/>
        <v/>
      </c>
      <c r="K39" s="2" t="str">
        <f t="shared" si="1"/>
        <v/>
      </c>
      <c r="L39" s="2" t="str">
        <f t="shared" si="2"/>
        <v/>
      </c>
      <c r="M39" s="2" t="str">
        <f t="shared" si="3"/>
        <v/>
      </c>
      <c r="N39" s="5"/>
      <c r="P39" t="s">
        <v>86</v>
      </c>
    </row>
    <row r="40" spans="2:16">
      <c r="B40" s="22"/>
      <c r="C40" s="22"/>
      <c r="D40" s="22"/>
      <c r="E40" s="22"/>
      <c r="F40" s="22"/>
      <c r="G40" s="23" t="str">
        <f t="shared" si="0"/>
        <v/>
      </c>
      <c r="K40" s="2" t="str">
        <f t="shared" si="1"/>
        <v/>
      </c>
      <c r="L40" s="2" t="str">
        <f t="shared" si="2"/>
        <v/>
      </c>
      <c r="M40" s="2" t="str">
        <f t="shared" si="3"/>
        <v/>
      </c>
      <c r="N40" s="5"/>
      <c r="P40" t="s">
        <v>86</v>
      </c>
    </row>
    <row r="41" spans="2:16">
      <c r="B41" s="22"/>
      <c r="C41" s="22"/>
      <c r="D41" s="22"/>
      <c r="E41" s="22"/>
      <c r="F41" s="22"/>
      <c r="G41" s="23" t="str">
        <f t="shared" si="0"/>
        <v/>
      </c>
      <c r="K41" s="2" t="str">
        <f t="shared" si="1"/>
        <v/>
      </c>
      <c r="L41" s="2" t="str">
        <f t="shared" si="2"/>
        <v/>
      </c>
      <c r="M41" s="2" t="str">
        <f t="shared" si="3"/>
        <v/>
      </c>
      <c r="N41" s="5"/>
      <c r="P41" t="s">
        <v>86</v>
      </c>
    </row>
    <row r="42" spans="2:16">
      <c r="B42" s="22"/>
      <c r="C42" s="22"/>
      <c r="D42" s="22"/>
      <c r="E42" s="22"/>
      <c r="F42" s="22"/>
      <c r="G42" s="23" t="str">
        <f t="shared" si="0"/>
        <v/>
      </c>
      <c r="K42" s="2" t="str">
        <f t="shared" si="1"/>
        <v/>
      </c>
      <c r="L42" s="2" t="str">
        <f t="shared" si="2"/>
        <v/>
      </c>
      <c r="M42" s="2" t="str">
        <f t="shared" si="3"/>
        <v/>
      </c>
      <c r="N42" s="5"/>
      <c r="P42" t="s">
        <v>86</v>
      </c>
    </row>
    <row r="43" spans="2:16">
      <c r="B43" s="22"/>
      <c r="C43" s="22"/>
      <c r="D43" s="22"/>
      <c r="E43" s="22"/>
      <c r="F43" s="22"/>
      <c r="G43" s="23" t="str">
        <f t="shared" si="0"/>
        <v/>
      </c>
      <c r="K43" s="2" t="str">
        <f t="shared" si="1"/>
        <v/>
      </c>
      <c r="L43" s="2" t="str">
        <f t="shared" si="2"/>
        <v/>
      </c>
      <c r="M43" s="2" t="str">
        <f t="shared" si="3"/>
        <v/>
      </c>
      <c r="N43" s="5"/>
      <c r="P43" t="s">
        <v>86</v>
      </c>
    </row>
    <row r="44" spans="2:16">
      <c r="B44" s="22"/>
      <c r="C44" s="22"/>
      <c r="D44" s="22"/>
      <c r="E44" s="22"/>
      <c r="F44" s="22"/>
      <c r="G44" s="23" t="str">
        <f t="shared" si="0"/>
        <v/>
      </c>
      <c r="K44" s="2" t="str">
        <f t="shared" si="1"/>
        <v/>
      </c>
      <c r="L44" s="2" t="str">
        <f t="shared" si="2"/>
        <v/>
      </c>
      <c r="M44" s="2" t="str">
        <f t="shared" si="3"/>
        <v/>
      </c>
      <c r="N44" s="5"/>
      <c r="P44" t="s">
        <v>86</v>
      </c>
    </row>
    <row r="45" spans="2:16">
      <c r="B45" s="22"/>
      <c r="C45" s="22"/>
      <c r="D45" s="22"/>
      <c r="E45" s="22"/>
      <c r="F45" s="22"/>
      <c r="G45" s="23" t="str">
        <f t="shared" si="0"/>
        <v/>
      </c>
      <c r="K45" s="2" t="str">
        <f t="shared" si="1"/>
        <v/>
      </c>
      <c r="L45" s="2" t="str">
        <f t="shared" si="2"/>
        <v/>
      </c>
      <c r="M45" s="2" t="str">
        <f t="shared" si="3"/>
        <v/>
      </c>
      <c r="N45" s="5"/>
      <c r="P45" t="s">
        <v>86</v>
      </c>
    </row>
    <row r="46" spans="2:16">
      <c r="B46" s="22"/>
      <c r="C46" s="22"/>
      <c r="D46" s="22"/>
      <c r="E46" s="22"/>
      <c r="F46" s="22"/>
      <c r="G46" s="23" t="str">
        <f t="shared" si="0"/>
        <v/>
      </c>
      <c r="K46" s="2" t="str">
        <f t="shared" si="1"/>
        <v/>
      </c>
      <c r="L46" s="2" t="str">
        <f t="shared" si="2"/>
        <v/>
      </c>
      <c r="M46" s="2" t="str">
        <f t="shared" si="3"/>
        <v/>
      </c>
      <c r="N46" s="5"/>
      <c r="P46" t="s">
        <v>86</v>
      </c>
    </row>
    <row r="47" spans="2:16">
      <c r="B47" s="22"/>
      <c r="C47" s="22"/>
      <c r="D47" s="22"/>
      <c r="E47" s="22"/>
      <c r="F47" s="22"/>
      <c r="G47" s="23" t="str">
        <f t="shared" si="0"/>
        <v/>
      </c>
      <c r="K47" s="2" t="str">
        <f t="shared" si="1"/>
        <v/>
      </c>
      <c r="L47" s="2" t="str">
        <f t="shared" si="2"/>
        <v/>
      </c>
      <c r="M47" s="2" t="str">
        <f t="shared" si="3"/>
        <v/>
      </c>
      <c r="N47" s="4"/>
      <c r="O47" s="1"/>
      <c r="P47" t="s">
        <v>86</v>
      </c>
    </row>
    <row r="48" spans="2:16">
      <c r="B48" s="22"/>
      <c r="C48" s="22"/>
      <c r="D48" s="22"/>
      <c r="E48" s="22"/>
      <c r="F48" s="22"/>
      <c r="G48" s="23" t="str">
        <f t="shared" si="0"/>
        <v/>
      </c>
      <c r="K48" s="2" t="str">
        <f t="shared" si="1"/>
        <v/>
      </c>
      <c r="L48" s="2" t="str">
        <f t="shared" si="2"/>
        <v/>
      </c>
      <c r="M48" s="2" t="str">
        <f t="shared" si="3"/>
        <v/>
      </c>
      <c r="N48" s="5"/>
      <c r="P48" t="s">
        <v>86</v>
      </c>
    </row>
    <row r="49" spans="2:16">
      <c r="B49" s="22"/>
      <c r="C49" s="22"/>
      <c r="D49" s="22"/>
      <c r="E49" s="22"/>
      <c r="F49" s="22"/>
      <c r="G49" s="23" t="str">
        <f t="shared" si="0"/>
        <v/>
      </c>
      <c r="K49" s="2" t="str">
        <f t="shared" si="1"/>
        <v/>
      </c>
      <c r="L49" s="2" t="str">
        <f t="shared" si="2"/>
        <v/>
      </c>
      <c r="M49" s="2" t="str">
        <f t="shared" si="3"/>
        <v/>
      </c>
      <c r="N49" s="5"/>
      <c r="P49" t="s">
        <v>86</v>
      </c>
    </row>
    <row r="50" spans="2:16">
      <c r="B50" s="22"/>
      <c r="C50" s="22"/>
      <c r="D50" s="22"/>
      <c r="E50" s="22"/>
      <c r="F50" s="22"/>
      <c r="G50" s="23" t="str">
        <f t="shared" si="0"/>
        <v/>
      </c>
      <c r="K50" s="2" t="str">
        <f t="shared" si="1"/>
        <v/>
      </c>
      <c r="L50" s="2" t="str">
        <f t="shared" si="2"/>
        <v/>
      </c>
      <c r="M50" s="2" t="str">
        <f t="shared" si="3"/>
        <v/>
      </c>
      <c r="N50" s="5"/>
      <c r="P50" t="s">
        <v>86</v>
      </c>
    </row>
    <row r="51" spans="2:16">
      <c r="B51" s="22"/>
      <c r="C51" s="22"/>
      <c r="D51" s="22"/>
      <c r="E51" s="22"/>
      <c r="F51" s="22"/>
      <c r="G51" s="23" t="str">
        <f t="shared" si="0"/>
        <v/>
      </c>
      <c r="K51" s="2" t="str">
        <f t="shared" si="1"/>
        <v/>
      </c>
      <c r="L51" s="2" t="str">
        <f t="shared" si="2"/>
        <v/>
      </c>
      <c r="M51" s="2" t="str">
        <f t="shared" si="3"/>
        <v/>
      </c>
      <c r="N51" s="4"/>
      <c r="O51" s="1"/>
      <c r="P51" t="s">
        <v>86</v>
      </c>
    </row>
    <row r="52" spans="2:16">
      <c r="B52" s="22"/>
      <c r="C52" s="22"/>
      <c r="D52" s="22"/>
      <c r="E52" s="22"/>
      <c r="F52" s="22"/>
      <c r="G52" s="23" t="str">
        <f t="shared" si="0"/>
        <v/>
      </c>
      <c r="K52" s="2" t="str">
        <f t="shared" si="1"/>
        <v/>
      </c>
      <c r="L52" s="2" t="str">
        <f t="shared" si="2"/>
        <v/>
      </c>
      <c r="M52" s="2" t="str">
        <f t="shared" si="3"/>
        <v/>
      </c>
      <c r="N52" s="5"/>
      <c r="P52" t="s">
        <v>86</v>
      </c>
    </row>
    <row r="53" spans="2:16">
      <c r="B53" s="22"/>
      <c r="C53" s="22"/>
      <c r="D53" s="22"/>
      <c r="E53" s="22"/>
      <c r="F53" s="22"/>
      <c r="G53" s="23" t="str">
        <f t="shared" si="0"/>
        <v/>
      </c>
      <c r="K53" s="2" t="str">
        <f t="shared" si="1"/>
        <v/>
      </c>
      <c r="L53" s="2" t="str">
        <f t="shared" si="2"/>
        <v/>
      </c>
      <c r="M53" s="2" t="str">
        <f t="shared" si="3"/>
        <v/>
      </c>
      <c r="N53" s="5"/>
      <c r="P53" t="s">
        <v>86</v>
      </c>
    </row>
    <row r="54" spans="2:16">
      <c r="B54" s="22"/>
      <c r="C54" s="22"/>
      <c r="D54" s="22"/>
      <c r="E54" s="22"/>
      <c r="F54" s="22"/>
      <c r="G54" s="23" t="str">
        <f t="shared" si="0"/>
        <v/>
      </c>
      <c r="K54" s="2" t="str">
        <f t="shared" si="1"/>
        <v/>
      </c>
      <c r="L54" s="2" t="str">
        <f t="shared" si="2"/>
        <v/>
      </c>
      <c r="M54" s="2" t="str">
        <f t="shared" si="3"/>
        <v/>
      </c>
      <c r="N54" s="5"/>
      <c r="P54" t="s">
        <v>86</v>
      </c>
    </row>
    <row r="55" spans="2:16">
      <c r="B55" s="22"/>
      <c r="C55" s="22"/>
      <c r="D55" s="22"/>
      <c r="E55" s="22"/>
      <c r="F55" s="22"/>
      <c r="G55" s="23" t="str">
        <f t="shared" si="0"/>
        <v/>
      </c>
      <c r="K55" s="2" t="str">
        <f t="shared" si="1"/>
        <v/>
      </c>
      <c r="L55" s="2" t="str">
        <f t="shared" si="2"/>
        <v/>
      </c>
      <c r="M55" s="2" t="str">
        <f t="shared" si="3"/>
        <v/>
      </c>
      <c r="N55" s="5"/>
      <c r="P55" t="s">
        <v>86</v>
      </c>
    </row>
    <row r="56" spans="2:16">
      <c r="B56" s="22"/>
      <c r="C56" s="22"/>
      <c r="D56" s="22"/>
      <c r="E56" s="22"/>
      <c r="F56" s="22"/>
      <c r="G56" s="23" t="str">
        <f t="shared" si="0"/>
        <v/>
      </c>
      <c r="K56" s="2" t="str">
        <f t="shared" si="1"/>
        <v/>
      </c>
      <c r="L56" s="2" t="str">
        <f t="shared" si="2"/>
        <v/>
      </c>
      <c r="M56" s="2" t="str">
        <f t="shared" si="3"/>
        <v/>
      </c>
      <c r="N56" s="5"/>
      <c r="P56" t="s">
        <v>86</v>
      </c>
    </row>
    <row r="57" spans="2:16">
      <c r="B57" s="22"/>
      <c r="C57" s="22"/>
      <c r="D57" s="22"/>
      <c r="E57" s="22"/>
      <c r="F57" s="22"/>
      <c r="G57" s="23" t="str">
        <f t="shared" si="0"/>
        <v/>
      </c>
      <c r="K57" s="2" t="str">
        <f t="shared" si="1"/>
        <v/>
      </c>
      <c r="L57" s="2" t="str">
        <f t="shared" si="2"/>
        <v/>
      </c>
      <c r="M57" s="2" t="str">
        <f t="shared" si="3"/>
        <v/>
      </c>
      <c r="N57" s="5"/>
      <c r="P57" t="s">
        <v>86</v>
      </c>
    </row>
    <row r="58" spans="2:16">
      <c r="B58" s="22"/>
      <c r="C58" s="22"/>
      <c r="D58" s="22"/>
      <c r="E58" s="22"/>
      <c r="F58" s="22"/>
      <c r="G58" s="23" t="str">
        <f t="shared" si="0"/>
        <v/>
      </c>
      <c r="K58" s="2" t="str">
        <f t="shared" si="1"/>
        <v/>
      </c>
      <c r="L58" s="2" t="str">
        <f t="shared" si="2"/>
        <v/>
      </c>
      <c r="M58" s="2" t="str">
        <f t="shared" si="3"/>
        <v/>
      </c>
      <c r="N58" s="5"/>
      <c r="P58" t="s">
        <v>86</v>
      </c>
    </row>
    <row r="59" spans="2:16">
      <c r="B59" s="22"/>
      <c r="C59" s="22"/>
      <c r="D59" s="22"/>
      <c r="E59" s="22"/>
      <c r="F59" s="22"/>
      <c r="G59" s="23" t="str">
        <f t="shared" si="0"/>
        <v/>
      </c>
      <c r="K59" s="2" t="str">
        <f t="shared" si="1"/>
        <v/>
      </c>
      <c r="L59" s="2" t="str">
        <f t="shared" si="2"/>
        <v/>
      </c>
      <c r="M59" s="2" t="str">
        <f t="shared" si="3"/>
        <v/>
      </c>
      <c r="N59" s="5"/>
      <c r="P59" t="s">
        <v>86</v>
      </c>
    </row>
    <row r="60" spans="2:16">
      <c r="B60" s="22"/>
      <c r="C60" s="22"/>
      <c r="D60" s="22"/>
      <c r="E60" s="22"/>
      <c r="F60" s="22"/>
      <c r="G60" s="23" t="str">
        <f t="shared" si="0"/>
        <v/>
      </c>
      <c r="K60" s="2" t="str">
        <f t="shared" si="1"/>
        <v/>
      </c>
      <c r="L60" s="2" t="str">
        <f t="shared" si="2"/>
        <v/>
      </c>
      <c r="M60" s="2" t="str">
        <f t="shared" si="3"/>
        <v/>
      </c>
      <c r="N60" s="5"/>
      <c r="P60" t="s">
        <v>86</v>
      </c>
    </row>
    <row r="61" spans="2:16">
      <c r="B61" s="22"/>
      <c r="C61" s="22"/>
      <c r="D61" s="22"/>
      <c r="E61" s="22"/>
      <c r="F61" s="22"/>
      <c r="G61" s="23" t="str">
        <f t="shared" si="0"/>
        <v/>
      </c>
      <c r="K61" s="2" t="str">
        <f t="shared" si="1"/>
        <v/>
      </c>
      <c r="L61" s="2" t="str">
        <f t="shared" si="2"/>
        <v/>
      </c>
      <c r="M61" s="2" t="str">
        <f t="shared" si="3"/>
        <v/>
      </c>
      <c r="N61" s="5"/>
      <c r="P61" t="s">
        <v>86</v>
      </c>
    </row>
    <row r="62" spans="2:16">
      <c r="B62" s="22"/>
      <c r="C62" s="22"/>
      <c r="D62" s="22"/>
      <c r="E62" s="22"/>
      <c r="F62" s="22"/>
      <c r="G62" s="23" t="str">
        <f t="shared" si="0"/>
        <v/>
      </c>
      <c r="K62" s="2" t="str">
        <f t="shared" si="1"/>
        <v/>
      </c>
      <c r="L62" s="2" t="str">
        <f t="shared" si="2"/>
        <v/>
      </c>
      <c r="M62" s="2" t="str">
        <f t="shared" si="3"/>
        <v/>
      </c>
      <c r="N62" s="5"/>
      <c r="P62" t="s">
        <v>86</v>
      </c>
    </row>
    <row r="63" spans="2:16">
      <c r="B63" s="22"/>
      <c r="C63" s="22"/>
      <c r="D63" s="22"/>
      <c r="E63" s="22"/>
      <c r="F63" s="22"/>
      <c r="G63" s="23" t="str">
        <f t="shared" si="0"/>
        <v/>
      </c>
      <c r="K63" s="2" t="str">
        <f t="shared" si="1"/>
        <v/>
      </c>
      <c r="L63" s="2" t="str">
        <f t="shared" si="2"/>
        <v/>
      </c>
      <c r="M63" s="2" t="str">
        <f t="shared" si="3"/>
        <v/>
      </c>
      <c r="N63" s="5"/>
      <c r="P63" t="s">
        <v>86</v>
      </c>
    </row>
    <row r="64" spans="2:16">
      <c r="B64" s="22"/>
      <c r="C64" s="22"/>
      <c r="D64" s="22"/>
      <c r="E64" s="22"/>
      <c r="F64" s="22"/>
      <c r="G64" s="23" t="str">
        <f t="shared" si="0"/>
        <v/>
      </c>
      <c r="K64" s="2" t="str">
        <f t="shared" si="1"/>
        <v/>
      </c>
      <c r="L64" s="2" t="str">
        <f t="shared" si="2"/>
        <v/>
      </c>
      <c r="M64" s="2" t="str">
        <f t="shared" si="3"/>
        <v/>
      </c>
      <c r="N64" s="5"/>
      <c r="P64" t="s">
        <v>86</v>
      </c>
    </row>
    <row r="65" spans="2:16">
      <c r="B65" s="22"/>
      <c r="C65" s="22"/>
      <c r="D65" s="22"/>
      <c r="E65" s="22"/>
      <c r="F65" s="22"/>
      <c r="G65" s="23" t="str">
        <f t="shared" si="0"/>
        <v/>
      </c>
      <c r="K65" s="2" t="str">
        <f t="shared" si="1"/>
        <v/>
      </c>
      <c r="L65" s="2" t="str">
        <f t="shared" si="2"/>
        <v/>
      </c>
      <c r="M65" s="2" t="str">
        <f t="shared" si="3"/>
        <v/>
      </c>
      <c r="N65" s="5"/>
      <c r="P65" t="s">
        <v>86</v>
      </c>
    </row>
    <row r="66" spans="2:16">
      <c r="B66" s="22"/>
      <c r="C66" s="22"/>
      <c r="D66" s="22"/>
      <c r="E66" s="22"/>
      <c r="F66" s="22"/>
      <c r="G66" s="23" t="str">
        <f t="shared" si="0"/>
        <v/>
      </c>
      <c r="K66" s="2" t="str">
        <f t="shared" si="1"/>
        <v/>
      </c>
      <c r="L66" s="2" t="str">
        <f t="shared" si="2"/>
        <v/>
      </c>
      <c r="M66" s="2" t="str">
        <f t="shared" si="3"/>
        <v/>
      </c>
      <c r="N66" s="5"/>
      <c r="P66" t="s">
        <v>86</v>
      </c>
    </row>
    <row r="67" spans="2:16">
      <c r="B67" s="22"/>
      <c r="C67" s="22"/>
      <c r="D67" s="22"/>
      <c r="E67" s="22"/>
      <c r="F67" s="22"/>
      <c r="G67" s="23" t="str">
        <f t="shared" si="0"/>
        <v/>
      </c>
      <c r="K67" s="2" t="str">
        <f t="shared" si="1"/>
        <v/>
      </c>
      <c r="L67" s="2" t="str">
        <f t="shared" si="2"/>
        <v/>
      </c>
      <c r="M67" s="2" t="str">
        <f t="shared" si="3"/>
        <v/>
      </c>
      <c r="N67" s="5"/>
      <c r="P67" t="s">
        <v>86</v>
      </c>
    </row>
    <row r="68" spans="2:16">
      <c r="B68" s="22"/>
      <c r="C68" s="22"/>
      <c r="D68" s="22"/>
      <c r="E68" s="22"/>
      <c r="F68" s="22"/>
      <c r="G68" s="23" t="str">
        <f t="shared" ref="G68:G131" si="4">IF(AND(D68=E68,E68=F68),"",IF(AND(F68="",D68=E68),"",IF(AND(D68="",E68=F68),"",IF(AND(E68="",D68=F68),"","불일치"))))</f>
        <v/>
      </c>
      <c r="K68" s="2" t="str">
        <f t="shared" ref="K68:K131" si="5">+IF(D68="","",+D68)</f>
        <v/>
      </c>
      <c r="L68" s="2" t="str">
        <f t="shared" ref="L68:L115" si="6">RIGHT(K68,2)</f>
        <v/>
      </c>
      <c r="M68" s="2" t="str">
        <f t="shared" ref="M68:M131" si="7">IF(B68="","",IF(COUNTIF($K$3:$K$295,K68)&gt;1,"동명",""))</f>
        <v/>
      </c>
      <c r="N68" s="5"/>
      <c r="P68" t="s">
        <v>86</v>
      </c>
    </row>
    <row r="69" spans="2:16">
      <c r="B69" s="22"/>
      <c r="C69" s="22"/>
      <c r="D69" s="22"/>
      <c r="E69" s="22"/>
      <c r="F69" s="22"/>
      <c r="G69" s="23" t="str">
        <f t="shared" si="4"/>
        <v/>
      </c>
      <c r="K69" s="2" t="str">
        <f t="shared" si="5"/>
        <v/>
      </c>
      <c r="L69" s="2" t="str">
        <f t="shared" si="6"/>
        <v/>
      </c>
      <c r="M69" s="2" t="str">
        <f t="shared" si="7"/>
        <v/>
      </c>
      <c r="N69" s="5"/>
      <c r="P69" t="s">
        <v>86</v>
      </c>
    </row>
    <row r="70" spans="2:16">
      <c r="B70" s="22"/>
      <c r="C70" s="22"/>
      <c r="D70" s="22"/>
      <c r="E70" s="22"/>
      <c r="F70" s="22"/>
      <c r="G70" s="23" t="str">
        <f t="shared" si="4"/>
        <v/>
      </c>
      <c r="K70" s="2" t="str">
        <f t="shared" si="5"/>
        <v/>
      </c>
      <c r="L70" s="2" t="str">
        <f t="shared" si="6"/>
        <v/>
      </c>
      <c r="M70" s="2" t="str">
        <f t="shared" si="7"/>
        <v/>
      </c>
      <c r="N70" s="5"/>
      <c r="P70" t="s">
        <v>86</v>
      </c>
    </row>
    <row r="71" spans="2:16">
      <c r="B71" s="22"/>
      <c r="C71" s="22"/>
      <c r="D71" s="22"/>
      <c r="E71" s="22"/>
      <c r="F71" s="22"/>
      <c r="G71" s="23" t="str">
        <f t="shared" si="4"/>
        <v/>
      </c>
      <c r="K71" s="2" t="str">
        <f t="shared" si="5"/>
        <v/>
      </c>
      <c r="L71" s="2" t="str">
        <f t="shared" si="6"/>
        <v/>
      </c>
      <c r="M71" s="2" t="str">
        <f t="shared" si="7"/>
        <v/>
      </c>
      <c r="N71" s="5"/>
      <c r="P71" t="s">
        <v>86</v>
      </c>
    </row>
    <row r="72" spans="2:16">
      <c r="B72" s="22"/>
      <c r="C72" s="22"/>
      <c r="D72" s="22"/>
      <c r="E72" s="22"/>
      <c r="F72" s="22"/>
      <c r="G72" s="23" t="str">
        <f t="shared" si="4"/>
        <v/>
      </c>
      <c r="K72" s="2" t="str">
        <f t="shared" si="5"/>
        <v/>
      </c>
      <c r="L72" s="2" t="str">
        <f t="shared" si="6"/>
        <v/>
      </c>
      <c r="M72" s="2" t="str">
        <f t="shared" si="7"/>
        <v/>
      </c>
      <c r="N72" s="5"/>
      <c r="P72" t="s">
        <v>86</v>
      </c>
    </row>
    <row r="73" spans="2:16">
      <c r="B73" s="22"/>
      <c r="C73" s="22"/>
      <c r="D73" s="22"/>
      <c r="E73" s="22"/>
      <c r="F73" s="22"/>
      <c r="G73" s="23" t="str">
        <f t="shared" si="4"/>
        <v/>
      </c>
      <c r="K73" s="2" t="str">
        <f t="shared" si="5"/>
        <v/>
      </c>
      <c r="L73" s="2" t="str">
        <f t="shared" si="6"/>
        <v/>
      </c>
      <c r="M73" s="2" t="str">
        <f t="shared" si="7"/>
        <v/>
      </c>
      <c r="N73" s="5"/>
      <c r="P73" t="s">
        <v>86</v>
      </c>
    </row>
    <row r="74" spans="2:16">
      <c r="B74" s="22"/>
      <c r="C74" s="22"/>
      <c r="D74" s="22"/>
      <c r="E74" s="22"/>
      <c r="F74" s="22"/>
      <c r="G74" s="23" t="str">
        <f t="shared" si="4"/>
        <v/>
      </c>
      <c r="K74" s="2" t="str">
        <f t="shared" si="5"/>
        <v/>
      </c>
      <c r="L74" s="2" t="str">
        <f t="shared" si="6"/>
        <v/>
      </c>
      <c r="M74" s="2" t="str">
        <f t="shared" si="7"/>
        <v/>
      </c>
      <c r="N74" s="5"/>
      <c r="P74" t="s">
        <v>86</v>
      </c>
    </row>
    <row r="75" spans="2:16">
      <c r="B75" s="22"/>
      <c r="C75" s="22"/>
      <c r="D75" s="22"/>
      <c r="E75" s="22"/>
      <c r="F75" s="22"/>
      <c r="G75" s="23" t="str">
        <f t="shared" si="4"/>
        <v/>
      </c>
      <c r="K75" s="2" t="str">
        <f t="shared" si="5"/>
        <v/>
      </c>
      <c r="L75" s="2" t="str">
        <f t="shared" si="6"/>
        <v/>
      </c>
      <c r="M75" s="2" t="str">
        <f t="shared" si="7"/>
        <v/>
      </c>
      <c r="N75" s="5"/>
      <c r="P75" t="s">
        <v>86</v>
      </c>
    </row>
    <row r="76" spans="2:16">
      <c r="B76" s="22"/>
      <c r="C76" s="22"/>
      <c r="D76" s="22"/>
      <c r="E76" s="22"/>
      <c r="F76" s="22"/>
      <c r="G76" s="23" t="str">
        <f t="shared" si="4"/>
        <v/>
      </c>
      <c r="K76" s="2" t="str">
        <f t="shared" si="5"/>
        <v/>
      </c>
      <c r="L76" s="2" t="str">
        <f t="shared" si="6"/>
        <v/>
      </c>
      <c r="M76" s="2" t="str">
        <f t="shared" si="7"/>
        <v/>
      </c>
      <c r="N76" s="5"/>
      <c r="P76" t="s">
        <v>86</v>
      </c>
    </row>
    <row r="77" spans="2:16">
      <c r="B77" s="22"/>
      <c r="C77" s="22"/>
      <c r="D77" s="22"/>
      <c r="E77" s="22"/>
      <c r="F77" s="22"/>
      <c r="G77" s="23" t="str">
        <f t="shared" si="4"/>
        <v/>
      </c>
      <c r="K77" s="2" t="str">
        <f t="shared" si="5"/>
        <v/>
      </c>
      <c r="L77" s="2" t="str">
        <f t="shared" si="6"/>
        <v/>
      </c>
      <c r="M77" s="2" t="str">
        <f t="shared" si="7"/>
        <v/>
      </c>
      <c r="N77" s="5"/>
      <c r="P77" t="s">
        <v>86</v>
      </c>
    </row>
    <row r="78" spans="2:16">
      <c r="B78" s="22"/>
      <c r="C78" s="22"/>
      <c r="D78" s="22"/>
      <c r="E78" s="22"/>
      <c r="F78" s="22"/>
      <c r="G78" s="23" t="str">
        <f t="shared" si="4"/>
        <v/>
      </c>
      <c r="K78" s="2" t="str">
        <f t="shared" si="5"/>
        <v/>
      </c>
      <c r="L78" s="2" t="str">
        <f t="shared" si="6"/>
        <v/>
      </c>
      <c r="M78" s="2" t="str">
        <f t="shared" si="7"/>
        <v/>
      </c>
      <c r="N78" s="5"/>
      <c r="P78" t="s">
        <v>86</v>
      </c>
    </row>
    <row r="79" spans="2:16">
      <c r="B79" s="22"/>
      <c r="C79" s="22"/>
      <c r="D79" s="22"/>
      <c r="E79" s="22"/>
      <c r="F79" s="22"/>
      <c r="G79" s="23" t="str">
        <f t="shared" si="4"/>
        <v/>
      </c>
      <c r="K79" s="2" t="str">
        <f t="shared" si="5"/>
        <v/>
      </c>
      <c r="L79" s="2" t="str">
        <f t="shared" si="6"/>
        <v/>
      </c>
      <c r="M79" s="2" t="str">
        <f t="shared" si="7"/>
        <v/>
      </c>
      <c r="N79" s="5"/>
      <c r="P79" t="s">
        <v>86</v>
      </c>
    </row>
    <row r="80" spans="2:16">
      <c r="B80" s="22"/>
      <c r="C80" s="22"/>
      <c r="D80" s="22"/>
      <c r="E80" s="22"/>
      <c r="F80" s="22"/>
      <c r="G80" s="23" t="str">
        <f t="shared" si="4"/>
        <v/>
      </c>
      <c r="K80" s="2" t="str">
        <f t="shared" si="5"/>
        <v/>
      </c>
      <c r="L80" s="2" t="str">
        <f t="shared" si="6"/>
        <v/>
      </c>
      <c r="M80" s="2" t="str">
        <f t="shared" si="7"/>
        <v/>
      </c>
      <c r="N80" s="5"/>
      <c r="P80" t="s">
        <v>86</v>
      </c>
    </row>
    <row r="81" spans="2:16">
      <c r="B81" s="22"/>
      <c r="C81" s="22"/>
      <c r="D81" s="22"/>
      <c r="E81" s="22"/>
      <c r="F81" s="22"/>
      <c r="G81" s="23" t="str">
        <f t="shared" si="4"/>
        <v/>
      </c>
      <c r="K81" s="2" t="str">
        <f t="shared" si="5"/>
        <v/>
      </c>
      <c r="L81" s="2" t="str">
        <f t="shared" si="6"/>
        <v/>
      </c>
      <c r="M81" s="2" t="str">
        <f t="shared" si="7"/>
        <v/>
      </c>
      <c r="N81" s="5"/>
      <c r="P81" t="s">
        <v>86</v>
      </c>
    </row>
    <row r="82" spans="2:16">
      <c r="B82" s="22"/>
      <c r="C82" s="22"/>
      <c r="D82" s="22"/>
      <c r="E82" s="22"/>
      <c r="F82" s="22"/>
      <c r="G82" s="23" t="str">
        <f t="shared" si="4"/>
        <v/>
      </c>
      <c r="K82" s="2" t="str">
        <f t="shared" si="5"/>
        <v/>
      </c>
      <c r="L82" s="2" t="str">
        <f t="shared" si="6"/>
        <v/>
      </c>
      <c r="M82" s="2" t="str">
        <f t="shared" si="7"/>
        <v/>
      </c>
      <c r="N82" s="5"/>
      <c r="P82" t="s">
        <v>86</v>
      </c>
    </row>
    <row r="83" spans="2:16">
      <c r="B83" s="22"/>
      <c r="C83" s="22"/>
      <c r="D83" s="22"/>
      <c r="E83" s="22"/>
      <c r="F83" s="22"/>
      <c r="G83" s="23" t="str">
        <f t="shared" si="4"/>
        <v/>
      </c>
      <c r="K83" s="2" t="str">
        <f t="shared" si="5"/>
        <v/>
      </c>
      <c r="L83" s="2" t="str">
        <f t="shared" si="6"/>
        <v/>
      </c>
      <c r="M83" s="2" t="str">
        <f t="shared" si="7"/>
        <v/>
      </c>
      <c r="N83" s="5"/>
      <c r="P83" t="s">
        <v>86</v>
      </c>
    </row>
    <row r="84" spans="2:16">
      <c r="B84" s="22"/>
      <c r="C84" s="22"/>
      <c r="D84" s="22"/>
      <c r="E84" s="22"/>
      <c r="F84" s="22"/>
      <c r="G84" s="23" t="str">
        <f t="shared" si="4"/>
        <v/>
      </c>
      <c r="K84" s="2" t="str">
        <f t="shared" si="5"/>
        <v/>
      </c>
      <c r="L84" s="2" t="str">
        <f t="shared" si="6"/>
        <v/>
      </c>
      <c r="M84" s="2" t="str">
        <f t="shared" si="7"/>
        <v/>
      </c>
      <c r="N84" s="5"/>
      <c r="P84" t="s">
        <v>86</v>
      </c>
    </row>
    <row r="85" spans="2:16">
      <c r="B85" s="22"/>
      <c r="C85" s="22"/>
      <c r="D85" s="22"/>
      <c r="E85" s="22"/>
      <c r="F85" s="22"/>
      <c r="G85" s="23" t="str">
        <f t="shared" si="4"/>
        <v/>
      </c>
      <c r="K85" s="2" t="str">
        <f t="shared" si="5"/>
        <v/>
      </c>
      <c r="L85" s="2" t="str">
        <f t="shared" si="6"/>
        <v/>
      </c>
      <c r="M85" s="2" t="str">
        <f t="shared" si="7"/>
        <v/>
      </c>
      <c r="N85" s="5"/>
      <c r="P85" t="s">
        <v>86</v>
      </c>
    </row>
    <row r="86" spans="2:16">
      <c r="B86" s="22"/>
      <c r="C86" s="22"/>
      <c r="D86" s="22"/>
      <c r="E86" s="22"/>
      <c r="F86" s="22"/>
      <c r="G86" s="23" t="str">
        <f t="shared" si="4"/>
        <v/>
      </c>
      <c r="K86" s="2" t="str">
        <f t="shared" si="5"/>
        <v/>
      </c>
      <c r="L86" s="2" t="str">
        <f t="shared" si="6"/>
        <v/>
      </c>
      <c r="M86" s="2" t="str">
        <f t="shared" si="7"/>
        <v/>
      </c>
      <c r="N86" s="5"/>
      <c r="P86" t="s">
        <v>86</v>
      </c>
    </row>
    <row r="87" spans="2:16">
      <c r="B87" s="22"/>
      <c r="C87" s="22"/>
      <c r="D87" s="22"/>
      <c r="E87" s="22"/>
      <c r="F87" s="22"/>
      <c r="G87" s="23" t="str">
        <f t="shared" si="4"/>
        <v/>
      </c>
      <c r="K87" s="2" t="str">
        <f t="shared" si="5"/>
        <v/>
      </c>
      <c r="L87" s="2" t="str">
        <f t="shared" si="6"/>
        <v/>
      </c>
      <c r="M87" s="2" t="str">
        <f t="shared" si="7"/>
        <v/>
      </c>
      <c r="N87" s="5"/>
      <c r="P87" t="s">
        <v>86</v>
      </c>
    </row>
    <row r="88" spans="2:16">
      <c r="B88" s="22"/>
      <c r="C88" s="22"/>
      <c r="D88" s="22"/>
      <c r="E88" s="22"/>
      <c r="F88" s="22"/>
      <c r="G88" s="23" t="str">
        <f t="shared" si="4"/>
        <v/>
      </c>
      <c r="K88" s="2" t="str">
        <f t="shared" si="5"/>
        <v/>
      </c>
      <c r="L88" s="2" t="str">
        <f t="shared" si="6"/>
        <v/>
      </c>
      <c r="M88" s="2" t="str">
        <f t="shared" si="7"/>
        <v/>
      </c>
      <c r="N88" s="5"/>
      <c r="P88" t="s">
        <v>86</v>
      </c>
    </row>
    <row r="89" spans="2:16">
      <c r="B89" s="22"/>
      <c r="C89" s="22"/>
      <c r="D89" s="22"/>
      <c r="E89" s="22"/>
      <c r="F89" s="22"/>
      <c r="G89" s="23" t="str">
        <f t="shared" si="4"/>
        <v/>
      </c>
      <c r="K89" s="2" t="str">
        <f t="shared" si="5"/>
        <v/>
      </c>
      <c r="L89" s="2" t="str">
        <f t="shared" si="6"/>
        <v/>
      </c>
      <c r="M89" s="2" t="str">
        <f t="shared" si="7"/>
        <v/>
      </c>
      <c r="N89" s="5"/>
      <c r="P89" t="s">
        <v>86</v>
      </c>
    </row>
    <row r="90" spans="2:16">
      <c r="B90" s="22"/>
      <c r="C90" s="22"/>
      <c r="D90" s="22"/>
      <c r="E90" s="22"/>
      <c r="F90" s="22"/>
      <c r="G90" s="23" t="str">
        <f t="shared" si="4"/>
        <v/>
      </c>
      <c r="K90" s="2" t="str">
        <f t="shared" si="5"/>
        <v/>
      </c>
      <c r="L90" s="2" t="str">
        <f t="shared" si="6"/>
        <v/>
      </c>
      <c r="M90" s="2" t="str">
        <f t="shared" si="7"/>
        <v/>
      </c>
      <c r="N90" s="5"/>
      <c r="P90" t="s">
        <v>86</v>
      </c>
    </row>
    <row r="91" spans="2:16">
      <c r="B91" s="22"/>
      <c r="C91" s="22"/>
      <c r="D91" s="22"/>
      <c r="E91" s="22"/>
      <c r="F91" s="22"/>
      <c r="G91" s="23" t="str">
        <f t="shared" si="4"/>
        <v/>
      </c>
      <c r="K91" s="2" t="str">
        <f t="shared" si="5"/>
        <v/>
      </c>
      <c r="L91" s="2" t="str">
        <f t="shared" si="6"/>
        <v/>
      </c>
      <c r="M91" s="2" t="str">
        <f t="shared" si="7"/>
        <v/>
      </c>
      <c r="N91" s="5"/>
      <c r="P91" t="s">
        <v>86</v>
      </c>
    </row>
    <row r="92" spans="2:16">
      <c r="B92" s="22"/>
      <c r="C92" s="22"/>
      <c r="D92" s="22"/>
      <c r="E92" s="22"/>
      <c r="F92" s="22"/>
      <c r="G92" s="23" t="str">
        <f t="shared" si="4"/>
        <v/>
      </c>
      <c r="K92" s="2" t="str">
        <f t="shared" si="5"/>
        <v/>
      </c>
      <c r="L92" s="2" t="str">
        <f t="shared" si="6"/>
        <v/>
      </c>
      <c r="M92" s="2" t="str">
        <f t="shared" si="7"/>
        <v/>
      </c>
      <c r="N92" s="5"/>
      <c r="P92" t="s">
        <v>86</v>
      </c>
    </row>
    <row r="93" spans="2:16">
      <c r="B93" s="22"/>
      <c r="C93" s="22"/>
      <c r="D93" s="22"/>
      <c r="E93" s="22"/>
      <c r="F93" s="22"/>
      <c r="G93" s="23" t="str">
        <f t="shared" si="4"/>
        <v/>
      </c>
      <c r="K93" s="2" t="str">
        <f t="shared" si="5"/>
        <v/>
      </c>
      <c r="L93" s="2" t="str">
        <f t="shared" si="6"/>
        <v/>
      </c>
      <c r="M93" s="2" t="str">
        <f t="shared" si="7"/>
        <v/>
      </c>
      <c r="N93" s="5"/>
      <c r="P93" t="s">
        <v>86</v>
      </c>
    </row>
    <row r="94" spans="2:16">
      <c r="B94" s="22"/>
      <c r="C94" s="22"/>
      <c r="D94" s="22"/>
      <c r="E94" s="22"/>
      <c r="F94" s="22"/>
      <c r="G94" s="23" t="str">
        <f t="shared" si="4"/>
        <v/>
      </c>
      <c r="K94" s="2" t="str">
        <f t="shared" si="5"/>
        <v/>
      </c>
      <c r="L94" s="2" t="str">
        <f t="shared" si="6"/>
        <v/>
      </c>
      <c r="M94" s="2" t="str">
        <f t="shared" si="7"/>
        <v/>
      </c>
      <c r="N94" s="5"/>
      <c r="P94" t="s">
        <v>86</v>
      </c>
    </row>
    <row r="95" spans="2:16">
      <c r="B95" s="22"/>
      <c r="C95" s="22"/>
      <c r="D95" s="22"/>
      <c r="E95" s="22"/>
      <c r="F95" s="22"/>
      <c r="G95" s="23" t="str">
        <f t="shared" si="4"/>
        <v/>
      </c>
      <c r="K95" s="2" t="str">
        <f t="shared" si="5"/>
        <v/>
      </c>
      <c r="L95" s="2" t="str">
        <f t="shared" si="6"/>
        <v/>
      </c>
      <c r="M95" s="2" t="str">
        <f t="shared" si="7"/>
        <v/>
      </c>
      <c r="N95" s="5"/>
      <c r="P95" t="s">
        <v>86</v>
      </c>
    </row>
    <row r="96" spans="2:16">
      <c r="B96" s="22"/>
      <c r="C96" s="22"/>
      <c r="D96" s="22"/>
      <c r="E96" s="22"/>
      <c r="F96" s="22"/>
      <c r="G96" s="23" t="str">
        <f t="shared" si="4"/>
        <v/>
      </c>
      <c r="K96" s="2" t="str">
        <f t="shared" si="5"/>
        <v/>
      </c>
      <c r="L96" s="2" t="str">
        <f t="shared" si="6"/>
        <v/>
      </c>
      <c r="M96" s="2" t="str">
        <f t="shared" si="7"/>
        <v/>
      </c>
      <c r="N96" s="5"/>
      <c r="P96" t="s">
        <v>86</v>
      </c>
    </row>
    <row r="97" spans="2:16">
      <c r="B97" s="22"/>
      <c r="C97" s="22"/>
      <c r="D97" s="22"/>
      <c r="E97" s="22"/>
      <c r="F97" s="22"/>
      <c r="G97" s="23" t="str">
        <f t="shared" si="4"/>
        <v/>
      </c>
      <c r="K97" s="2" t="str">
        <f t="shared" si="5"/>
        <v/>
      </c>
      <c r="L97" s="2" t="str">
        <f t="shared" si="6"/>
        <v/>
      </c>
      <c r="M97" s="2" t="str">
        <f t="shared" si="7"/>
        <v/>
      </c>
      <c r="N97" s="5"/>
      <c r="P97" t="s">
        <v>86</v>
      </c>
    </row>
    <row r="98" spans="2:16">
      <c r="B98" s="22"/>
      <c r="C98" s="22"/>
      <c r="D98" s="22"/>
      <c r="E98" s="22"/>
      <c r="F98" s="22"/>
      <c r="G98" s="23" t="str">
        <f t="shared" si="4"/>
        <v/>
      </c>
      <c r="K98" s="2" t="str">
        <f t="shared" si="5"/>
        <v/>
      </c>
      <c r="L98" s="2" t="str">
        <f t="shared" si="6"/>
        <v/>
      </c>
      <c r="M98" s="2" t="str">
        <f t="shared" si="7"/>
        <v/>
      </c>
      <c r="N98" s="5"/>
      <c r="P98" t="s">
        <v>86</v>
      </c>
    </row>
    <row r="99" spans="2:16">
      <c r="B99" s="22"/>
      <c r="C99" s="22"/>
      <c r="D99" s="22"/>
      <c r="E99" s="22"/>
      <c r="F99" s="22"/>
      <c r="G99" s="23" t="str">
        <f t="shared" si="4"/>
        <v/>
      </c>
      <c r="K99" s="2" t="str">
        <f t="shared" si="5"/>
        <v/>
      </c>
      <c r="L99" s="2" t="str">
        <f t="shared" si="6"/>
        <v/>
      </c>
      <c r="M99" s="2" t="str">
        <f t="shared" si="7"/>
        <v/>
      </c>
      <c r="N99" s="5"/>
      <c r="P99" t="s">
        <v>86</v>
      </c>
    </row>
    <row r="100" spans="2:16">
      <c r="B100" s="22"/>
      <c r="C100" s="22"/>
      <c r="D100" s="22"/>
      <c r="E100" s="22"/>
      <c r="F100" s="22"/>
      <c r="G100" s="23" t="str">
        <f t="shared" si="4"/>
        <v/>
      </c>
      <c r="K100" s="2" t="str">
        <f t="shared" si="5"/>
        <v/>
      </c>
      <c r="L100" s="2" t="str">
        <f t="shared" si="6"/>
        <v/>
      </c>
      <c r="M100" s="2" t="str">
        <f t="shared" si="7"/>
        <v/>
      </c>
      <c r="N100" s="5"/>
      <c r="P100" t="s">
        <v>86</v>
      </c>
    </row>
    <row r="101" spans="2:16">
      <c r="B101" s="22"/>
      <c r="C101" s="22"/>
      <c r="D101" s="22"/>
      <c r="E101" s="22"/>
      <c r="F101" s="22"/>
      <c r="G101" s="23" t="str">
        <f t="shared" si="4"/>
        <v/>
      </c>
      <c r="K101" s="2" t="str">
        <f t="shared" si="5"/>
        <v/>
      </c>
      <c r="L101" s="2" t="str">
        <f t="shared" si="6"/>
        <v/>
      </c>
      <c r="M101" s="2" t="str">
        <f t="shared" si="7"/>
        <v/>
      </c>
      <c r="N101" s="5"/>
      <c r="P101" t="s">
        <v>86</v>
      </c>
    </row>
    <row r="102" spans="2:16">
      <c r="B102" s="22"/>
      <c r="C102" s="22"/>
      <c r="D102" s="22"/>
      <c r="E102" s="22"/>
      <c r="F102" s="22"/>
      <c r="G102" s="23" t="str">
        <f t="shared" si="4"/>
        <v/>
      </c>
      <c r="K102" s="2" t="str">
        <f t="shared" si="5"/>
        <v/>
      </c>
      <c r="L102" s="2" t="str">
        <f t="shared" si="6"/>
        <v/>
      </c>
      <c r="M102" s="2" t="str">
        <f t="shared" si="7"/>
        <v/>
      </c>
      <c r="N102" s="5"/>
      <c r="P102" t="s">
        <v>86</v>
      </c>
    </row>
    <row r="103" spans="2:16">
      <c r="B103" s="22"/>
      <c r="C103" s="22"/>
      <c r="D103" s="22"/>
      <c r="E103" s="22"/>
      <c r="F103" s="22"/>
      <c r="G103" s="23" t="str">
        <f t="shared" si="4"/>
        <v/>
      </c>
      <c r="K103" s="2" t="str">
        <f t="shared" si="5"/>
        <v/>
      </c>
      <c r="L103" s="2" t="str">
        <f t="shared" si="6"/>
        <v/>
      </c>
      <c r="M103" s="2" t="str">
        <f t="shared" si="7"/>
        <v/>
      </c>
      <c r="N103" s="5"/>
      <c r="P103" t="s">
        <v>86</v>
      </c>
    </row>
    <row r="104" spans="2:16">
      <c r="B104" s="22"/>
      <c r="C104" s="22"/>
      <c r="D104" s="22"/>
      <c r="E104" s="22"/>
      <c r="F104" s="22"/>
      <c r="G104" s="23" t="str">
        <f t="shared" si="4"/>
        <v/>
      </c>
      <c r="K104" s="2" t="str">
        <f t="shared" si="5"/>
        <v/>
      </c>
      <c r="L104" s="2" t="str">
        <f t="shared" si="6"/>
        <v/>
      </c>
      <c r="M104" s="2" t="str">
        <f t="shared" si="7"/>
        <v/>
      </c>
      <c r="N104" s="5"/>
      <c r="P104" t="s">
        <v>86</v>
      </c>
    </row>
    <row r="105" spans="2:16">
      <c r="B105" s="22"/>
      <c r="C105" s="22"/>
      <c r="D105" s="22"/>
      <c r="E105" s="22"/>
      <c r="F105" s="22"/>
      <c r="G105" s="23" t="str">
        <f t="shared" si="4"/>
        <v/>
      </c>
      <c r="K105" s="2" t="str">
        <f t="shared" si="5"/>
        <v/>
      </c>
      <c r="L105" s="2" t="str">
        <f t="shared" si="6"/>
        <v/>
      </c>
      <c r="M105" s="2" t="str">
        <f t="shared" si="7"/>
        <v/>
      </c>
      <c r="N105" s="5"/>
      <c r="P105" t="s">
        <v>86</v>
      </c>
    </row>
    <row r="106" spans="2:16">
      <c r="B106" s="22"/>
      <c r="C106" s="22"/>
      <c r="D106" s="22"/>
      <c r="E106" s="22"/>
      <c r="F106" s="22"/>
      <c r="G106" s="23" t="str">
        <f t="shared" si="4"/>
        <v/>
      </c>
      <c r="K106" s="2" t="str">
        <f t="shared" si="5"/>
        <v/>
      </c>
      <c r="L106" s="2" t="str">
        <f t="shared" si="6"/>
        <v/>
      </c>
      <c r="M106" s="2" t="str">
        <f t="shared" si="7"/>
        <v/>
      </c>
      <c r="N106" s="5"/>
      <c r="P106" t="s">
        <v>86</v>
      </c>
    </row>
    <row r="107" spans="2:16">
      <c r="B107" s="22"/>
      <c r="C107" s="22"/>
      <c r="D107" s="22"/>
      <c r="E107" s="22"/>
      <c r="F107" s="22"/>
      <c r="G107" s="23" t="str">
        <f t="shared" si="4"/>
        <v/>
      </c>
      <c r="K107" s="2" t="str">
        <f t="shared" si="5"/>
        <v/>
      </c>
      <c r="L107" s="2" t="str">
        <f t="shared" si="6"/>
        <v/>
      </c>
      <c r="M107" s="2" t="str">
        <f t="shared" si="7"/>
        <v/>
      </c>
      <c r="N107" s="5"/>
      <c r="P107" t="s">
        <v>86</v>
      </c>
    </row>
    <row r="108" spans="2:16">
      <c r="B108" s="22"/>
      <c r="C108" s="22"/>
      <c r="D108" s="22"/>
      <c r="E108" s="22"/>
      <c r="F108" s="22"/>
      <c r="G108" s="23" t="str">
        <f t="shared" si="4"/>
        <v/>
      </c>
      <c r="K108" s="2" t="str">
        <f t="shared" si="5"/>
        <v/>
      </c>
      <c r="L108" s="2" t="str">
        <f t="shared" si="6"/>
        <v/>
      </c>
      <c r="M108" s="2" t="str">
        <f t="shared" si="7"/>
        <v/>
      </c>
      <c r="N108" s="5"/>
      <c r="P108" t="s">
        <v>86</v>
      </c>
    </row>
    <row r="109" spans="2:16">
      <c r="B109" s="22"/>
      <c r="C109" s="22"/>
      <c r="D109" s="22"/>
      <c r="E109" s="22"/>
      <c r="F109" s="22"/>
      <c r="G109" s="23" t="str">
        <f t="shared" si="4"/>
        <v/>
      </c>
      <c r="K109" s="2" t="str">
        <f t="shared" si="5"/>
        <v/>
      </c>
      <c r="L109" s="2" t="str">
        <f t="shared" si="6"/>
        <v/>
      </c>
      <c r="M109" s="2" t="str">
        <f t="shared" si="7"/>
        <v/>
      </c>
      <c r="N109" s="5"/>
      <c r="P109" t="s">
        <v>86</v>
      </c>
    </row>
    <row r="110" spans="2:16">
      <c r="B110" s="22"/>
      <c r="C110" s="22"/>
      <c r="D110" s="22"/>
      <c r="E110" s="22"/>
      <c r="F110" s="22"/>
      <c r="G110" s="23" t="str">
        <f t="shared" si="4"/>
        <v/>
      </c>
      <c r="K110" s="2" t="str">
        <f t="shared" si="5"/>
        <v/>
      </c>
      <c r="L110" s="2" t="str">
        <f t="shared" si="6"/>
        <v/>
      </c>
      <c r="M110" s="2" t="str">
        <f t="shared" si="7"/>
        <v/>
      </c>
      <c r="N110" s="5"/>
      <c r="P110" t="s">
        <v>86</v>
      </c>
    </row>
    <row r="111" spans="2:16">
      <c r="B111" s="22"/>
      <c r="C111" s="22"/>
      <c r="D111" s="22"/>
      <c r="E111" s="22"/>
      <c r="F111" s="22"/>
      <c r="G111" s="23" t="str">
        <f t="shared" si="4"/>
        <v/>
      </c>
      <c r="K111" s="2" t="str">
        <f t="shared" si="5"/>
        <v/>
      </c>
      <c r="L111" s="2" t="str">
        <f t="shared" si="6"/>
        <v/>
      </c>
      <c r="M111" s="2" t="str">
        <f t="shared" si="7"/>
        <v/>
      </c>
      <c r="N111" s="5"/>
      <c r="P111" t="s">
        <v>86</v>
      </c>
    </row>
    <row r="112" spans="2:16">
      <c r="B112" s="22"/>
      <c r="C112" s="22"/>
      <c r="D112" s="22"/>
      <c r="E112" s="22"/>
      <c r="F112" s="22"/>
      <c r="G112" s="23" t="str">
        <f t="shared" si="4"/>
        <v/>
      </c>
      <c r="K112" s="2" t="str">
        <f t="shared" si="5"/>
        <v/>
      </c>
      <c r="L112" s="2" t="str">
        <f t="shared" si="6"/>
        <v/>
      </c>
      <c r="M112" s="2" t="str">
        <f t="shared" si="7"/>
        <v/>
      </c>
      <c r="N112" s="5"/>
      <c r="P112" t="s">
        <v>86</v>
      </c>
    </row>
    <row r="113" spans="2:16">
      <c r="B113" s="22"/>
      <c r="C113" s="22"/>
      <c r="D113" s="22"/>
      <c r="E113" s="22"/>
      <c r="F113" s="22"/>
      <c r="G113" s="23" t="str">
        <f t="shared" si="4"/>
        <v/>
      </c>
      <c r="K113" s="2" t="str">
        <f t="shared" si="5"/>
        <v/>
      </c>
      <c r="L113" s="2" t="str">
        <f t="shared" si="6"/>
        <v/>
      </c>
      <c r="M113" s="2" t="str">
        <f t="shared" si="7"/>
        <v/>
      </c>
      <c r="N113" s="5"/>
      <c r="P113" t="s">
        <v>86</v>
      </c>
    </row>
    <row r="114" spans="2:16">
      <c r="B114" s="22"/>
      <c r="C114" s="22"/>
      <c r="D114" s="22"/>
      <c r="E114" s="22"/>
      <c r="F114" s="22"/>
      <c r="G114" s="23" t="str">
        <f t="shared" si="4"/>
        <v/>
      </c>
      <c r="K114" s="2" t="str">
        <f t="shared" si="5"/>
        <v/>
      </c>
      <c r="L114" s="2" t="str">
        <f t="shared" si="6"/>
        <v/>
      </c>
      <c r="M114" s="2" t="str">
        <f t="shared" si="7"/>
        <v/>
      </c>
      <c r="N114" s="5"/>
      <c r="P114" t="s">
        <v>86</v>
      </c>
    </row>
    <row r="115" spans="2:16">
      <c r="B115" s="22"/>
      <c r="C115" s="22"/>
      <c r="D115" s="22"/>
      <c r="E115" s="22"/>
      <c r="F115" s="22"/>
      <c r="G115" s="23" t="str">
        <f t="shared" si="4"/>
        <v/>
      </c>
      <c r="K115" s="2" t="str">
        <f t="shared" si="5"/>
        <v/>
      </c>
      <c r="L115" s="2" t="str">
        <f t="shared" si="6"/>
        <v/>
      </c>
      <c r="M115" s="2" t="str">
        <f t="shared" si="7"/>
        <v/>
      </c>
      <c r="N115" s="4"/>
      <c r="O115" s="1"/>
      <c r="P115" t="s">
        <v>86</v>
      </c>
    </row>
    <row r="116" spans="2:16">
      <c r="B116" s="22"/>
      <c r="C116" s="22"/>
      <c r="D116" s="22"/>
      <c r="E116" s="23"/>
      <c r="F116" s="23"/>
      <c r="G116" s="23" t="str">
        <f t="shared" si="4"/>
        <v/>
      </c>
      <c r="K116" s="2" t="str">
        <f t="shared" si="5"/>
        <v/>
      </c>
      <c r="L116" s="2" t="str">
        <f t="shared" ref="L116:L176" si="8">RIGHT(K116,2)</f>
        <v/>
      </c>
      <c r="M116" s="2" t="str">
        <f t="shared" si="7"/>
        <v/>
      </c>
      <c r="N116" s="5"/>
      <c r="P116" t="s">
        <v>86</v>
      </c>
    </row>
    <row r="117" spans="2:16">
      <c r="B117" s="23"/>
      <c r="C117" s="23"/>
      <c r="D117" s="23"/>
      <c r="E117" s="23"/>
      <c r="F117" s="23"/>
      <c r="G117" s="23" t="str">
        <f t="shared" si="4"/>
        <v/>
      </c>
      <c r="K117" s="2" t="str">
        <f t="shared" si="5"/>
        <v/>
      </c>
      <c r="L117" s="2" t="str">
        <f t="shared" si="8"/>
        <v/>
      </c>
      <c r="M117" s="2" t="str">
        <f t="shared" si="7"/>
        <v/>
      </c>
      <c r="N117" s="5"/>
      <c r="P117" t="s">
        <v>86</v>
      </c>
    </row>
    <row r="118" spans="2:16">
      <c r="B118" s="23"/>
      <c r="C118" s="23"/>
      <c r="D118" s="23"/>
      <c r="E118" s="23"/>
      <c r="F118" s="23"/>
      <c r="G118" s="23" t="str">
        <f t="shared" si="4"/>
        <v/>
      </c>
      <c r="K118" s="2" t="str">
        <f t="shared" si="5"/>
        <v/>
      </c>
      <c r="L118" s="2" t="str">
        <f t="shared" si="8"/>
        <v/>
      </c>
      <c r="M118" s="2" t="str">
        <f t="shared" si="7"/>
        <v/>
      </c>
      <c r="N118" s="5"/>
      <c r="P118" t="s">
        <v>86</v>
      </c>
    </row>
    <row r="119" spans="2:16">
      <c r="B119" s="23"/>
      <c r="C119" s="23"/>
      <c r="D119" s="23"/>
      <c r="E119" s="23"/>
      <c r="F119" s="23"/>
      <c r="G119" s="23" t="str">
        <f t="shared" si="4"/>
        <v/>
      </c>
      <c r="K119" s="2" t="str">
        <f t="shared" si="5"/>
        <v/>
      </c>
      <c r="L119" s="2" t="str">
        <f t="shared" si="8"/>
        <v/>
      </c>
      <c r="M119" s="2" t="str">
        <f t="shared" si="7"/>
        <v/>
      </c>
      <c r="N119" s="5"/>
      <c r="P119" t="s">
        <v>86</v>
      </c>
    </row>
    <row r="120" spans="2:16">
      <c r="B120" s="23"/>
      <c r="C120" s="23"/>
      <c r="D120" s="23"/>
      <c r="E120" s="23"/>
      <c r="F120" s="23"/>
      <c r="G120" s="23" t="str">
        <f t="shared" si="4"/>
        <v/>
      </c>
      <c r="K120" s="2" t="str">
        <f t="shared" si="5"/>
        <v/>
      </c>
      <c r="L120" s="2" t="str">
        <f t="shared" si="8"/>
        <v/>
      </c>
      <c r="M120" s="2" t="str">
        <f t="shared" si="7"/>
        <v/>
      </c>
      <c r="N120" s="5"/>
      <c r="P120" t="s">
        <v>86</v>
      </c>
    </row>
    <row r="121" spans="2:16">
      <c r="B121" s="23"/>
      <c r="C121" s="23"/>
      <c r="D121" s="23"/>
      <c r="E121" s="23"/>
      <c r="F121" s="23"/>
      <c r="G121" s="23" t="str">
        <f t="shared" si="4"/>
        <v/>
      </c>
      <c r="K121" s="2" t="str">
        <f t="shared" si="5"/>
        <v/>
      </c>
      <c r="L121" s="2" t="str">
        <f t="shared" si="8"/>
        <v/>
      </c>
      <c r="M121" s="2" t="str">
        <f t="shared" si="7"/>
        <v/>
      </c>
      <c r="N121" s="5"/>
      <c r="P121" t="s">
        <v>86</v>
      </c>
    </row>
    <row r="122" spans="2:16">
      <c r="B122" s="23"/>
      <c r="C122" s="23"/>
      <c r="D122" s="23"/>
      <c r="E122" s="23"/>
      <c r="F122" s="23"/>
      <c r="G122" s="23" t="str">
        <f t="shared" si="4"/>
        <v/>
      </c>
      <c r="K122" s="2" t="str">
        <f t="shared" si="5"/>
        <v/>
      </c>
      <c r="L122" s="2" t="str">
        <f t="shared" si="8"/>
        <v/>
      </c>
      <c r="M122" s="2" t="str">
        <f t="shared" si="7"/>
        <v/>
      </c>
      <c r="N122" s="5"/>
      <c r="P122" t="s">
        <v>86</v>
      </c>
    </row>
    <row r="123" spans="2:16">
      <c r="B123" s="23"/>
      <c r="C123" s="23"/>
      <c r="D123" s="23"/>
      <c r="E123" s="23"/>
      <c r="F123" s="23"/>
      <c r="G123" s="23" t="str">
        <f t="shared" si="4"/>
        <v/>
      </c>
      <c r="K123" s="2" t="str">
        <f t="shared" si="5"/>
        <v/>
      </c>
      <c r="L123" s="2" t="str">
        <f t="shared" si="8"/>
        <v/>
      </c>
      <c r="M123" s="2" t="str">
        <f t="shared" si="7"/>
        <v/>
      </c>
      <c r="N123" s="5"/>
      <c r="P123" t="s">
        <v>86</v>
      </c>
    </row>
    <row r="124" spans="2:16">
      <c r="B124" s="23"/>
      <c r="C124" s="23"/>
      <c r="D124" s="23"/>
      <c r="E124" s="23"/>
      <c r="F124" s="23"/>
      <c r="G124" s="23" t="str">
        <f t="shared" si="4"/>
        <v/>
      </c>
      <c r="K124" s="2" t="str">
        <f t="shared" si="5"/>
        <v/>
      </c>
      <c r="L124" s="2" t="str">
        <f t="shared" si="8"/>
        <v/>
      </c>
      <c r="M124" s="2" t="str">
        <f t="shared" si="7"/>
        <v/>
      </c>
      <c r="N124" s="5"/>
      <c r="P124" t="s">
        <v>86</v>
      </c>
    </row>
    <row r="125" spans="2:16">
      <c r="B125" s="23"/>
      <c r="C125" s="23"/>
      <c r="D125" s="23"/>
      <c r="E125" s="23"/>
      <c r="F125" s="23"/>
      <c r="G125" s="23" t="str">
        <f t="shared" si="4"/>
        <v/>
      </c>
      <c r="K125" s="2" t="str">
        <f t="shared" si="5"/>
        <v/>
      </c>
      <c r="L125" s="2" t="str">
        <f t="shared" si="8"/>
        <v/>
      </c>
      <c r="M125" s="2" t="str">
        <f t="shared" si="7"/>
        <v/>
      </c>
      <c r="N125" s="5"/>
      <c r="P125" t="s">
        <v>86</v>
      </c>
    </row>
    <row r="126" spans="2:16">
      <c r="B126" s="23"/>
      <c r="C126" s="23"/>
      <c r="D126" s="23"/>
      <c r="E126" s="23"/>
      <c r="F126" s="23"/>
      <c r="G126" s="23" t="str">
        <f t="shared" si="4"/>
        <v/>
      </c>
      <c r="K126" s="2" t="str">
        <f t="shared" si="5"/>
        <v/>
      </c>
      <c r="L126" s="2" t="str">
        <f t="shared" si="8"/>
        <v/>
      </c>
      <c r="M126" s="2" t="str">
        <f t="shared" si="7"/>
        <v/>
      </c>
      <c r="N126" s="5"/>
      <c r="P126" t="s">
        <v>86</v>
      </c>
    </row>
    <row r="127" spans="2:16">
      <c r="B127" s="23"/>
      <c r="C127" s="23"/>
      <c r="D127" s="23"/>
      <c r="E127" s="23"/>
      <c r="F127" s="23"/>
      <c r="G127" s="23" t="str">
        <f t="shared" si="4"/>
        <v/>
      </c>
      <c r="K127" s="2" t="str">
        <f t="shared" si="5"/>
        <v/>
      </c>
      <c r="L127" s="2" t="str">
        <f t="shared" si="8"/>
        <v/>
      </c>
      <c r="M127" s="2" t="str">
        <f t="shared" si="7"/>
        <v/>
      </c>
      <c r="N127" s="5"/>
      <c r="P127" t="s">
        <v>86</v>
      </c>
    </row>
    <row r="128" spans="2:16">
      <c r="B128" s="23"/>
      <c r="C128" s="23"/>
      <c r="D128" s="23"/>
      <c r="E128" s="23"/>
      <c r="F128" s="23"/>
      <c r="G128" s="23" t="str">
        <f t="shared" si="4"/>
        <v/>
      </c>
      <c r="K128" s="2" t="str">
        <f t="shared" si="5"/>
        <v/>
      </c>
      <c r="L128" s="2" t="str">
        <f t="shared" si="8"/>
        <v/>
      </c>
      <c r="M128" s="2" t="str">
        <f t="shared" si="7"/>
        <v/>
      </c>
      <c r="N128" s="5"/>
      <c r="P128" t="s">
        <v>86</v>
      </c>
    </row>
    <row r="129" spans="2:16">
      <c r="B129" s="23"/>
      <c r="C129" s="23"/>
      <c r="D129" s="23"/>
      <c r="E129" s="23"/>
      <c r="F129" s="23"/>
      <c r="G129" s="23" t="str">
        <f t="shared" si="4"/>
        <v/>
      </c>
      <c r="K129" s="2" t="str">
        <f t="shared" si="5"/>
        <v/>
      </c>
      <c r="L129" s="2" t="str">
        <f t="shared" si="8"/>
        <v/>
      </c>
      <c r="M129" s="2" t="str">
        <f t="shared" si="7"/>
        <v/>
      </c>
      <c r="N129" s="5"/>
      <c r="P129" t="s">
        <v>86</v>
      </c>
    </row>
    <row r="130" spans="2:16">
      <c r="B130" s="23"/>
      <c r="C130" s="23"/>
      <c r="D130" s="23"/>
      <c r="E130" s="23"/>
      <c r="F130" s="23"/>
      <c r="G130" s="23" t="str">
        <f t="shared" si="4"/>
        <v/>
      </c>
      <c r="K130" s="2" t="str">
        <f t="shared" si="5"/>
        <v/>
      </c>
      <c r="L130" s="2" t="str">
        <f t="shared" si="8"/>
        <v/>
      </c>
      <c r="M130" s="2" t="str">
        <f t="shared" si="7"/>
        <v/>
      </c>
      <c r="N130" s="5"/>
      <c r="P130" t="s">
        <v>86</v>
      </c>
    </row>
    <row r="131" spans="2:16">
      <c r="B131" s="23"/>
      <c r="C131" s="23"/>
      <c r="D131" s="23"/>
      <c r="E131" s="23"/>
      <c r="F131" s="23"/>
      <c r="G131" s="23" t="str">
        <f t="shared" si="4"/>
        <v/>
      </c>
      <c r="K131" s="2" t="str">
        <f t="shared" si="5"/>
        <v/>
      </c>
      <c r="L131" s="2" t="str">
        <f t="shared" si="8"/>
        <v/>
      </c>
      <c r="M131" s="2" t="str">
        <f t="shared" si="7"/>
        <v/>
      </c>
      <c r="N131" s="5"/>
      <c r="P131" t="s">
        <v>86</v>
      </c>
    </row>
    <row r="132" spans="2:16">
      <c r="B132" s="23"/>
      <c r="C132" s="23"/>
      <c r="D132" s="23"/>
      <c r="E132" s="23"/>
      <c r="F132" s="23"/>
      <c r="G132" s="23" t="str">
        <f t="shared" ref="G132:G195" si="9">IF(AND(D132=E132,E132=F132),"",IF(AND(F132="",D132=E132),"",IF(AND(D132="",E132=F132),"",IF(AND(E132="",D132=F132),"","불일치"))))</f>
        <v/>
      </c>
      <c r="K132" s="2" t="str">
        <f t="shared" ref="K132:K195" si="10">+IF(D132="","",+D132)</f>
        <v/>
      </c>
      <c r="L132" s="2" t="str">
        <f t="shared" si="8"/>
        <v/>
      </c>
      <c r="M132" s="2" t="str">
        <f t="shared" ref="M132:M195" si="11">IF(B132="","",IF(COUNTIF($K$3:$K$295,K132)&gt;1,"동명",""))</f>
        <v/>
      </c>
      <c r="N132" s="5"/>
      <c r="P132" t="s">
        <v>86</v>
      </c>
    </row>
    <row r="133" spans="2:16">
      <c r="B133" s="23"/>
      <c r="C133" s="23"/>
      <c r="D133" s="23"/>
      <c r="E133" s="23"/>
      <c r="F133" s="23"/>
      <c r="G133" s="23" t="str">
        <f t="shared" si="9"/>
        <v/>
      </c>
      <c r="K133" s="2" t="str">
        <f t="shared" si="10"/>
        <v/>
      </c>
      <c r="L133" s="2" t="str">
        <f t="shared" si="8"/>
        <v/>
      </c>
      <c r="M133" s="2" t="str">
        <f t="shared" si="11"/>
        <v/>
      </c>
      <c r="N133" s="5"/>
      <c r="P133" t="s">
        <v>86</v>
      </c>
    </row>
    <row r="134" spans="2:16">
      <c r="B134" s="23"/>
      <c r="C134" s="23"/>
      <c r="D134" s="23"/>
      <c r="E134" s="23"/>
      <c r="F134" s="23"/>
      <c r="G134" s="23" t="str">
        <f t="shared" si="9"/>
        <v/>
      </c>
      <c r="K134" s="2" t="str">
        <f t="shared" si="10"/>
        <v/>
      </c>
      <c r="L134" s="2" t="str">
        <f t="shared" si="8"/>
        <v/>
      </c>
      <c r="M134" s="2" t="str">
        <f t="shared" si="11"/>
        <v/>
      </c>
      <c r="N134" s="5"/>
      <c r="P134" t="s">
        <v>86</v>
      </c>
    </row>
    <row r="135" spans="2:16">
      <c r="B135" s="23"/>
      <c r="C135" s="23"/>
      <c r="D135" s="23"/>
      <c r="E135" s="23"/>
      <c r="F135" s="23"/>
      <c r="G135" s="23" t="str">
        <f t="shared" si="9"/>
        <v/>
      </c>
      <c r="K135" s="2" t="str">
        <f t="shared" si="10"/>
        <v/>
      </c>
      <c r="L135" s="2" t="str">
        <f t="shared" si="8"/>
        <v/>
      </c>
      <c r="M135" s="2" t="str">
        <f t="shared" si="11"/>
        <v/>
      </c>
      <c r="N135" s="5"/>
      <c r="P135" t="s">
        <v>86</v>
      </c>
    </row>
    <row r="136" spans="2:16">
      <c r="B136" s="23"/>
      <c r="C136" s="23"/>
      <c r="D136" s="23"/>
      <c r="E136" s="23"/>
      <c r="F136" s="23"/>
      <c r="G136" s="23" t="str">
        <f t="shared" si="9"/>
        <v/>
      </c>
      <c r="K136" s="2" t="str">
        <f t="shared" si="10"/>
        <v/>
      </c>
      <c r="L136" s="2" t="str">
        <f t="shared" si="8"/>
        <v/>
      </c>
      <c r="M136" s="2" t="str">
        <f t="shared" si="11"/>
        <v/>
      </c>
      <c r="N136" s="5"/>
      <c r="P136" t="s">
        <v>86</v>
      </c>
    </row>
    <row r="137" spans="2:16">
      <c r="B137" s="23"/>
      <c r="C137" s="23"/>
      <c r="D137" s="23"/>
      <c r="E137" s="23"/>
      <c r="F137" s="23"/>
      <c r="G137" s="23" t="str">
        <f t="shared" si="9"/>
        <v/>
      </c>
      <c r="K137" s="2" t="str">
        <f t="shared" si="10"/>
        <v/>
      </c>
      <c r="L137" s="2" t="str">
        <f t="shared" si="8"/>
        <v/>
      </c>
      <c r="M137" s="2" t="str">
        <f t="shared" si="11"/>
        <v/>
      </c>
      <c r="N137" s="5"/>
      <c r="P137" t="s">
        <v>86</v>
      </c>
    </row>
    <row r="138" spans="2:16">
      <c r="B138" s="23"/>
      <c r="C138" s="23"/>
      <c r="D138" s="23"/>
      <c r="E138" s="23"/>
      <c r="F138" s="23"/>
      <c r="G138" s="23" t="str">
        <f t="shared" si="9"/>
        <v/>
      </c>
      <c r="K138" s="2" t="str">
        <f t="shared" si="10"/>
        <v/>
      </c>
      <c r="L138" s="2" t="str">
        <f t="shared" si="8"/>
        <v/>
      </c>
      <c r="M138" s="2" t="str">
        <f t="shared" si="11"/>
        <v/>
      </c>
      <c r="N138" s="5"/>
      <c r="P138" t="s">
        <v>86</v>
      </c>
    </row>
    <row r="139" spans="2:16">
      <c r="B139" s="23"/>
      <c r="C139" s="23"/>
      <c r="D139" s="23"/>
      <c r="E139" s="23"/>
      <c r="F139" s="23"/>
      <c r="G139" s="23" t="str">
        <f t="shared" si="9"/>
        <v/>
      </c>
      <c r="K139" s="2" t="str">
        <f t="shared" si="10"/>
        <v/>
      </c>
      <c r="L139" s="2" t="str">
        <f t="shared" si="8"/>
        <v/>
      </c>
      <c r="M139" s="2" t="str">
        <f t="shared" si="11"/>
        <v/>
      </c>
      <c r="N139" s="5"/>
      <c r="P139" t="s">
        <v>86</v>
      </c>
    </row>
    <row r="140" spans="2:16">
      <c r="B140" s="23"/>
      <c r="C140" s="23"/>
      <c r="D140" s="23"/>
      <c r="E140" s="23"/>
      <c r="F140" s="23"/>
      <c r="G140" s="23" t="str">
        <f t="shared" si="9"/>
        <v/>
      </c>
      <c r="K140" s="2" t="str">
        <f t="shared" si="10"/>
        <v/>
      </c>
      <c r="L140" s="2" t="str">
        <f t="shared" si="8"/>
        <v/>
      </c>
      <c r="M140" s="2" t="str">
        <f t="shared" si="11"/>
        <v/>
      </c>
      <c r="N140" s="5"/>
      <c r="P140" t="s">
        <v>86</v>
      </c>
    </row>
    <row r="141" spans="2:16">
      <c r="B141" s="23"/>
      <c r="C141" s="23"/>
      <c r="D141" s="23"/>
      <c r="E141" s="23"/>
      <c r="F141" s="23"/>
      <c r="G141" s="23" t="str">
        <f t="shared" si="9"/>
        <v/>
      </c>
      <c r="K141" s="2" t="str">
        <f t="shared" si="10"/>
        <v/>
      </c>
      <c r="L141" s="2" t="str">
        <f t="shared" si="8"/>
        <v/>
      </c>
      <c r="M141" s="2" t="str">
        <f t="shared" si="11"/>
        <v/>
      </c>
      <c r="N141" s="5"/>
      <c r="P141" t="s">
        <v>86</v>
      </c>
    </row>
    <row r="142" spans="2:16">
      <c r="B142" s="23"/>
      <c r="C142" s="23"/>
      <c r="D142" s="23"/>
      <c r="E142" s="23"/>
      <c r="F142" s="23"/>
      <c r="G142" s="23" t="str">
        <f t="shared" si="9"/>
        <v/>
      </c>
      <c r="K142" s="2" t="str">
        <f t="shared" si="10"/>
        <v/>
      </c>
      <c r="L142" s="2" t="str">
        <f t="shared" si="8"/>
        <v/>
      </c>
      <c r="M142" s="2" t="str">
        <f t="shared" si="11"/>
        <v/>
      </c>
      <c r="N142" s="5"/>
      <c r="P142" t="s">
        <v>86</v>
      </c>
    </row>
    <row r="143" spans="2:16">
      <c r="B143" s="23"/>
      <c r="C143" s="23"/>
      <c r="D143" s="23"/>
      <c r="E143" s="23"/>
      <c r="F143" s="23"/>
      <c r="G143" s="23" t="str">
        <f t="shared" si="9"/>
        <v/>
      </c>
      <c r="K143" s="2" t="str">
        <f t="shared" si="10"/>
        <v/>
      </c>
      <c r="L143" s="2" t="str">
        <f t="shared" si="8"/>
        <v/>
      </c>
      <c r="M143" s="2" t="str">
        <f t="shared" si="11"/>
        <v/>
      </c>
      <c r="N143" s="5"/>
      <c r="P143" t="s">
        <v>86</v>
      </c>
    </row>
    <row r="144" spans="2:16">
      <c r="B144" s="23"/>
      <c r="C144" s="23"/>
      <c r="D144" s="23"/>
      <c r="E144" s="23"/>
      <c r="F144" s="23"/>
      <c r="G144" s="23" t="str">
        <f t="shared" si="9"/>
        <v/>
      </c>
      <c r="K144" s="2" t="str">
        <f t="shared" si="10"/>
        <v/>
      </c>
      <c r="L144" s="2" t="str">
        <f t="shared" si="8"/>
        <v/>
      </c>
      <c r="M144" s="2" t="str">
        <f t="shared" si="11"/>
        <v/>
      </c>
      <c r="N144" s="5"/>
      <c r="P144" t="s">
        <v>86</v>
      </c>
    </row>
    <row r="145" spans="2:16">
      <c r="B145" s="23"/>
      <c r="C145" s="23"/>
      <c r="D145" s="23"/>
      <c r="E145" s="23"/>
      <c r="F145" s="23"/>
      <c r="G145" s="23" t="str">
        <f t="shared" si="9"/>
        <v/>
      </c>
      <c r="K145" s="2" t="str">
        <f t="shared" si="10"/>
        <v/>
      </c>
      <c r="L145" s="2" t="str">
        <f t="shared" si="8"/>
        <v/>
      </c>
      <c r="M145" s="2" t="str">
        <f t="shared" si="11"/>
        <v/>
      </c>
      <c r="N145" s="5"/>
      <c r="P145" t="s">
        <v>86</v>
      </c>
    </row>
    <row r="146" spans="2:16">
      <c r="B146" s="23"/>
      <c r="C146" s="23"/>
      <c r="D146" s="23"/>
      <c r="E146" s="23"/>
      <c r="F146" s="23"/>
      <c r="G146" s="23" t="str">
        <f t="shared" si="9"/>
        <v/>
      </c>
      <c r="K146" s="2" t="str">
        <f t="shared" si="10"/>
        <v/>
      </c>
      <c r="L146" s="2" t="str">
        <f t="shared" si="8"/>
        <v/>
      </c>
      <c r="M146" s="2" t="str">
        <f t="shared" si="11"/>
        <v/>
      </c>
      <c r="N146" s="5"/>
      <c r="P146" t="s">
        <v>86</v>
      </c>
    </row>
    <row r="147" spans="2:16">
      <c r="B147" s="23"/>
      <c r="C147" s="23"/>
      <c r="D147" s="23"/>
      <c r="E147" s="23"/>
      <c r="F147" s="23"/>
      <c r="G147" s="23" t="str">
        <f t="shared" si="9"/>
        <v/>
      </c>
      <c r="K147" s="2" t="str">
        <f t="shared" si="10"/>
        <v/>
      </c>
      <c r="L147" s="2" t="str">
        <f t="shared" si="8"/>
        <v/>
      </c>
      <c r="M147" s="2" t="str">
        <f t="shared" si="11"/>
        <v/>
      </c>
      <c r="N147" s="5"/>
      <c r="P147" t="s">
        <v>86</v>
      </c>
    </row>
    <row r="148" spans="2:16">
      <c r="B148" s="23"/>
      <c r="C148" s="23"/>
      <c r="D148" s="23"/>
      <c r="E148" s="23"/>
      <c r="F148" s="23"/>
      <c r="G148" s="23" t="str">
        <f t="shared" si="9"/>
        <v/>
      </c>
      <c r="K148" s="2" t="str">
        <f t="shared" si="10"/>
        <v/>
      </c>
      <c r="L148" s="2" t="str">
        <f t="shared" si="8"/>
        <v/>
      </c>
      <c r="M148" s="2" t="str">
        <f t="shared" si="11"/>
        <v/>
      </c>
      <c r="N148" s="5"/>
      <c r="P148" t="s">
        <v>86</v>
      </c>
    </row>
    <row r="149" spans="2:16">
      <c r="B149" s="23"/>
      <c r="C149" s="23"/>
      <c r="D149" s="23"/>
      <c r="E149" s="23"/>
      <c r="F149" s="23"/>
      <c r="G149" s="23" t="str">
        <f t="shared" si="9"/>
        <v/>
      </c>
      <c r="K149" s="2" t="str">
        <f t="shared" si="10"/>
        <v/>
      </c>
      <c r="L149" s="2" t="str">
        <f t="shared" si="8"/>
        <v/>
      </c>
      <c r="M149" s="2" t="str">
        <f t="shared" si="11"/>
        <v/>
      </c>
      <c r="N149" s="5"/>
      <c r="P149" t="s">
        <v>86</v>
      </c>
    </row>
    <row r="150" spans="2:16">
      <c r="B150" s="23"/>
      <c r="C150" s="23"/>
      <c r="D150" s="23"/>
      <c r="E150" s="23"/>
      <c r="F150" s="23"/>
      <c r="G150" s="23" t="str">
        <f t="shared" si="9"/>
        <v/>
      </c>
      <c r="K150" s="2" t="str">
        <f t="shared" si="10"/>
        <v/>
      </c>
      <c r="L150" s="2" t="str">
        <f t="shared" si="8"/>
        <v/>
      </c>
      <c r="M150" s="2" t="str">
        <f t="shared" si="11"/>
        <v/>
      </c>
      <c r="N150" s="5"/>
      <c r="P150" t="s">
        <v>86</v>
      </c>
    </row>
    <row r="151" spans="2:16">
      <c r="B151" s="23"/>
      <c r="C151" s="23"/>
      <c r="D151" s="23"/>
      <c r="E151" s="23"/>
      <c r="F151" s="23"/>
      <c r="G151" s="23" t="str">
        <f t="shared" si="9"/>
        <v/>
      </c>
      <c r="K151" s="2" t="str">
        <f t="shared" si="10"/>
        <v/>
      </c>
      <c r="L151" s="2" t="str">
        <f t="shared" si="8"/>
        <v/>
      </c>
      <c r="M151" s="2" t="str">
        <f t="shared" si="11"/>
        <v/>
      </c>
      <c r="N151" s="5"/>
      <c r="P151" t="s">
        <v>86</v>
      </c>
    </row>
    <row r="152" spans="2:16">
      <c r="B152" s="23"/>
      <c r="C152" s="23"/>
      <c r="D152" s="23"/>
      <c r="E152" s="23"/>
      <c r="F152" s="23"/>
      <c r="G152" s="23" t="str">
        <f t="shared" si="9"/>
        <v/>
      </c>
      <c r="K152" s="2" t="str">
        <f t="shared" si="10"/>
        <v/>
      </c>
      <c r="L152" s="2" t="str">
        <f t="shared" si="8"/>
        <v/>
      </c>
      <c r="M152" s="2" t="str">
        <f t="shared" si="11"/>
        <v/>
      </c>
      <c r="N152" s="5"/>
      <c r="P152" t="s">
        <v>86</v>
      </c>
    </row>
    <row r="153" spans="2:16">
      <c r="B153" s="23"/>
      <c r="C153" s="23"/>
      <c r="D153" s="23"/>
      <c r="E153" s="23"/>
      <c r="F153" s="23"/>
      <c r="G153" s="23" t="str">
        <f t="shared" si="9"/>
        <v/>
      </c>
      <c r="K153" s="2" t="str">
        <f t="shared" si="10"/>
        <v/>
      </c>
      <c r="L153" s="2" t="str">
        <f t="shared" si="8"/>
        <v/>
      </c>
      <c r="M153" s="2" t="str">
        <f t="shared" si="11"/>
        <v/>
      </c>
      <c r="N153" s="5"/>
      <c r="P153" t="s">
        <v>86</v>
      </c>
    </row>
    <row r="154" spans="2:16">
      <c r="B154" s="23"/>
      <c r="C154" s="23"/>
      <c r="D154" s="23"/>
      <c r="E154" s="23"/>
      <c r="F154" s="23"/>
      <c r="G154" s="23" t="str">
        <f t="shared" si="9"/>
        <v/>
      </c>
      <c r="K154" s="2" t="str">
        <f t="shared" si="10"/>
        <v/>
      </c>
      <c r="L154" s="2" t="str">
        <f t="shared" si="8"/>
        <v/>
      </c>
      <c r="M154" s="2" t="str">
        <f t="shared" si="11"/>
        <v/>
      </c>
      <c r="N154" s="5"/>
      <c r="P154" t="s">
        <v>86</v>
      </c>
    </row>
    <row r="155" spans="2:16">
      <c r="B155" s="23"/>
      <c r="C155" s="23"/>
      <c r="D155" s="23"/>
      <c r="E155" s="23"/>
      <c r="F155" s="23"/>
      <c r="G155" s="23" t="str">
        <f t="shared" si="9"/>
        <v/>
      </c>
      <c r="K155" s="2" t="str">
        <f t="shared" si="10"/>
        <v/>
      </c>
      <c r="L155" s="2" t="str">
        <f t="shared" si="8"/>
        <v/>
      </c>
      <c r="M155" s="2" t="str">
        <f t="shared" si="11"/>
        <v/>
      </c>
      <c r="N155" s="5"/>
      <c r="P155" t="s">
        <v>86</v>
      </c>
    </row>
    <row r="156" spans="2:16">
      <c r="B156" s="23"/>
      <c r="C156" s="23"/>
      <c r="D156" s="23"/>
      <c r="E156" s="23"/>
      <c r="F156" s="23"/>
      <c r="G156" s="23" t="str">
        <f t="shared" si="9"/>
        <v/>
      </c>
      <c r="K156" s="2" t="str">
        <f t="shared" si="10"/>
        <v/>
      </c>
      <c r="L156" s="2" t="str">
        <f t="shared" si="8"/>
        <v/>
      </c>
      <c r="M156" s="2" t="str">
        <f t="shared" si="11"/>
        <v/>
      </c>
      <c r="N156" s="5"/>
      <c r="P156" t="s">
        <v>86</v>
      </c>
    </row>
    <row r="157" spans="2:16">
      <c r="B157" s="23"/>
      <c r="C157" s="23"/>
      <c r="D157" s="23"/>
      <c r="E157" s="23"/>
      <c r="F157" s="23"/>
      <c r="G157" s="23" t="str">
        <f t="shared" si="9"/>
        <v/>
      </c>
      <c r="K157" s="2" t="str">
        <f t="shared" si="10"/>
        <v/>
      </c>
      <c r="L157" s="2" t="str">
        <f t="shared" si="8"/>
        <v/>
      </c>
      <c r="M157" s="2" t="str">
        <f t="shared" si="11"/>
        <v/>
      </c>
      <c r="N157" s="5"/>
      <c r="P157" t="s">
        <v>86</v>
      </c>
    </row>
    <row r="158" spans="2:16">
      <c r="B158" s="23"/>
      <c r="C158" s="23"/>
      <c r="D158" s="23"/>
      <c r="E158" s="23"/>
      <c r="F158" s="23"/>
      <c r="G158" s="23" t="str">
        <f t="shared" si="9"/>
        <v/>
      </c>
      <c r="K158" s="2" t="str">
        <f t="shared" si="10"/>
        <v/>
      </c>
      <c r="L158" s="2" t="str">
        <f t="shared" si="8"/>
        <v/>
      </c>
      <c r="M158" s="2" t="str">
        <f t="shared" si="11"/>
        <v/>
      </c>
      <c r="N158" s="5"/>
      <c r="P158" t="s">
        <v>86</v>
      </c>
    </row>
    <row r="159" spans="2:16">
      <c r="B159" s="23"/>
      <c r="C159" s="23"/>
      <c r="D159" s="23"/>
      <c r="E159" s="23"/>
      <c r="F159" s="23"/>
      <c r="G159" s="23" t="str">
        <f t="shared" si="9"/>
        <v/>
      </c>
      <c r="K159" s="2" t="str">
        <f t="shared" si="10"/>
        <v/>
      </c>
      <c r="L159" s="2" t="str">
        <f t="shared" si="8"/>
        <v/>
      </c>
      <c r="M159" s="2" t="str">
        <f t="shared" si="11"/>
        <v/>
      </c>
      <c r="N159" s="5"/>
      <c r="P159" t="s">
        <v>86</v>
      </c>
    </row>
    <row r="160" spans="2:16">
      <c r="B160" s="23"/>
      <c r="C160" s="23"/>
      <c r="D160" s="23"/>
      <c r="E160" s="23"/>
      <c r="F160" s="23"/>
      <c r="G160" s="23" t="str">
        <f t="shared" si="9"/>
        <v/>
      </c>
      <c r="K160" s="2" t="str">
        <f t="shared" si="10"/>
        <v/>
      </c>
      <c r="L160" s="2" t="str">
        <f t="shared" si="8"/>
        <v/>
      </c>
      <c r="M160" s="2" t="str">
        <f t="shared" si="11"/>
        <v/>
      </c>
      <c r="N160" s="5"/>
      <c r="P160" t="s">
        <v>86</v>
      </c>
    </row>
    <row r="161" spans="2:16">
      <c r="B161" s="23"/>
      <c r="C161" s="23"/>
      <c r="D161" s="23"/>
      <c r="E161" s="23"/>
      <c r="F161" s="23"/>
      <c r="G161" s="23" t="str">
        <f t="shared" si="9"/>
        <v/>
      </c>
      <c r="K161" s="2" t="str">
        <f t="shared" si="10"/>
        <v/>
      </c>
      <c r="L161" s="2" t="str">
        <f t="shared" si="8"/>
        <v/>
      </c>
      <c r="M161" s="2" t="str">
        <f t="shared" si="11"/>
        <v/>
      </c>
      <c r="N161" s="5"/>
      <c r="P161" t="s">
        <v>86</v>
      </c>
    </row>
    <row r="162" spans="2:16">
      <c r="B162" s="23"/>
      <c r="C162" s="23"/>
      <c r="D162" s="23"/>
      <c r="E162" s="23"/>
      <c r="F162" s="23"/>
      <c r="G162" s="23" t="str">
        <f t="shared" si="9"/>
        <v/>
      </c>
      <c r="K162" s="2" t="str">
        <f t="shared" si="10"/>
        <v/>
      </c>
      <c r="L162" s="2" t="str">
        <f t="shared" si="8"/>
        <v/>
      </c>
      <c r="M162" s="2" t="str">
        <f t="shared" si="11"/>
        <v/>
      </c>
      <c r="N162" s="5"/>
      <c r="P162" t="s">
        <v>86</v>
      </c>
    </row>
    <row r="163" spans="2:16">
      <c r="B163" s="23"/>
      <c r="C163" s="23"/>
      <c r="D163" s="23"/>
      <c r="E163" s="23"/>
      <c r="F163" s="23"/>
      <c r="G163" s="23" t="str">
        <f t="shared" si="9"/>
        <v/>
      </c>
      <c r="K163" s="2" t="str">
        <f t="shared" si="10"/>
        <v/>
      </c>
      <c r="L163" s="2" t="str">
        <f t="shared" si="8"/>
        <v/>
      </c>
      <c r="M163" s="2" t="str">
        <f t="shared" si="11"/>
        <v/>
      </c>
      <c r="N163" s="5"/>
      <c r="P163" t="s">
        <v>86</v>
      </c>
    </row>
    <row r="164" spans="2:16">
      <c r="B164" s="23"/>
      <c r="C164" s="23"/>
      <c r="D164" s="23"/>
      <c r="E164" s="23"/>
      <c r="F164" s="23"/>
      <c r="G164" s="23" t="str">
        <f t="shared" si="9"/>
        <v/>
      </c>
      <c r="K164" s="2" t="str">
        <f t="shared" si="10"/>
        <v/>
      </c>
      <c r="L164" s="2" t="str">
        <f t="shared" si="8"/>
        <v/>
      </c>
      <c r="M164" s="2" t="str">
        <f t="shared" si="11"/>
        <v/>
      </c>
      <c r="N164" s="5"/>
      <c r="P164" t="s">
        <v>86</v>
      </c>
    </row>
    <row r="165" spans="2:16">
      <c r="B165" s="23"/>
      <c r="C165" s="23"/>
      <c r="D165" s="23"/>
      <c r="E165" s="23"/>
      <c r="F165" s="23"/>
      <c r="G165" s="23" t="str">
        <f t="shared" si="9"/>
        <v/>
      </c>
      <c r="K165" s="2" t="str">
        <f t="shared" si="10"/>
        <v/>
      </c>
      <c r="L165" s="2" t="str">
        <f t="shared" si="8"/>
        <v/>
      </c>
      <c r="M165" s="2" t="str">
        <f t="shared" si="11"/>
        <v/>
      </c>
      <c r="N165" s="5"/>
      <c r="P165" t="s">
        <v>86</v>
      </c>
    </row>
    <row r="166" spans="2:16">
      <c r="B166" s="23"/>
      <c r="C166" s="23"/>
      <c r="D166" s="23"/>
      <c r="E166" s="23"/>
      <c r="F166" s="23"/>
      <c r="G166" s="23" t="str">
        <f t="shared" si="9"/>
        <v/>
      </c>
      <c r="K166" s="2" t="str">
        <f t="shared" si="10"/>
        <v/>
      </c>
      <c r="L166" s="2" t="str">
        <f t="shared" si="8"/>
        <v/>
      </c>
      <c r="M166" s="2" t="str">
        <f t="shared" si="11"/>
        <v/>
      </c>
      <c r="N166" s="5"/>
      <c r="P166" t="s">
        <v>86</v>
      </c>
    </row>
    <row r="167" spans="2:16">
      <c r="B167" s="23"/>
      <c r="C167" s="23"/>
      <c r="D167" s="23"/>
      <c r="E167" s="23"/>
      <c r="F167" s="23"/>
      <c r="G167" s="23" t="str">
        <f t="shared" si="9"/>
        <v/>
      </c>
      <c r="K167" s="2" t="str">
        <f t="shared" si="10"/>
        <v/>
      </c>
      <c r="L167" s="2" t="str">
        <f t="shared" si="8"/>
        <v/>
      </c>
      <c r="M167" s="2" t="str">
        <f t="shared" si="11"/>
        <v/>
      </c>
      <c r="N167" s="5"/>
      <c r="P167" t="s">
        <v>86</v>
      </c>
    </row>
    <row r="168" spans="2:16">
      <c r="B168" s="23"/>
      <c r="C168" s="23"/>
      <c r="D168" s="23"/>
      <c r="E168" s="23"/>
      <c r="F168" s="23"/>
      <c r="G168" s="23" t="str">
        <f t="shared" si="9"/>
        <v/>
      </c>
      <c r="K168" s="2" t="str">
        <f t="shared" si="10"/>
        <v/>
      </c>
      <c r="L168" s="2" t="str">
        <f t="shared" si="8"/>
        <v/>
      </c>
      <c r="M168" s="2" t="str">
        <f t="shared" si="11"/>
        <v/>
      </c>
      <c r="N168" s="5"/>
      <c r="P168" t="s">
        <v>86</v>
      </c>
    </row>
    <row r="169" spans="2:16">
      <c r="B169" s="23"/>
      <c r="C169" s="23"/>
      <c r="D169" s="23"/>
      <c r="E169" s="23"/>
      <c r="F169" s="23"/>
      <c r="G169" s="23" t="str">
        <f t="shared" si="9"/>
        <v/>
      </c>
      <c r="K169" s="2" t="str">
        <f t="shared" si="10"/>
        <v/>
      </c>
      <c r="L169" s="2" t="str">
        <f t="shared" si="8"/>
        <v/>
      </c>
      <c r="M169" s="2" t="str">
        <f t="shared" si="11"/>
        <v/>
      </c>
      <c r="N169" s="5"/>
      <c r="P169" t="s">
        <v>86</v>
      </c>
    </row>
    <row r="170" spans="2:16">
      <c r="B170" s="23"/>
      <c r="C170" s="23"/>
      <c r="D170" s="23"/>
      <c r="E170" s="23"/>
      <c r="F170" s="23"/>
      <c r="G170" s="23" t="str">
        <f t="shared" si="9"/>
        <v/>
      </c>
      <c r="K170" s="2" t="str">
        <f t="shared" si="10"/>
        <v/>
      </c>
      <c r="L170" s="2" t="str">
        <f t="shared" si="8"/>
        <v/>
      </c>
      <c r="M170" s="2" t="str">
        <f t="shared" si="11"/>
        <v/>
      </c>
      <c r="N170" s="5"/>
      <c r="P170" t="s">
        <v>86</v>
      </c>
    </row>
    <row r="171" spans="2:16">
      <c r="B171" s="23"/>
      <c r="C171" s="23"/>
      <c r="D171" s="23"/>
      <c r="E171" s="23"/>
      <c r="F171" s="23"/>
      <c r="G171" s="23" t="str">
        <f t="shared" si="9"/>
        <v/>
      </c>
      <c r="K171" s="2" t="str">
        <f t="shared" si="10"/>
        <v/>
      </c>
      <c r="L171" s="2" t="str">
        <f t="shared" si="8"/>
        <v/>
      </c>
      <c r="M171" s="2" t="str">
        <f t="shared" si="11"/>
        <v/>
      </c>
      <c r="N171" s="5"/>
      <c r="P171" t="s">
        <v>86</v>
      </c>
    </row>
    <row r="172" spans="2:16">
      <c r="B172" s="23"/>
      <c r="C172" s="23"/>
      <c r="D172" s="23"/>
      <c r="E172" s="23"/>
      <c r="F172" s="23"/>
      <c r="G172" s="23" t="str">
        <f t="shared" si="9"/>
        <v/>
      </c>
      <c r="K172" s="2" t="str">
        <f t="shared" si="10"/>
        <v/>
      </c>
      <c r="L172" s="2" t="str">
        <f t="shared" si="8"/>
        <v/>
      </c>
      <c r="M172" s="2" t="str">
        <f t="shared" si="11"/>
        <v/>
      </c>
      <c r="N172" s="5"/>
      <c r="P172" t="s">
        <v>86</v>
      </c>
    </row>
    <row r="173" spans="2:16">
      <c r="B173" s="23"/>
      <c r="C173" s="23"/>
      <c r="D173" s="23"/>
      <c r="E173" s="23"/>
      <c r="F173" s="23"/>
      <c r="G173" s="23" t="str">
        <f t="shared" si="9"/>
        <v/>
      </c>
      <c r="K173" s="2" t="str">
        <f t="shared" si="10"/>
        <v/>
      </c>
      <c r="L173" s="2" t="str">
        <f t="shared" si="8"/>
        <v/>
      </c>
      <c r="M173" s="2" t="str">
        <f t="shared" si="11"/>
        <v/>
      </c>
      <c r="N173" s="5"/>
      <c r="P173" t="s">
        <v>86</v>
      </c>
    </row>
    <row r="174" spans="2:16">
      <c r="B174" s="23"/>
      <c r="C174" s="23"/>
      <c r="D174" s="23"/>
      <c r="E174" s="23"/>
      <c r="F174" s="23"/>
      <c r="G174" s="23" t="str">
        <f t="shared" si="9"/>
        <v/>
      </c>
      <c r="K174" s="2" t="str">
        <f t="shared" si="10"/>
        <v/>
      </c>
      <c r="L174" s="2" t="str">
        <f t="shared" si="8"/>
        <v/>
      </c>
      <c r="M174" s="2" t="str">
        <f t="shared" si="11"/>
        <v/>
      </c>
      <c r="N174" s="5"/>
      <c r="P174" t="s">
        <v>86</v>
      </c>
    </row>
    <row r="175" spans="2:16">
      <c r="B175" s="23"/>
      <c r="C175" s="23"/>
      <c r="D175" s="23"/>
      <c r="E175" s="23"/>
      <c r="F175" s="23"/>
      <c r="G175" s="23" t="str">
        <f t="shared" si="9"/>
        <v/>
      </c>
      <c r="K175" s="2" t="str">
        <f t="shared" si="10"/>
        <v/>
      </c>
      <c r="L175" s="2" t="str">
        <f t="shared" si="8"/>
        <v/>
      </c>
      <c r="M175" s="2" t="str">
        <f t="shared" si="11"/>
        <v/>
      </c>
      <c r="N175" s="5"/>
      <c r="P175" t="s">
        <v>86</v>
      </c>
    </row>
    <row r="176" spans="2:16">
      <c r="B176" s="23"/>
      <c r="C176" s="23"/>
      <c r="D176" s="23"/>
      <c r="E176" s="23"/>
      <c r="F176" s="23"/>
      <c r="G176" s="23" t="str">
        <f t="shared" si="9"/>
        <v/>
      </c>
      <c r="K176" s="2" t="str">
        <f t="shared" si="10"/>
        <v/>
      </c>
      <c r="L176" s="2" t="str">
        <f t="shared" si="8"/>
        <v/>
      </c>
      <c r="M176" s="2" t="str">
        <f t="shared" si="11"/>
        <v/>
      </c>
      <c r="N176" s="5"/>
      <c r="P176" t="s">
        <v>86</v>
      </c>
    </row>
    <row r="177" spans="2:16">
      <c r="B177" s="23"/>
      <c r="C177" s="23"/>
      <c r="D177" s="23"/>
      <c r="E177" s="23"/>
      <c r="F177" s="23"/>
      <c r="G177" s="23" t="str">
        <f t="shared" si="9"/>
        <v/>
      </c>
      <c r="K177" s="2" t="str">
        <f t="shared" si="10"/>
        <v/>
      </c>
      <c r="L177" s="2" t="str">
        <f t="shared" ref="L177:L225" si="12">RIGHT(K177,2)</f>
        <v/>
      </c>
      <c r="M177" s="2" t="str">
        <f t="shared" si="11"/>
        <v/>
      </c>
      <c r="N177" s="5"/>
      <c r="P177" t="s">
        <v>86</v>
      </c>
    </row>
    <row r="178" spans="2:16">
      <c r="B178" s="23"/>
      <c r="C178" s="23"/>
      <c r="D178" s="23"/>
      <c r="E178" s="23"/>
      <c r="F178" s="23"/>
      <c r="G178" s="23" t="str">
        <f t="shared" si="9"/>
        <v/>
      </c>
      <c r="K178" s="2" t="str">
        <f t="shared" si="10"/>
        <v/>
      </c>
      <c r="L178" s="2" t="str">
        <f t="shared" si="12"/>
        <v/>
      </c>
      <c r="M178" s="2" t="str">
        <f t="shared" si="11"/>
        <v/>
      </c>
      <c r="N178" s="5"/>
      <c r="P178" t="s">
        <v>86</v>
      </c>
    </row>
    <row r="179" spans="2:16">
      <c r="B179" s="23"/>
      <c r="C179" s="23"/>
      <c r="D179" s="23"/>
      <c r="E179" s="23"/>
      <c r="F179" s="23"/>
      <c r="G179" s="23" t="str">
        <f t="shared" si="9"/>
        <v/>
      </c>
      <c r="K179" s="2" t="str">
        <f t="shared" si="10"/>
        <v/>
      </c>
      <c r="L179" s="2" t="str">
        <f t="shared" si="12"/>
        <v/>
      </c>
      <c r="M179" s="2" t="str">
        <f t="shared" si="11"/>
        <v/>
      </c>
      <c r="N179" s="5"/>
      <c r="P179" t="s">
        <v>86</v>
      </c>
    </row>
    <row r="180" spans="2:16">
      <c r="B180" s="23"/>
      <c r="C180" s="23"/>
      <c r="D180" s="23"/>
      <c r="E180" s="23"/>
      <c r="F180" s="23"/>
      <c r="G180" s="23" t="str">
        <f t="shared" si="9"/>
        <v/>
      </c>
      <c r="K180" s="2" t="str">
        <f t="shared" si="10"/>
        <v/>
      </c>
      <c r="L180" s="2" t="str">
        <f t="shared" si="12"/>
        <v/>
      </c>
      <c r="M180" s="2" t="str">
        <f t="shared" si="11"/>
        <v/>
      </c>
      <c r="N180" s="5"/>
      <c r="P180" t="s">
        <v>86</v>
      </c>
    </row>
    <row r="181" spans="2:16">
      <c r="B181" s="23"/>
      <c r="C181" s="23"/>
      <c r="D181" s="23"/>
      <c r="E181" s="23"/>
      <c r="F181" s="23"/>
      <c r="G181" s="23" t="str">
        <f t="shared" si="9"/>
        <v/>
      </c>
      <c r="K181" s="2" t="str">
        <f t="shared" si="10"/>
        <v/>
      </c>
      <c r="L181" s="2" t="str">
        <f t="shared" si="12"/>
        <v/>
      </c>
      <c r="M181" s="2" t="str">
        <f t="shared" si="11"/>
        <v/>
      </c>
      <c r="N181" s="5"/>
      <c r="P181" t="s">
        <v>86</v>
      </c>
    </row>
    <row r="182" spans="2:16">
      <c r="B182" s="23"/>
      <c r="C182" s="23"/>
      <c r="D182" s="23"/>
      <c r="E182" s="23"/>
      <c r="F182" s="23"/>
      <c r="G182" s="23" t="str">
        <f t="shared" si="9"/>
        <v/>
      </c>
      <c r="K182" s="2" t="str">
        <f t="shared" si="10"/>
        <v/>
      </c>
      <c r="L182" s="2" t="str">
        <f t="shared" si="12"/>
        <v/>
      </c>
      <c r="M182" s="2" t="str">
        <f t="shared" si="11"/>
        <v/>
      </c>
      <c r="N182" s="5"/>
      <c r="P182" t="s">
        <v>86</v>
      </c>
    </row>
    <row r="183" spans="2:16">
      <c r="B183" s="23"/>
      <c r="C183" s="23"/>
      <c r="D183" s="23"/>
      <c r="E183" s="23"/>
      <c r="F183" s="23"/>
      <c r="G183" s="23" t="str">
        <f t="shared" si="9"/>
        <v/>
      </c>
      <c r="K183" s="2" t="str">
        <f t="shared" si="10"/>
        <v/>
      </c>
      <c r="L183" s="2" t="str">
        <f t="shared" si="12"/>
        <v/>
      </c>
      <c r="M183" s="2" t="str">
        <f t="shared" si="11"/>
        <v/>
      </c>
      <c r="N183" s="5"/>
      <c r="P183" t="s">
        <v>86</v>
      </c>
    </row>
    <row r="184" spans="2:16">
      <c r="B184" s="23"/>
      <c r="C184" s="23"/>
      <c r="D184" s="23"/>
      <c r="E184" s="23"/>
      <c r="F184" s="23"/>
      <c r="G184" s="23" t="str">
        <f t="shared" si="9"/>
        <v/>
      </c>
      <c r="K184" s="2" t="str">
        <f t="shared" si="10"/>
        <v/>
      </c>
      <c r="L184" s="2" t="str">
        <f t="shared" si="12"/>
        <v/>
      </c>
      <c r="M184" s="2" t="str">
        <f t="shared" si="11"/>
        <v/>
      </c>
      <c r="N184" s="5"/>
      <c r="P184" t="s">
        <v>86</v>
      </c>
    </row>
    <row r="185" spans="2:16">
      <c r="B185" s="23"/>
      <c r="C185" s="23"/>
      <c r="D185" s="23"/>
      <c r="E185" s="23"/>
      <c r="F185" s="23"/>
      <c r="G185" s="23" t="str">
        <f t="shared" si="9"/>
        <v/>
      </c>
      <c r="K185" s="2" t="str">
        <f t="shared" si="10"/>
        <v/>
      </c>
      <c r="L185" s="2" t="str">
        <f t="shared" si="12"/>
        <v/>
      </c>
      <c r="M185" s="2" t="str">
        <f t="shared" si="11"/>
        <v/>
      </c>
      <c r="N185" s="5"/>
      <c r="P185" t="s">
        <v>86</v>
      </c>
    </row>
    <row r="186" spans="2:16">
      <c r="B186" s="23"/>
      <c r="C186" s="23"/>
      <c r="D186" s="23"/>
      <c r="E186" s="24"/>
      <c r="F186" s="24"/>
      <c r="G186" s="23" t="str">
        <f t="shared" si="9"/>
        <v/>
      </c>
      <c r="K186" s="2" t="str">
        <f t="shared" si="10"/>
        <v/>
      </c>
      <c r="L186" s="2" t="str">
        <f t="shared" si="12"/>
        <v/>
      </c>
      <c r="M186" s="2" t="str">
        <f t="shared" si="11"/>
        <v/>
      </c>
      <c r="N186" s="5"/>
      <c r="P186" t="s">
        <v>86</v>
      </c>
    </row>
    <row r="187" spans="2:16">
      <c r="B187" s="22"/>
      <c r="C187" s="22"/>
      <c r="D187" s="22"/>
      <c r="E187" s="24"/>
      <c r="F187" s="24"/>
      <c r="G187" s="23" t="str">
        <f t="shared" si="9"/>
        <v/>
      </c>
      <c r="K187" s="2" t="str">
        <f t="shared" si="10"/>
        <v/>
      </c>
      <c r="L187" s="2" t="str">
        <f t="shared" si="12"/>
        <v/>
      </c>
      <c r="M187" s="2" t="str">
        <f t="shared" si="11"/>
        <v/>
      </c>
      <c r="N187" s="5"/>
      <c r="P187" t="s">
        <v>86</v>
      </c>
    </row>
    <row r="188" spans="2:16">
      <c r="B188" s="22"/>
      <c r="C188" s="22"/>
      <c r="D188" s="22"/>
      <c r="E188" s="24"/>
      <c r="F188" s="24"/>
      <c r="G188" s="23" t="str">
        <f t="shared" si="9"/>
        <v/>
      </c>
      <c r="K188" s="2" t="str">
        <f t="shared" si="10"/>
        <v/>
      </c>
      <c r="L188" s="2" t="str">
        <f t="shared" si="12"/>
        <v/>
      </c>
      <c r="M188" s="2" t="str">
        <f t="shared" si="11"/>
        <v/>
      </c>
      <c r="N188" s="5"/>
      <c r="P188" t="s">
        <v>86</v>
      </c>
    </row>
    <row r="189" spans="2:16">
      <c r="B189" s="22"/>
      <c r="C189" s="22"/>
      <c r="D189" s="22"/>
      <c r="E189" s="24"/>
      <c r="F189" s="24"/>
      <c r="G189" s="23" t="str">
        <f t="shared" si="9"/>
        <v/>
      </c>
      <c r="K189" s="2" t="str">
        <f t="shared" si="10"/>
        <v/>
      </c>
      <c r="L189" s="2" t="str">
        <f t="shared" si="12"/>
        <v/>
      </c>
      <c r="M189" s="2" t="str">
        <f t="shared" si="11"/>
        <v/>
      </c>
      <c r="N189" s="5"/>
      <c r="P189" t="s">
        <v>86</v>
      </c>
    </row>
    <row r="190" spans="2:16">
      <c r="B190" s="22"/>
      <c r="C190" s="22"/>
      <c r="D190" s="22"/>
      <c r="E190" s="24"/>
      <c r="F190" s="24"/>
      <c r="G190" s="23" t="str">
        <f t="shared" si="9"/>
        <v/>
      </c>
      <c r="K190" s="2" t="str">
        <f t="shared" si="10"/>
        <v/>
      </c>
      <c r="L190" s="2" t="str">
        <f t="shared" si="12"/>
        <v/>
      </c>
      <c r="M190" s="2" t="str">
        <f t="shared" si="11"/>
        <v/>
      </c>
      <c r="N190" s="5"/>
      <c r="P190" t="s">
        <v>86</v>
      </c>
    </row>
    <row r="191" spans="2:16">
      <c r="B191" s="22"/>
      <c r="C191" s="22"/>
      <c r="D191" s="22"/>
      <c r="E191" s="24"/>
      <c r="F191" s="24"/>
      <c r="G191" s="23" t="str">
        <f t="shared" si="9"/>
        <v/>
      </c>
      <c r="K191" s="2" t="str">
        <f t="shared" si="10"/>
        <v/>
      </c>
      <c r="L191" s="2" t="str">
        <f t="shared" si="12"/>
        <v/>
      </c>
      <c r="M191" s="2" t="str">
        <f t="shared" si="11"/>
        <v/>
      </c>
      <c r="N191" s="5"/>
      <c r="P191" t="s">
        <v>86</v>
      </c>
    </row>
    <row r="192" spans="2:16">
      <c r="B192" s="22"/>
      <c r="C192" s="22"/>
      <c r="D192" s="22"/>
      <c r="E192" s="24"/>
      <c r="F192" s="24"/>
      <c r="G192" s="23" t="str">
        <f t="shared" si="9"/>
        <v/>
      </c>
      <c r="K192" s="2" t="str">
        <f t="shared" si="10"/>
        <v/>
      </c>
      <c r="L192" s="2" t="str">
        <f t="shared" si="12"/>
        <v/>
      </c>
      <c r="M192" s="2" t="str">
        <f t="shared" si="11"/>
        <v/>
      </c>
      <c r="N192" s="5"/>
      <c r="P192" t="s">
        <v>86</v>
      </c>
    </row>
    <row r="193" spans="2:16">
      <c r="B193" s="22"/>
      <c r="C193" s="22"/>
      <c r="D193" s="22"/>
      <c r="E193" s="24"/>
      <c r="F193" s="24"/>
      <c r="G193" s="23" t="str">
        <f t="shared" si="9"/>
        <v/>
      </c>
      <c r="K193" s="2" t="str">
        <f t="shared" si="10"/>
        <v/>
      </c>
      <c r="L193" s="2" t="str">
        <f t="shared" si="12"/>
        <v/>
      </c>
      <c r="M193" s="2" t="str">
        <f t="shared" si="11"/>
        <v/>
      </c>
      <c r="N193" s="5"/>
      <c r="P193" t="s">
        <v>86</v>
      </c>
    </row>
    <row r="194" spans="2:16">
      <c r="B194" s="22"/>
      <c r="C194" s="22"/>
      <c r="D194" s="22"/>
      <c r="E194" s="24"/>
      <c r="F194" s="24"/>
      <c r="G194" s="23" t="str">
        <f t="shared" si="9"/>
        <v/>
      </c>
      <c r="K194" s="2" t="str">
        <f t="shared" si="10"/>
        <v/>
      </c>
      <c r="L194" s="2" t="str">
        <f t="shared" si="12"/>
        <v/>
      </c>
      <c r="M194" s="2" t="str">
        <f t="shared" si="11"/>
        <v/>
      </c>
      <c r="N194" s="5"/>
      <c r="P194" t="s">
        <v>86</v>
      </c>
    </row>
    <row r="195" spans="2:16">
      <c r="B195" s="22"/>
      <c r="C195" s="22"/>
      <c r="D195" s="22"/>
      <c r="E195" s="24"/>
      <c r="F195" s="24"/>
      <c r="G195" s="23" t="str">
        <f t="shared" si="9"/>
        <v/>
      </c>
      <c r="K195" s="2" t="str">
        <f t="shared" si="10"/>
        <v/>
      </c>
      <c r="L195" s="2" t="str">
        <f t="shared" si="12"/>
        <v/>
      </c>
      <c r="M195" s="2" t="str">
        <f t="shared" si="11"/>
        <v/>
      </c>
      <c r="N195" s="5"/>
      <c r="P195" t="s">
        <v>86</v>
      </c>
    </row>
    <row r="196" spans="2:16">
      <c r="B196" s="22"/>
      <c r="C196" s="22"/>
      <c r="D196" s="22"/>
      <c r="E196" s="24"/>
      <c r="F196" s="24"/>
      <c r="G196" s="23" t="str">
        <f t="shared" ref="G196:G259" si="13">IF(AND(D196=E196,E196=F196),"",IF(AND(F196="",D196=E196),"",IF(AND(D196="",E196=F196),"",IF(AND(E196="",D196=F196),"","불일치"))))</f>
        <v/>
      </c>
      <c r="K196" s="2" t="str">
        <f t="shared" ref="K196:K259" si="14">+IF(D196="","",+D196)</f>
        <v/>
      </c>
      <c r="L196" s="2" t="str">
        <f t="shared" si="12"/>
        <v/>
      </c>
      <c r="M196" s="2" t="str">
        <f t="shared" ref="M196:M259" si="15">IF(B196="","",IF(COUNTIF($K$3:$K$295,K196)&gt;1,"동명",""))</f>
        <v/>
      </c>
      <c r="N196" s="5"/>
      <c r="P196" t="s">
        <v>86</v>
      </c>
    </row>
    <row r="197" spans="2:16">
      <c r="B197" s="22"/>
      <c r="C197" s="22"/>
      <c r="D197" s="22"/>
      <c r="E197" s="24"/>
      <c r="F197" s="24"/>
      <c r="G197" s="23" t="str">
        <f t="shared" si="13"/>
        <v/>
      </c>
      <c r="K197" s="2" t="str">
        <f t="shared" si="14"/>
        <v/>
      </c>
      <c r="L197" s="2" t="str">
        <f t="shared" si="12"/>
        <v/>
      </c>
      <c r="M197" s="2" t="str">
        <f t="shared" si="15"/>
        <v/>
      </c>
      <c r="N197" s="5"/>
      <c r="P197" t="s">
        <v>86</v>
      </c>
    </row>
    <row r="198" spans="2:16">
      <c r="B198" s="22"/>
      <c r="C198" s="22"/>
      <c r="D198" s="22"/>
      <c r="E198" s="24"/>
      <c r="F198" s="24"/>
      <c r="G198" s="23" t="str">
        <f t="shared" si="13"/>
        <v/>
      </c>
      <c r="K198" s="2" t="str">
        <f t="shared" si="14"/>
        <v/>
      </c>
      <c r="L198" s="2" t="str">
        <f t="shared" si="12"/>
        <v/>
      </c>
      <c r="M198" s="2" t="str">
        <f t="shared" si="15"/>
        <v/>
      </c>
      <c r="N198" s="5"/>
      <c r="P198" t="s">
        <v>86</v>
      </c>
    </row>
    <row r="199" spans="2:16">
      <c r="B199" s="22"/>
      <c r="C199" s="22"/>
      <c r="D199" s="22"/>
      <c r="E199" s="24"/>
      <c r="F199" s="24"/>
      <c r="G199" s="23" t="str">
        <f t="shared" si="13"/>
        <v/>
      </c>
      <c r="K199" s="2" t="str">
        <f t="shared" si="14"/>
        <v/>
      </c>
      <c r="L199" s="2" t="str">
        <f t="shared" si="12"/>
        <v/>
      </c>
      <c r="M199" s="2" t="str">
        <f t="shared" si="15"/>
        <v/>
      </c>
      <c r="N199" s="5"/>
      <c r="P199" t="s">
        <v>86</v>
      </c>
    </row>
    <row r="200" spans="2:16">
      <c r="B200" s="22"/>
      <c r="C200" s="22"/>
      <c r="D200" s="22"/>
      <c r="E200" s="24"/>
      <c r="F200" s="24"/>
      <c r="G200" s="23" t="str">
        <f t="shared" si="13"/>
        <v/>
      </c>
      <c r="K200" s="2" t="str">
        <f t="shared" si="14"/>
        <v/>
      </c>
      <c r="L200" s="2" t="str">
        <f t="shared" si="12"/>
        <v/>
      </c>
      <c r="M200" s="2" t="str">
        <f t="shared" si="15"/>
        <v/>
      </c>
      <c r="N200" s="5"/>
      <c r="P200" t="s">
        <v>86</v>
      </c>
    </row>
    <row r="201" spans="2:16">
      <c r="B201" s="22"/>
      <c r="C201" s="22"/>
      <c r="D201" s="22"/>
      <c r="E201" s="24"/>
      <c r="F201" s="24"/>
      <c r="G201" s="23" t="str">
        <f t="shared" si="13"/>
        <v/>
      </c>
      <c r="K201" s="2" t="str">
        <f t="shared" si="14"/>
        <v/>
      </c>
      <c r="L201" s="2" t="str">
        <f t="shared" si="12"/>
        <v/>
      </c>
      <c r="M201" s="2" t="str">
        <f t="shared" si="15"/>
        <v/>
      </c>
      <c r="N201" s="5"/>
      <c r="P201" t="s">
        <v>86</v>
      </c>
    </row>
    <row r="202" spans="2:16">
      <c r="B202" s="22"/>
      <c r="C202" s="22"/>
      <c r="D202" s="22"/>
      <c r="E202" s="24"/>
      <c r="F202" s="24"/>
      <c r="G202" s="23" t="str">
        <f t="shared" si="13"/>
        <v/>
      </c>
      <c r="K202" s="2" t="str">
        <f t="shared" si="14"/>
        <v/>
      </c>
      <c r="L202" s="2" t="str">
        <f t="shared" si="12"/>
        <v/>
      </c>
      <c r="M202" s="2" t="str">
        <f t="shared" si="15"/>
        <v/>
      </c>
      <c r="N202" s="5"/>
      <c r="P202" t="s">
        <v>86</v>
      </c>
    </row>
    <row r="203" spans="2:16">
      <c r="B203" s="22"/>
      <c r="C203" s="22"/>
      <c r="D203" s="22"/>
      <c r="E203" s="24"/>
      <c r="F203" s="24"/>
      <c r="G203" s="23" t="str">
        <f t="shared" si="13"/>
        <v/>
      </c>
      <c r="K203" s="2" t="str">
        <f t="shared" si="14"/>
        <v/>
      </c>
      <c r="L203" s="2" t="str">
        <f t="shared" si="12"/>
        <v/>
      </c>
      <c r="M203" s="2" t="str">
        <f t="shared" si="15"/>
        <v/>
      </c>
      <c r="N203" s="5"/>
      <c r="P203" t="s">
        <v>86</v>
      </c>
    </row>
    <row r="204" spans="2:16">
      <c r="B204" s="22"/>
      <c r="C204" s="22"/>
      <c r="D204" s="22"/>
      <c r="E204" s="24"/>
      <c r="F204" s="24"/>
      <c r="G204" s="23" t="str">
        <f t="shared" si="13"/>
        <v/>
      </c>
      <c r="K204" s="2" t="str">
        <f t="shared" si="14"/>
        <v/>
      </c>
      <c r="L204" s="2" t="str">
        <f t="shared" si="12"/>
        <v/>
      </c>
      <c r="M204" s="2" t="str">
        <f t="shared" si="15"/>
        <v/>
      </c>
      <c r="N204" s="5"/>
      <c r="P204" t="s">
        <v>86</v>
      </c>
    </row>
    <row r="205" spans="2:16">
      <c r="B205" s="22"/>
      <c r="C205" s="22"/>
      <c r="D205" s="22"/>
      <c r="E205" s="24"/>
      <c r="F205" s="24"/>
      <c r="G205" s="23" t="str">
        <f t="shared" si="13"/>
        <v/>
      </c>
      <c r="K205" s="2" t="str">
        <f t="shared" si="14"/>
        <v/>
      </c>
      <c r="L205" s="2" t="str">
        <f t="shared" si="12"/>
        <v/>
      </c>
      <c r="M205" s="2" t="str">
        <f t="shared" si="15"/>
        <v/>
      </c>
      <c r="N205" s="5"/>
      <c r="P205" t="s">
        <v>86</v>
      </c>
    </row>
    <row r="206" spans="2:16">
      <c r="B206" s="22"/>
      <c r="C206" s="22"/>
      <c r="D206" s="22"/>
      <c r="E206" s="24"/>
      <c r="F206" s="24"/>
      <c r="G206" s="23" t="str">
        <f t="shared" si="13"/>
        <v/>
      </c>
      <c r="K206" s="2" t="str">
        <f t="shared" si="14"/>
        <v/>
      </c>
      <c r="L206" s="2" t="str">
        <f t="shared" si="12"/>
        <v/>
      </c>
      <c r="M206" s="2" t="str">
        <f t="shared" si="15"/>
        <v/>
      </c>
      <c r="N206" s="5"/>
      <c r="P206" t="s">
        <v>86</v>
      </c>
    </row>
    <row r="207" spans="2:16">
      <c r="B207" s="22"/>
      <c r="C207" s="22"/>
      <c r="D207" s="22"/>
      <c r="E207" s="24"/>
      <c r="F207" s="24"/>
      <c r="G207" s="23" t="str">
        <f t="shared" si="13"/>
        <v/>
      </c>
      <c r="K207" s="2" t="str">
        <f t="shared" si="14"/>
        <v/>
      </c>
      <c r="L207" s="2" t="str">
        <f t="shared" si="12"/>
        <v/>
      </c>
      <c r="M207" s="2" t="str">
        <f t="shared" si="15"/>
        <v/>
      </c>
      <c r="N207" s="5"/>
      <c r="P207" t="s">
        <v>86</v>
      </c>
    </row>
    <row r="208" spans="2:16">
      <c r="B208" s="22"/>
      <c r="C208" s="22"/>
      <c r="D208" s="22"/>
      <c r="E208" s="24"/>
      <c r="F208" s="24"/>
      <c r="G208" s="23" t="str">
        <f t="shared" si="13"/>
        <v/>
      </c>
      <c r="K208" s="2" t="str">
        <f t="shared" si="14"/>
        <v/>
      </c>
      <c r="L208" s="2" t="str">
        <f t="shared" si="12"/>
        <v/>
      </c>
      <c r="M208" s="2" t="str">
        <f t="shared" si="15"/>
        <v/>
      </c>
      <c r="N208" s="5"/>
      <c r="P208" t="s">
        <v>86</v>
      </c>
    </row>
    <row r="209" spans="2:16">
      <c r="B209" s="22"/>
      <c r="C209" s="22"/>
      <c r="D209" s="22"/>
      <c r="E209" s="24"/>
      <c r="F209" s="24"/>
      <c r="G209" s="23" t="str">
        <f t="shared" si="13"/>
        <v/>
      </c>
      <c r="K209" s="2" t="str">
        <f t="shared" si="14"/>
        <v/>
      </c>
      <c r="L209" s="2" t="str">
        <f t="shared" si="12"/>
        <v/>
      </c>
      <c r="M209" s="2" t="str">
        <f t="shared" si="15"/>
        <v/>
      </c>
      <c r="N209" s="5"/>
      <c r="P209" t="s">
        <v>86</v>
      </c>
    </row>
    <row r="210" spans="2:16">
      <c r="B210" s="22"/>
      <c r="C210" s="22"/>
      <c r="D210" s="22"/>
      <c r="E210" s="24"/>
      <c r="F210" s="24"/>
      <c r="G210" s="23" t="str">
        <f t="shared" si="13"/>
        <v/>
      </c>
      <c r="K210" s="2" t="str">
        <f t="shared" si="14"/>
        <v/>
      </c>
      <c r="L210" s="2" t="str">
        <f t="shared" si="12"/>
        <v/>
      </c>
      <c r="M210" s="2" t="str">
        <f t="shared" si="15"/>
        <v/>
      </c>
      <c r="N210" s="5"/>
      <c r="P210" t="s">
        <v>86</v>
      </c>
    </row>
    <row r="211" spans="2:16">
      <c r="B211" s="22"/>
      <c r="C211" s="22"/>
      <c r="D211" s="22"/>
      <c r="E211" s="24"/>
      <c r="F211" s="24"/>
      <c r="G211" s="23" t="str">
        <f t="shared" si="13"/>
        <v/>
      </c>
      <c r="K211" s="2" t="str">
        <f t="shared" si="14"/>
        <v/>
      </c>
      <c r="L211" s="2" t="str">
        <f t="shared" si="12"/>
        <v/>
      </c>
      <c r="M211" s="2" t="str">
        <f t="shared" si="15"/>
        <v/>
      </c>
      <c r="N211" s="5"/>
      <c r="P211" t="s">
        <v>86</v>
      </c>
    </row>
    <row r="212" spans="2:16">
      <c r="B212" s="22"/>
      <c r="C212" s="22"/>
      <c r="D212" s="22"/>
      <c r="E212" s="24"/>
      <c r="F212" s="24"/>
      <c r="G212" s="23" t="str">
        <f t="shared" si="13"/>
        <v/>
      </c>
      <c r="K212" s="2" t="str">
        <f t="shared" si="14"/>
        <v/>
      </c>
      <c r="L212" s="2" t="str">
        <f t="shared" si="12"/>
        <v/>
      </c>
      <c r="M212" s="2" t="str">
        <f t="shared" si="15"/>
        <v/>
      </c>
      <c r="N212" s="5"/>
      <c r="P212" t="s">
        <v>86</v>
      </c>
    </row>
    <row r="213" spans="2:16">
      <c r="B213" s="22"/>
      <c r="C213" s="22"/>
      <c r="D213" s="22"/>
      <c r="E213" s="24"/>
      <c r="F213" s="24"/>
      <c r="G213" s="23" t="str">
        <f t="shared" si="13"/>
        <v/>
      </c>
      <c r="K213" s="2" t="str">
        <f t="shared" si="14"/>
        <v/>
      </c>
      <c r="L213" s="2" t="str">
        <f t="shared" si="12"/>
        <v/>
      </c>
      <c r="M213" s="2" t="str">
        <f t="shared" si="15"/>
        <v/>
      </c>
      <c r="N213" s="5"/>
      <c r="P213" t="s">
        <v>86</v>
      </c>
    </row>
    <row r="214" spans="2:16">
      <c r="B214" s="22"/>
      <c r="C214" s="22"/>
      <c r="D214" s="22"/>
      <c r="E214" s="24"/>
      <c r="F214" s="24"/>
      <c r="G214" s="23" t="str">
        <f t="shared" si="13"/>
        <v/>
      </c>
      <c r="K214" s="2" t="str">
        <f t="shared" si="14"/>
        <v/>
      </c>
      <c r="L214" s="2" t="str">
        <f t="shared" si="12"/>
        <v/>
      </c>
      <c r="M214" s="2" t="str">
        <f t="shared" si="15"/>
        <v/>
      </c>
      <c r="N214" s="5"/>
      <c r="P214" t="s">
        <v>86</v>
      </c>
    </row>
    <row r="215" spans="2:16">
      <c r="B215" s="22"/>
      <c r="C215" s="22"/>
      <c r="D215" s="22"/>
      <c r="E215" s="24"/>
      <c r="F215" s="24"/>
      <c r="G215" s="23" t="str">
        <f t="shared" si="13"/>
        <v/>
      </c>
      <c r="K215" s="2" t="str">
        <f t="shared" si="14"/>
        <v/>
      </c>
      <c r="L215" s="2" t="str">
        <f t="shared" si="12"/>
        <v/>
      </c>
      <c r="M215" s="2" t="str">
        <f t="shared" si="15"/>
        <v/>
      </c>
      <c r="N215" s="5"/>
      <c r="P215" t="s">
        <v>86</v>
      </c>
    </row>
    <row r="216" spans="2:16">
      <c r="B216" s="22"/>
      <c r="C216" s="22"/>
      <c r="D216" s="22"/>
      <c r="E216" s="24"/>
      <c r="F216" s="24"/>
      <c r="G216" s="23" t="str">
        <f t="shared" si="13"/>
        <v/>
      </c>
      <c r="K216" s="2" t="str">
        <f t="shared" si="14"/>
        <v/>
      </c>
      <c r="L216" s="2" t="str">
        <f t="shared" si="12"/>
        <v/>
      </c>
      <c r="M216" s="2" t="str">
        <f t="shared" si="15"/>
        <v/>
      </c>
      <c r="N216" s="5"/>
      <c r="P216" t="s">
        <v>86</v>
      </c>
    </row>
    <row r="217" spans="2:16">
      <c r="B217" s="22"/>
      <c r="C217" s="22"/>
      <c r="D217" s="22"/>
      <c r="E217" s="24"/>
      <c r="F217" s="24"/>
      <c r="G217" s="23" t="str">
        <f t="shared" si="13"/>
        <v/>
      </c>
      <c r="K217" s="2" t="str">
        <f t="shared" si="14"/>
        <v/>
      </c>
      <c r="L217" s="2" t="str">
        <f t="shared" si="12"/>
        <v/>
      </c>
      <c r="M217" s="2" t="str">
        <f t="shared" si="15"/>
        <v/>
      </c>
      <c r="N217" s="5"/>
      <c r="P217" t="s">
        <v>86</v>
      </c>
    </row>
    <row r="218" spans="2:16">
      <c r="B218" s="22"/>
      <c r="C218" s="22"/>
      <c r="D218" s="22"/>
      <c r="E218" s="24"/>
      <c r="F218" s="24"/>
      <c r="G218" s="23" t="str">
        <f t="shared" si="13"/>
        <v/>
      </c>
      <c r="K218" s="2" t="str">
        <f t="shared" si="14"/>
        <v/>
      </c>
      <c r="L218" s="2" t="str">
        <f t="shared" si="12"/>
        <v/>
      </c>
      <c r="M218" s="2" t="str">
        <f t="shared" si="15"/>
        <v/>
      </c>
      <c r="N218" s="5"/>
      <c r="P218" t="s">
        <v>86</v>
      </c>
    </row>
    <row r="219" spans="2:16">
      <c r="B219" s="22"/>
      <c r="C219" s="22"/>
      <c r="D219" s="22"/>
      <c r="E219" s="24"/>
      <c r="F219" s="24"/>
      <c r="G219" s="23" t="str">
        <f t="shared" si="13"/>
        <v/>
      </c>
      <c r="K219" s="2" t="str">
        <f t="shared" si="14"/>
        <v/>
      </c>
      <c r="L219" s="2" t="str">
        <f t="shared" si="12"/>
        <v/>
      </c>
      <c r="M219" s="2" t="str">
        <f t="shared" si="15"/>
        <v/>
      </c>
      <c r="N219" s="5"/>
      <c r="P219" t="s">
        <v>86</v>
      </c>
    </row>
    <row r="220" spans="2:16">
      <c r="B220" s="22"/>
      <c r="C220" s="22"/>
      <c r="D220" s="22"/>
      <c r="E220" s="24"/>
      <c r="F220" s="24"/>
      <c r="G220" s="23" t="str">
        <f t="shared" si="13"/>
        <v/>
      </c>
      <c r="K220" s="2" t="str">
        <f t="shared" si="14"/>
        <v/>
      </c>
      <c r="L220" s="2" t="str">
        <f t="shared" si="12"/>
        <v/>
      </c>
      <c r="M220" s="2" t="str">
        <f t="shared" si="15"/>
        <v/>
      </c>
      <c r="N220" s="5"/>
      <c r="P220" t="s">
        <v>86</v>
      </c>
    </row>
    <row r="221" spans="2:16">
      <c r="B221" s="22"/>
      <c r="C221" s="22"/>
      <c r="D221" s="22"/>
      <c r="E221" s="24"/>
      <c r="F221" s="24"/>
      <c r="G221" s="23" t="str">
        <f t="shared" si="13"/>
        <v/>
      </c>
      <c r="K221" s="2" t="str">
        <f t="shared" si="14"/>
        <v/>
      </c>
      <c r="L221" s="2" t="str">
        <f t="shared" si="12"/>
        <v/>
      </c>
      <c r="M221" s="2" t="str">
        <f t="shared" si="15"/>
        <v/>
      </c>
      <c r="N221" s="5"/>
      <c r="P221" t="s">
        <v>86</v>
      </c>
    </row>
    <row r="222" spans="2:16">
      <c r="B222" s="22"/>
      <c r="C222" s="22"/>
      <c r="D222" s="22"/>
      <c r="E222" s="24"/>
      <c r="F222" s="24"/>
      <c r="G222" s="23" t="str">
        <f t="shared" si="13"/>
        <v/>
      </c>
      <c r="K222" s="2" t="str">
        <f t="shared" si="14"/>
        <v/>
      </c>
      <c r="L222" s="2" t="str">
        <f t="shared" si="12"/>
        <v/>
      </c>
      <c r="M222" s="2" t="str">
        <f t="shared" si="15"/>
        <v/>
      </c>
      <c r="N222" s="5"/>
      <c r="P222" t="s">
        <v>86</v>
      </c>
    </row>
    <row r="223" spans="2:16">
      <c r="B223" s="22"/>
      <c r="C223" s="22"/>
      <c r="D223" s="22"/>
      <c r="E223" s="24"/>
      <c r="F223" s="24"/>
      <c r="G223" s="23" t="str">
        <f t="shared" si="13"/>
        <v/>
      </c>
      <c r="K223" s="2" t="str">
        <f t="shared" si="14"/>
        <v/>
      </c>
      <c r="L223" s="2" t="str">
        <f t="shared" si="12"/>
        <v/>
      </c>
      <c r="M223" s="2" t="str">
        <f t="shared" si="15"/>
        <v/>
      </c>
      <c r="N223" s="5"/>
      <c r="P223" t="s">
        <v>86</v>
      </c>
    </row>
    <row r="224" spans="2:16">
      <c r="B224" s="22"/>
      <c r="C224" s="22"/>
      <c r="D224" s="22"/>
      <c r="E224" s="24"/>
      <c r="F224" s="24"/>
      <c r="G224" s="23" t="str">
        <f t="shared" si="13"/>
        <v/>
      </c>
      <c r="K224" s="2" t="str">
        <f t="shared" si="14"/>
        <v/>
      </c>
      <c r="L224" s="2" t="str">
        <f t="shared" si="12"/>
        <v/>
      </c>
      <c r="M224" s="2" t="str">
        <f t="shared" si="15"/>
        <v/>
      </c>
      <c r="N224" s="5"/>
      <c r="P224" t="s">
        <v>86</v>
      </c>
    </row>
    <row r="225" spans="2:16">
      <c r="B225" s="22"/>
      <c r="C225" s="22"/>
      <c r="D225" s="22"/>
      <c r="E225" s="24"/>
      <c r="F225" s="24"/>
      <c r="G225" s="23" t="str">
        <f t="shared" si="13"/>
        <v/>
      </c>
      <c r="K225" s="2" t="str">
        <f t="shared" si="14"/>
        <v/>
      </c>
      <c r="L225" s="2" t="str">
        <f t="shared" si="12"/>
        <v/>
      </c>
      <c r="M225" s="2" t="str">
        <f t="shared" si="15"/>
        <v/>
      </c>
      <c r="N225" s="5"/>
      <c r="P225" t="s">
        <v>86</v>
      </c>
    </row>
    <row r="226" spans="2:16">
      <c r="B226" s="22"/>
      <c r="C226" s="22"/>
      <c r="D226" s="22"/>
      <c r="E226" s="24"/>
      <c r="F226" s="24"/>
      <c r="G226" s="23" t="str">
        <f t="shared" si="13"/>
        <v/>
      </c>
      <c r="K226" s="2" t="str">
        <f t="shared" si="14"/>
        <v/>
      </c>
      <c r="L226" s="2" t="str">
        <f t="shared" ref="L226:L261" si="16">RIGHT(K226,2)</f>
        <v/>
      </c>
      <c r="M226" s="2" t="str">
        <f t="shared" si="15"/>
        <v/>
      </c>
      <c r="N226" s="5"/>
      <c r="P226" t="s">
        <v>86</v>
      </c>
    </row>
    <row r="227" spans="2:16">
      <c r="B227" s="22"/>
      <c r="C227" s="22"/>
      <c r="D227" s="22"/>
      <c r="E227" s="24"/>
      <c r="F227" s="24"/>
      <c r="G227" s="23" t="str">
        <f t="shared" si="13"/>
        <v/>
      </c>
      <c r="K227" s="2" t="str">
        <f t="shared" si="14"/>
        <v/>
      </c>
      <c r="L227" s="2" t="str">
        <f t="shared" si="16"/>
        <v/>
      </c>
      <c r="M227" s="2" t="str">
        <f t="shared" si="15"/>
        <v/>
      </c>
      <c r="N227" s="5"/>
      <c r="P227" t="s">
        <v>86</v>
      </c>
    </row>
    <row r="228" spans="2:16">
      <c r="B228" s="22"/>
      <c r="C228" s="22"/>
      <c r="D228" s="22"/>
      <c r="E228" s="24"/>
      <c r="F228" s="24"/>
      <c r="G228" s="23" t="str">
        <f t="shared" si="13"/>
        <v/>
      </c>
      <c r="K228" s="2" t="str">
        <f t="shared" si="14"/>
        <v/>
      </c>
      <c r="L228" s="2" t="str">
        <f t="shared" si="16"/>
        <v/>
      </c>
      <c r="M228" s="2" t="str">
        <f t="shared" si="15"/>
        <v/>
      </c>
      <c r="N228" s="5"/>
      <c r="P228" t="s">
        <v>86</v>
      </c>
    </row>
    <row r="229" spans="2:16">
      <c r="B229" s="22"/>
      <c r="C229" s="22"/>
      <c r="D229" s="22"/>
      <c r="E229" s="24"/>
      <c r="F229" s="24"/>
      <c r="G229" s="23" t="str">
        <f t="shared" si="13"/>
        <v/>
      </c>
      <c r="K229" s="2" t="str">
        <f t="shared" si="14"/>
        <v/>
      </c>
      <c r="L229" s="2" t="str">
        <f t="shared" si="16"/>
        <v/>
      </c>
      <c r="M229" s="2" t="str">
        <f t="shared" si="15"/>
        <v/>
      </c>
      <c r="N229" s="5"/>
      <c r="P229" t="s">
        <v>86</v>
      </c>
    </row>
    <row r="230" spans="2:16">
      <c r="B230" s="22"/>
      <c r="C230" s="22"/>
      <c r="D230" s="22"/>
      <c r="E230" s="24"/>
      <c r="F230" s="24"/>
      <c r="G230" s="23" t="str">
        <f t="shared" si="13"/>
        <v/>
      </c>
      <c r="K230" s="2" t="str">
        <f t="shared" si="14"/>
        <v/>
      </c>
      <c r="L230" s="2" t="str">
        <f t="shared" si="16"/>
        <v/>
      </c>
      <c r="M230" s="2" t="str">
        <f t="shared" si="15"/>
        <v/>
      </c>
      <c r="N230" s="5"/>
      <c r="P230" t="s">
        <v>86</v>
      </c>
    </row>
    <row r="231" spans="2:16">
      <c r="B231" s="22"/>
      <c r="C231" s="22"/>
      <c r="D231" s="22"/>
      <c r="E231" s="24"/>
      <c r="F231" s="24"/>
      <c r="G231" s="23" t="str">
        <f t="shared" si="13"/>
        <v/>
      </c>
      <c r="K231" s="2" t="str">
        <f t="shared" si="14"/>
        <v/>
      </c>
      <c r="L231" s="2" t="str">
        <f t="shared" si="16"/>
        <v/>
      </c>
      <c r="M231" s="2" t="str">
        <f t="shared" si="15"/>
        <v/>
      </c>
      <c r="N231" s="5"/>
      <c r="P231" t="s">
        <v>86</v>
      </c>
    </row>
    <row r="232" spans="2:16">
      <c r="B232" s="22"/>
      <c r="C232" s="22"/>
      <c r="D232" s="22"/>
      <c r="E232" s="24"/>
      <c r="F232" s="24"/>
      <c r="G232" s="23" t="str">
        <f t="shared" si="13"/>
        <v/>
      </c>
      <c r="K232" s="2" t="str">
        <f t="shared" si="14"/>
        <v/>
      </c>
      <c r="L232" s="2" t="str">
        <f t="shared" si="16"/>
        <v/>
      </c>
      <c r="M232" s="2" t="str">
        <f t="shared" si="15"/>
        <v/>
      </c>
      <c r="N232" s="5"/>
      <c r="P232" t="s">
        <v>86</v>
      </c>
    </row>
    <row r="233" spans="2:16">
      <c r="B233" s="22"/>
      <c r="C233" s="22"/>
      <c r="D233" s="22"/>
      <c r="E233" s="24"/>
      <c r="F233" s="24"/>
      <c r="G233" s="23" t="str">
        <f t="shared" si="13"/>
        <v/>
      </c>
      <c r="K233" s="2" t="str">
        <f t="shared" si="14"/>
        <v/>
      </c>
      <c r="L233" s="2" t="str">
        <f t="shared" si="16"/>
        <v/>
      </c>
      <c r="M233" s="2" t="str">
        <f t="shared" si="15"/>
        <v/>
      </c>
      <c r="N233" s="5"/>
      <c r="P233" t="s">
        <v>86</v>
      </c>
    </row>
    <row r="234" spans="2:16">
      <c r="B234" s="22"/>
      <c r="C234" s="22"/>
      <c r="D234" s="22"/>
      <c r="E234" s="24"/>
      <c r="F234" s="24"/>
      <c r="G234" s="23" t="str">
        <f t="shared" si="13"/>
        <v/>
      </c>
      <c r="K234" s="2" t="str">
        <f t="shared" si="14"/>
        <v/>
      </c>
      <c r="L234" s="2" t="str">
        <f t="shared" si="16"/>
        <v/>
      </c>
      <c r="M234" s="2" t="str">
        <f t="shared" si="15"/>
        <v/>
      </c>
      <c r="N234" s="5"/>
      <c r="P234" t="s">
        <v>86</v>
      </c>
    </row>
    <row r="235" spans="2:16">
      <c r="B235" s="22"/>
      <c r="C235" s="22"/>
      <c r="D235" s="22"/>
      <c r="E235" s="24"/>
      <c r="F235" s="24"/>
      <c r="G235" s="23" t="str">
        <f t="shared" si="13"/>
        <v/>
      </c>
      <c r="K235" s="2" t="str">
        <f t="shared" si="14"/>
        <v/>
      </c>
      <c r="L235" s="2" t="str">
        <f t="shared" si="16"/>
        <v/>
      </c>
      <c r="M235" s="2" t="str">
        <f t="shared" si="15"/>
        <v/>
      </c>
      <c r="N235" s="5"/>
      <c r="P235" t="s">
        <v>86</v>
      </c>
    </row>
    <row r="236" spans="2:16">
      <c r="B236" s="22"/>
      <c r="C236" s="22"/>
      <c r="D236" s="22"/>
      <c r="E236" s="24"/>
      <c r="F236" s="24"/>
      <c r="G236" s="23" t="str">
        <f t="shared" si="13"/>
        <v/>
      </c>
      <c r="K236" s="2" t="str">
        <f t="shared" si="14"/>
        <v/>
      </c>
      <c r="L236" s="2" t="str">
        <f t="shared" si="16"/>
        <v/>
      </c>
      <c r="M236" s="2" t="str">
        <f t="shared" si="15"/>
        <v/>
      </c>
      <c r="N236" s="5"/>
      <c r="P236" t="s">
        <v>86</v>
      </c>
    </row>
    <row r="237" spans="2:16">
      <c r="B237" s="22"/>
      <c r="C237" s="22"/>
      <c r="D237" s="22"/>
      <c r="E237" s="24"/>
      <c r="F237" s="24"/>
      <c r="G237" s="23" t="str">
        <f t="shared" si="13"/>
        <v/>
      </c>
      <c r="K237" s="2" t="str">
        <f t="shared" si="14"/>
        <v/>
      </c>
      <c r="L237" s="2" t="str">
        <f t="shared" si="16"/>
        <v/>
      </c>
      <c r="M237" s="2" t="str">
        <f t="shared" si="15"/>
        <v/>
      </c>
      <c r="N237" s="5"/>
      <c r="P237" t="s">
        <v>86</v>
      </c>
    </row>
    <row r="238" spans="2:16">
      <c r="B238" s="22"/>
      <c r="C238" s="22"/>
      <c r="D238" s="22"/>
      <c r="E238" s="24"/>
      <c r="F238" s="24"/>
      <c r="G238" s="23" t="str">
        <f t="shared" si="13"/>
        <v/>
      </c>
      <c r="K238" s="2" t="str">
        <f t="shared" si="14"/>
        <v/>
      </c>
      <c r="L238" s="2" t="str">
        <f t="shared" si="16"/>
        <v/>
      </c>
      <c r="M238" s="2" t="str">
        <f t="shared" si="15"/>
        <v/>
      </c>
      <c r="N238" s="5"/>
      <c r="P238" t="s">
        <v>86</v>
      </c>
    </row>
    <row r="239" spans="2:16">
      <c r="B239" s="22"/>
      <c r="C239" s="22"/>
      <c r="D239" s="22"/>
      <c r="E239" s="24"/>
      <c r="F239" s="24"/>
      <c r="G239" s="23" t="str">
        <f t="shared" si="13"/>
        <v/>
      </c>
      <c r="K239" s="2" t="str">
        <f t="shared" si="14"/>
        <v/>
      </c>
      <c r="L239" s="2" t="str">
        <f t="shared" si="16"/>
        <v/>
      </c>
      <c r="M239" s="2" t="str">
        <f t="shared" si="15"/>
        <v/>
      </c>
      <c r="N239" s="5"/>
      <c r="P239" t="s">
        <v>86</v>
      </c>
    </row>
    <row r="240" spans="2:16">
      <c r="B240" s="22"/>
      <c r="C240" s="22"/>
      <c r="D240" s="22"/>
      <c r="E240" s="24"/>
      <c r="F240" s="24"/>
      <c r="G240" s="23" t="str">
        <f t="shared" si="13"/>
        <v/>
      </c>
      <c r="K240" s="2" t="str">
        <f t="shared" si="14"/>
        <v/>
      </c>
      <c r="L240" s="2" t="str">
        <f t="shared" si="16"/>
        <v/>
      </c>
      <c r="M240" s="2" t="str">
        <f t="shared" si="15"/>
        <v/>
      </c>
      <c r="N240" s="5"/>
      <c r="P240" t="s">
        <v>86</v>
      </c>
    </row>
    <row r="241" spans="2:16">
      <c r="B241" s="22"/>
      <c r="C241" s="22"/>
      <c r="D241" s="22"/>
      <c r="E241" s="24"/>
      <c r="F241" s="24"/>
      <c r="G241" s="23" t="str">
        <f t="shared" si="13"/>
        <v/>
      </c>
      <c r="K241" s="2" t="str">
        <f t="shared" si="14"/>
        <v/>
      </c>
      <c r="L241" s="2" t="str">
        <f t="shared" si="16"/>
        <v/>
      </c>
      <c r="M241" s="2" t="str">
        <f t="shared" si="15"/>
        <v/>
      </c>
      <c r="N241" s="5"/>
      <c r="P241" t="s">
        <v>86</v>
      </c>
    </row>
    <row r="242" spans="2:16">
      <c r="B242" s="22"/>
      <c r="C242" s="22"/>
      <c r="D242" s="22"/>
      <c r="E242" s="24"/>
      <c r="F242" s="24"/>
      <c r="G242" s="23" t="str">
        <f t="shared" si="13"/>
        <v/>
      </c>
      <c r="K242" s="2" t="str">
        <f t="shared" si="14"/>
        <v/>
      </c>
      <c r="L242" s="2" t="str">
        <f t="shared" si="16"/>
        <v/>
      </c>
      <c r="M242" s="2" t="str">
        <f t="shared" si="15"/>
        <v/>
      </c>
      <c r="N242" s="5"/>
      <c r="P242" t="s">
        <v>86</v>
      </c>
    </row>
    <row r="243" spans="2:16">
      <c r="B243" s="22"/>
      <c r="C243" s="22"/>
      <c r="D243" s="22"/>
      <c r="E243" s="24"/>
      <c r="F243" s="24"/>
      <c r="G243" s="23" t="str">
        <f t="shared" si="13"/>
        <v/>
      </c>
      <c r="K243" s="2" t="str">
        <f t="shared" si="14"/>
        <v/>
      </c>
      <c r="L243" s="2" t="str">
        <f t="shared" si="16"/>
        <v/>
      </c>
      <c r="M243" s="2" t="str">
        <f t="shared" si="15"/>
        <v/>
      </c>
      <c r="N243" s="5"/>
      <c r="P243" t="s">
        <v>86</v>
      </c>
    </row>
    <row r="244" spans="2:16">
      <c r="B244" s="22"/>
      <c r="C244" s="22"/>
      <c r="D244" s="22"/>
      <c r="E244" s="24"/>
      <c r="F244" s="24"/>
      <c r="G244" s="23" t="str">
        <f t="shared" si="13"/>
        <v/>
      </c>
      <c r="K244" s="2" t="str">
        <f t="shared" si="14"/>
        <v/>
      </c>
      <c r="L244" s="2" t="str">
        <f t="shared" si="16"/>
        <v/>
      </c>
      <c r="M244" s="2" t="str">
        <f t="shared" si="15"/>
        <v/>
      </c>
      <c r="N244" s="5"/>
      <c r="P244" t="s">
        <v>86</v>
      </c>
    </row>
    <row r="245" spans="2:16">
      <c r="B245" s="22"/>
      <c r="C245" s="22"/>
      <c r="D245" s="22"/>
      <c r="E245" s="24"/>
      <c r="F245" s="24"/>
      <c r="G245" s="23" t="str">
        <f t="shared" si="13"/>
        <v/>
      </c>
      <c r="K245" s="2" t="str">
        <f t="shared" si="14"/>
        <v/>
      </c>
      <c r="L245" s="2" t="str">
        <f t="shared" si="16"/>
        <v/>
      </c>
      <c r="M245" s="2" t="str">
        <f t="shared" si="15"/>
        <v/>
      </c>
      <c r="N245" s="5"/>
      <c r="P245" t="s">
        <v>86</v>
      </c>
    </row>
    <row r="246" spans="2:16">
      <c r="B246" s="22"/>
      <c r="C246" s="22"/>
      <c r="D246" s="22"/>
      <c r="E246" s="24"/>
      <c r="F246" s="24"/>
      <c r="G246" s="23" t="str">
        <f t="shared" si="13"/>
        <v/>
      </c>
      <c r="K246" s="2" t="str">
        <f t="shared" si="14"/>
        <v/>
      </c>
      <c r="L246" s="2" t="str">
        <f t="shared" si="16"/>
        <v/>
      </c>
      <c r="M246" s="2" t="str">
        <f t="shared" si="15"/>
        <v/>
      </c>
      <c r="N246" s="5"/>
      <c r="P246" t="s">
        <v>86</v>
      </c>
    </row>
    <row r="247" spans="2:16">
      <c r="B247" s="22"/>
      <c r="C247" s="22"/>
      <c r="D247" s="22"/>
      <c r="E247" s="24"/>
      <c r="F247" s="24"/>
      <c r="G247" s="23" t="str">
        <f t="shared" si="13"/>
        <v/>
      </c>
      <c r="K247" s="2" t="str">
        <f t="shared" si="14"/>
        <v/>
      </c>
      <c r="L247" s="2" t="str">
        <f t="shared" si="16"/>
        <v/>
      </c>
      <c r="M247" s="2" t="str">
        <f t="shared" si="15"/>
        <v/>
      </c>
      <c r="N247" s="5"/>
      <c r="P247" t="s">
        <v>86</v>
      </c>
    </row>
    <row r="248" spans="2:16">
      <c r="B248" s="22"/>
      <c r="C248" s="22"/>
      <c r="D248" s="22"/>
      <c r="E248" s="24"/>
      <c r="F248" s="24"/>
      <c r="G248" s="23" t="str">
        <f t="shared" si="13"/>
        <v/>
      </c>
      <c r="K248" s="2" t="str">
        <f t="shared" si="14"/>
        <v/>
      </c>
      <c r="L248" s="2" t="str">
        <f t="shared" si="16"/>
        <v/>
      </c>
      <c r="M248" s="2" t="str">
        <f t="shared" si="15"/>
        <v/>
      </c>
      <c r="N248" s="5"/>
      <c r="P248" t="s">
        <v>86</v>
      </c>
    </row>
    <row r="249" spans="2:16">
      <c r="B249" s="22"/>
      <c r="C249" s="22"/>
      <c r="D249" s="22"/>
      <c r="E249" s="24"/>
      <c r="F249" s="24"/>
      <c r="G249" s="23" t="str">
        <f t="shared" si="13"/>
        <v/>
      </c>
      <c r="K249" s="2" t="str">
        <f t="shared" si="14"/>
        <v/>
      </c>
      <c r="L249" s="2" t="str">
        <f t="shared" si="16"/>
        <v/>
      </c>
      <c r="M249" s="2" t="str">
        <f t="shared" si="15"/>
        <v/>
      </c>
      <c r="N249" s="5"/>
      <c r="P249" t="s">
        <v>86</v>
      </c>
    </row>
    <row r="250" spans="2:16">
      <c r="B250" s="22"/>
      <c r="C250" s="22"/>
      <c r="D250" s="22"/>
      <c r="E250" s="24"/>
      <c r="F250" s="24"/>
      <c r="G250" s="23" t="str">
        <f t="shared" si="13"/>
        <v/>
      </c>
      <c r="K250" s="2" t="str">
        <f t="shared" si="14"/>
        <v/>
      </c>
      <c r="L250" s="2" t="str">
        <f t="shared" si="16"/>
        <v/>
      </c>
      <c r="M250" s="2" t="str">
        <f t="shared" si="15"/>
        <v/>
      </c>
      <c r="N250" s="5"/>
      <c r="P250" t="s">
        <v>86</v>
      </c>
    </row>
    <row r="251" spans="2:16">
      <c r="B251" s="22"/>
      <c r="C251" s="22"/>
      <c r="D251" s="22"/>
      <c r="E251" s="24"/>
      <c r="F251" s="24"/>
      <c r="G251" s="23" t="str">
        <f t="shared" si="13"/>
        <v/>
      </c>
      <c r="K251" s="2" t="str">
        <f t="shared" si="14"/>
        <v/>
      </c>
      <c r="L251" s="2" t="str">
        <f t="shared" si="16"/>
        <v/>
      </c>
      <c r="M251" s="2" t="str">
        <f t="shared" si="15"/>
        <v/>
      </c>
      <c r="N251" s="5"/>
      <c r="P251" t="s">
        <v>86</v>
      </c>
    </row>
    <row r="252" spans="2:16">
      <c r="B252" s="22"/>
      <c r="C252" s="22"/>
      <c r="D252" s="22"/>
      <c r="E252" s="24"/>
      <c r="F252" s="24"/>
      <c r="G252" s="23" t="str">
        <f t="shared" si="13"/>
        <v/>
      </c>
      <c r="K252" s="2" t="str">
        <f t="shared" si="14"/>
        <v/>
      </c>
      <c r="L252" s="2" t="str">
        <f t="shared" si="16"/>
        <v/>
      </c>
      <c r="M252" s="2" t="str">
        <f t="shared" si="15"/>
        <v/>
      </c>
      <c r="N252" s="5"/>
      <c r="P252" t="s">
        <v>86</v>
      </c>
    </row>
    <row r="253" spans="2:16">
      <c r="B253" s="22"/>
      <c r="C253" s="22"/>
      <c r="D253" s="22"/>
      <c r="E253" s="24"/>
      <c r="F253" s="24"/>
      <c r="G253" s="23" t="str">
        <f t="shared" si="13"/>
        <v/>
      </c>
      <c r="K253" s="2" t="str">
        <f t="shared" si="14"/>
        <v/>
      </c>
      <c r="L253" s="2" t="str">
        <f t="shared" si="16"/>
        <v/>
      </c>
      <c r="M253" s="2" t="str">
        <f t="shared" si="15"/>
        <v/>
      </c>
      <c r="N253" s="5"/>
      <c r="P253" t="s">
        <v>86</v>
      </c>
    </row>
    <row r="254" spans="2:16">
      <c r="B254" s="22"/>
      <c r="C254" s="22"/>
      <c r="D254" s="22"/>
      <c r="E254" s="24"/>
      <c r="F254" s="24"/>
      <c r="G254" s="23" t="str">
        <f t="shared" si="13"/>
        <v/>
      </c>
      <c r="K254" s="2" t="str">
        <f t="shared" si="14"/>
        <v/>
      </c>
      <c r="L254" s="2" t="str">
        <f t="shared" si="16"/>
        <v/>
      </c>
      <c r="M254" s="2" t="str">
        <f t="shared" si="15"/>
        <v/>
      </c>
      <c r="N254" s="5"/>
      <c r="P254" t="s">
        <v>86</v>
      </c>
    </row>
    <row r="255" spans="2:16">
      <c r="B255" s="22"/>
      <c r="C255" s="22"/>
      <c r="D255" s="22"/>
      <c r="E255" s="24"/>
      <c r="F255" s="24"/>
      <c r="G255" s="23" t="str">
        <f t="shared" si="13"/>
        <v/>
      </c>
      <c r="K255" s="2" t="str">
        <f t="shared" si="14"/>
        <v/>
      </c>
      <c r="L255" s="2" t="str">
        <f t="shared" si="16"/>
        <v/>
      </c>
      <c r="M255" s="2" t="str">
        <f t="shared" si="15"/>
        <v/>
      </c>
      <c r="N255" s="5"/>
      <c r="P255" t="s">
        <v>86</v>
      </c>
    </row>
    <row r="256" spans="2:16">
      <c r="B256" s="22"/>
      <c r="C256" s="22"/>
      <c r="D256" s="22"/>
      <c r="E256" s="24"/>
      <c r="F256" s="24"/>
      <c r="G256" s="23" t="str">
        <f t="shared" si="13"/>
        <v/>
      </c>
      <c r="K256" s="2" t="str">
        <f t="shared" si="14"/>
        <v/>
      </c>
      <c r="L256" s="2" t="str">
        <f t="shared" si="16"/>
        <v/>
      </c>
      <c r="M256" s="2" t="str">
        <f t="shared" si="15"/>
        <v/>
      </c>
      <c r="N256" s="5"/>
      <c r="P256" t="s">
        <v>86</v>
      </c>
    </row>
    <row r="257" spans="2:16">
      <c r="B257" s="22"/>
      <c r="C257" s="22"/>
      <c r="D257" s="22"/>
      <c r="E257" s="24"/>
      <c r="F257" s="24"/>
      <c r="G257" s="23" t="str">
        <f t="shared" si="13"/>
        <v/>
      </c>
      <c r="K257" s="2" t="str">
        <f t="shared" si="14"/>
        <v/>
      </c>
      <c r="L257" s="2" t="str">
        <f t="shared" si="16"/>
        <v/>
      </c>
      <c r="M257" s="2" t="str">
        <f t="shared" si="15"/>
        <v/>
      </c>
      <c r="N257" s="5"/>
      <c r="P257" t="s">
        <v>86</v>
      </c>
    </row>
    <row r="258" spans="2:16">
      <c r="B258" s="22"/>
      <c r="C258" s="22"/>
      <c r="D258" s="22"/>
      <c r="E258" s="24"/>
      <c r="F258" s="24"/>
      <c r="G258" s="23" t="str">
        <f t="shared" si="13"/>
        <v/>
      </c>
      <c r="K258" s="2" t="str">
        <f t="shared" si="14"/>
        <v/>
      </c>
      <c r="L258" s="2" t="str">
        <f t="shared" si="16"/>
        <v/>
      </c>
      <c r="M258" s="2" t="str">
        <f t="shared" si="15"/>
        <v/>
      </c>
      <c r="N258" s="5"/>
      <c r="P258" t="s">
        <v>86</v>
      </c>
    </row>
    <row r="259" spans="2:16">
      <c r="B259" s="22"/>
      <c r="C259" s="22"/>
      <c r="D259" s="22"/>
      <c r="E259" s="24"/>
      <c r="F259" s="24"/>
      <c r="G259" s="23" t="str">
        <f t="shared" si="13"/>
        <v/>
      </c>
      <c r="K259" s="2" t="str">
        <f t="shared" si="14"/>
        <v/>
      </c>
      <c r="L259" s="2" t="str">
        <f t="shared" si="16"/>
        <v/>
      </c>
      <c r="M259" s="2" t="str">
        <f t="shared" si="15"/>
        <v/>
      </c>
      <c r="N259" s="5"/>
      <c r="P259" t="s">
        <v>86</v>
      </c>
    </row>
    <row r="260" spans="2:16">
      <c r="B260" s="22"/>
      <c r="C260" s="22"/>
      <c r="D260" s="22"/>
      <c r="E260" s="24"/>
      <c r="F260" s="24"/>
      <c r="G260" s="23" t="str">
        <f t="shared" ref="G260:G323" si="17">IF(AND(D260=E260,E260=F260),"",IF(AND(F260="",D260=E260),"",IF(AND(D260="",E260=F260),"",IF(AND(E260="",D260=F260),"","불일치"))))</f>
        <v/>
      </c>
      <c r="K260" s="2" t="str">
        <f t="shared" ref="K260:K323" si="18">+IF(D260="","",+D260)</f>
        <v/>
      </c>
      <c r="L260" s="2" t="str">
        <f t="shared" si="16"/>
        <v/>
      </c>
      <c r="M260" s="2" t="str">
        <f t="shared" ref="M260:M323" si="19">IF(B260="","",IF(COUNTIF($K$3:$K$295,K260)&gt;1,"동명",""))</f>
        <v/>
      </c>
      <c r="N260" s="5"/>
      <c r="P260" t="s">
        <v>86</v>
      </c>
    </row>
    <row r="261" spans="2:16">
      <c r="B261" s="22"/>
      <c r="C261" s="22"/>
      <c r="D261" s="22"/>
      <c r="E261" s="24"/>
      <c r="F261" s="24"/>
      <c r="G261" s="23" t="str">
        <f t="shared" si="17"/>
        <v/>
      </c>
      <c r="K261" s="2" t="str">
        <f t="shared" si="18"/>
        <v/>
      </c>
      <c r="L261" s="2" t="str">
        <f t="shared" si="16"/>
        <v/>
      </c>
      <c r="M261" s="2" t="str">
        <f t="shared" si="19"/>
        <v/>
      </c>
      <c r="N261" s="5"/>
      <c r="P261" t="s">
        <v>86</v>
      </c>
    </row>
    <row r="262" spans="2:16">
      <c r="B262" s="22"/>
      <c r="C262" s="22"/>
      <c r="D262" s="22"/>
      <c r="E262" s="24"/>
      <c r="F262" s="24"/>
      <c r="G262" s="23" t="str">
        <f t="shared" si="17"/>
        <v/>
      </c>
      <c r="K262" s="2" t="str">
        <f t="shared" si="18"/>
        <v/>
      </c>
      <c r="L262" s="2" t="str">
        <f t="shared" ref="L262:L325" si="20">RIGHT(K262,2)</f>
        <v/>
      </c>
      <c r="M262" s="2" t="str">
        <f t="shared" si="19"/>
        <v/>
      </c>
      <c r="N262" s="5"/>
      <c r="P262" t="s">
        <v>86</v>
      </c>
    </row>
    <row r="263" spans="2:16">
      <c r="B263" s="22"/>
      <c r="C263" s="22"/>
      <c r="D263" s="22"/>
      <c r="E263" s="24"/>
      <c r="F263" s="24"/>
      <c r="G263" s="23" t="str">
        <f t="shared" si="17"/>
        <v/>
      </c>
      <c r="K263" s="2" t="str">
        <f t="shared" si="18"/>
        <v/>
      </c>
      <c r="L263" s="2" t="str">
        <f t="shared" si="20"/>
        <v/>
      </c>
      <c r="M263" s="2" t="str">
        <f t="shared" si="19"/>
        <v/>
      </c>
      <c r="N263" s="5"/>
      <c r="P263" t="s">
        <v>86</v>
      </c>
    </row>
    <row r="264" spans="2:16">
      <c r="B264" s="22"/>
      <c r="C264" s="22"/>
      <c r="D264" s="22"/>
      <c r="E264" s="24"/>
      <c r="F264" s="24"/>
      <c r="G264" s="23" t="str">
        <f t="shared" si="17"/>
        <v/>
      </c>
      <c r="K264" s="2" t="str">
        <f t="shared" si="18"/>
        <v/>
      </c>
      <c r="L264" s="2" t="str">
        <f t="shared" si="20"/>
        <v/>
      </c>
      <c r="M264" s="2" t="str">
        <f t="shared" si="19"/>
        <v/>
      </c>
      <c r="N264" s="5"/>
      <c r="P264" t="s">
        <v>86</v>
      </c>
    </row>
    <row r="265" spans="2:16">
      <c r="B265" s="22"/>
      <c r="C265" s="22"/>
      <c r="D265" s="22"/>
      <c r="E265" s="24"/>
      <c r="F265" s="24"/>
      <c r="G265" s="23" t="str">
        <f t="shared" si="17"/>
        <v/>
      </c>
      <c r="K265" s="2" t="str">
        <f t="shared" si="18"/>
        <v/>
      </c>
      <c r="L265" s="2" t="str">
        <f t="shared" si="20"/>
        <v/>
      </c>
      <c r="M265" s="2" t="str">
        <f t="shared" si="19"/>
        <v/>
      </c>
      <c r="N265" s="5"/>
      <c r="P265" t="s">
        <v>86</v>
      </c>
    </row>
    <row r="266" spans="2:16">
      <c r="B266" s="22"/>
      <c r="C266" s="22"/>
      <c r="D266" s="22"/>
      <c r="E266" s="24"/>
      <c r="F266" s="24"/>
      <c r="G266" s="23" t="str">
        <f t="shared" si="17"/>
        <v/>
      </c>
      <c r="K266" s="2" t="str">
        <f t="shared" si="18"/>
        <v/>
      </c>
      <c r="L266" s="2" t="str">
        <f t="shared" si="20"/>
        <v/>
      </c>
      <c r="M266" s="2" t="str">
        <f t="shared" si="19"/>
        <v/>
      </c>
      <c r="N266" s="5"/>
      <c r="P266" t="s">
        <v>86</v>
      </c>
    </row>
    <row r="267" spans="2:16">
      <c r="B267" s="22"/>
      <c r="C267" s="22"/>
      <c r="D267" s="22"/>
      <c r="E267" s="24"/>
      <c r="F267" s="24"/>
      <c r="G267" s="23" t="str">
        <f t="shared" si="17"/>
        <v/>
      </c>
      <c r="K267" s="2" t="str">
        <f t="shared" si="18"/>
        <v/>
      </c>
      <c r="L267" s="2" t="str">
        <f t="shared" si="20"/>
        <v/>
      </c>
      <c r="M267" s="2" t="str">
        <f t="shared" si="19"/>
        <v/>
      </c>
      <c r="N267" s="5"/>
      <c r="P267" t="s">
        <v>86</v>
      </c>
    </row>
    <row r="268" spans="2:16">
      <c r="B268" s="22"/>
      <c r="C268" s="22"/>
      <c r="D268" s="22"/>
      <c r="E268" s="24"/>
      <c r="F268" s="24"/>
      <c r="G268" s="23" t="str">
        <f t="shared" si="17"/>
        <v/>
      </c>
      <c r="K268" s="2" t="str">
        <f t="shared" si="18"/>
        <v/>
      </c>
      <c r="L268" s="2" t="str">
        <f t="shared" si="20"/>
        <v/>
      </c>
      <c r="M268" s="2" t="str">
        <f t="shared" si="19"/>
        <v/>
      </c>
      <c r="N268" s="5"/>
      <c r="P268" t="s">
        <v>86</v>
      </c>
    </row>
    <row r="269" spans="2:16">
      <c r="B269" s="22"/>
      <c r="C269" s="22"/>
      <c r="D269" s="22"/>
      <c r="E269" s="24"/>
      <c r="F269" s="24"/>
      <c r="G269" s="23" t="str">
        <f t="shared" si="17"/>
        <v/>
      </c>
      <c r="K269" s="2" t="str">
        <f t="shared" si="18"/>
        <v/>
      </c>
      <c r="L269" s="2" t="str">
        <f t="shared" si="20"/>
        <v/>
      </c>
      <c r="M269" s="2" t="str">
        <f t="shared" si="19"/>
        <v/>
      </c>
      <c r="N269" s="5"/>
      <c r="P269" t="s">
        <v>86</v>
      </c>
    </row>
    <row r="270" spans="2:16">
      <c r="B270" s="22"/>
      <c r="C270" s="22"/>
      <c r="D270" s="22"/>
      <c r="E270" s="24"/>
      <c r="F270" s="24"/>
      <c r="G270" s="23" t="str">
        <f t="shared" si="17"/>
        <v/>
      </c>
      <c r="K270" s="2" t="str">
        <f t="shared" si="18"/>
        <v/>
      </c>
      <c r="L270" s="2" t="str">
        <f t="shared" si="20"/>
        <v/>
      </c>
      <c r="M270" s="2" t="str">
        <f t="shared" si="19"/>
        <v/>
      </c>
      <c r="N270" s="5"/>
      <c r="P270" t="s">
        <v>86</v>
      </c>
    </row>
    <row r="271" spans="2:16">
      <c r="B271" s="22"/>
      <c r="C271" s="22"/>
      <c r="D271" s="22"/>
      <c r="E271" s="24"/>
      <c r="F271" s="24"/>
      <c r="G271" s="23" t="str">
        <f t="shared" si="17"/>
        <v/>
      </c>
      <c r="K271" s="2" t="str">
        <f t="shared" si="18"/>
        <v/>
      </c>
      <c r="L271" s="2" t="str">
        <f t="shared" si="20"/>
        <v/>
      </c>
      <c r="M271" s="2" t="str">
        <f t="shared" si="19"/>
        <v/>
      </c>
      <c r="N271" s="5"/>
      <c r="P271" t="s">
        <v>86</v>
      </c>
    </row>
    <row r="272" spans="2:16">
      <c r="B272" s="22"/>
      <c r="C272" s="22"/>
      <c r="D272" s="22"/>
      <c r="E272" s="24"/>
      <c r="F272" s="24"/>
      <c r="G272" s="23" t="str">
        <f t="shared" si="17"/>
        <v/>
      </c>
      <c r="K272" s="2" t="str">
        <f t="shared" si="18"/>
        <v/>
      </c>
      <c r="L272" s="2" t="str">
        <f t="shared" si="20"/>
        <v/>
      </c>
      <c r="M272" s="2" t="str">
        <f t="shared" si="19"/>
        <v/>
      </c>
      <c r="N272" s="5"/>
      <c r="P272" t="s">
        <v>86</v>
      </c>
    </row>
    <row r="273" spans="2:16">
      <c r="B273" s="22"/>
      <c r="C273" s="22"/>
      <c r="D273" s="22"/>
      <c r="E273" s="24"/>
      <c r="F273" s="24"/>
      <c r="G273" s="23" t="str">
        <f t="shared" si="17"/>
        <v/>
      </c>
      <c r="K273" s="2" t="str">
        <f t="shared" si="18"/>
        <v/>
      </c>
      <c r="L273" s="2" t="str">
        <f t="shared" si="20"/>
        <v/>
      </c>
      <c r="M273" s="2" t="str">
        <f t="shared" si="19"/>
        <v/>
      </c>
      <c r="N273" s="5"/>
      <c r="P273" t="s">
        <v>86</v>
      </c>
    </row>
    <row r="274" spans="2:16">
      <c r="B274" s="22"/>
      <c r="C274" s="22"/>
      <c r="D274" s="22"/>
      <c r="E274" s="24"/>
      <c r="F274" s="24"/>
      <c r="G274" s="23" t="str">
        <f t="shared" si="17"/>
        <v/>
      </c>
      <c r="K274" s="2" t="str">
        <f t="shared" si="18"/>
        <v/>
      </c>
      <c r="L274" s="2" t="str">
        <f t="shared" si="20"/>
        <v/>
      </c>
      <c r="M274" s="2" t="str">
        <f t="shared" si="19"/>
        <v/>
      </c>
      <c r="N274" s="5"/>
      <c r="P274" t="s">
        <v>86</v>
      </c>
    </row>
    <row r="275" spans="2:16">
      <c r="B275" s="22"/>
      <c r="C275" s="22"/>
      <c r="D275" s="22"/>
      <c r="E275" s="24"/>
      <c r="F275" s="24"/>
      <c r="G275" s="23" t="str">
        <f t="shared" si="17"/>
        <v/>
      </c>
      <c r="K275" s="2" t="str">
        <f t="shared" si="18"/>
        <v/>
      </c>
      <c r="L275" s="2" t="str">
        <f t="shared" si="20"/>
        <v/>
      </c>
      <c r="M275" s="2" t="str">
        <f t="shared" si="19"/>
        <v/>
      </c>
      <c r="N275" s="5"/>
      <c r="P275" t="s">
        <v>86</v>
      </c>
    </row>
    <row r="276" spans="2:16">
      <c r="B276" s="22"/>
      <c r="C276" s="22"/>
      <c r="D276" s="22"/>
      <c r="E276" s="24"/>
      <c r="F276" s="24"/>
      <c r="G276" s="23" t="str">
        <f t="shared" si="17"/>
        <v/>
      </c>
      <c r="K276" s="2" t="str">
        <f t="shared" si="18"/>
        <v/>
      </c>
      <c r="L276" s="2" t="str">
        <f t="shared" si="20"/>
        <v/>
      </c>
      <c r="M276" s="2" t="str">
        <f t="shared" si="19"/>
        <v/>
      </c>
      <c r="N276" s="5"/>
      <c r="P276" t="s">
        <v>86</v>
      </c>
    </row>
    <row r="277" spans="2:16">
      <c r="B277" s="22"/>
      <c r="C277" s="22"/>
      <c r="D277" s="22"/>
      <c r="E277" s="24"/>
      <c r="F277" s="24"/>
      <c r="G277" s="23" t="str">
        <f t="shared" si="17"/>
        <v/>
      </c>
      <c r="K277" s="2" t="str">
        <f t="shared" si="18"/>
        <v/>
      </c>
      <c r="L277" s="2" t="str">
        <f t="shared" si="20"/>
        <v/>
      </c>
      <c r="M277" s="2" t="str">
        <f t="shared" si="19"/>
        <v/>
      </c>
      <c r="N277" s="5"/>
      <c r="P277" t="s">
        <v>86</v>
      </c>
    </row>
    <row r="278" spans="2:16">
      <c r="B278" s="22"/>
      <c r="C278" s="22"/>
      <c r="D278" s="22"/>
      <c r="E278" s="24"/>
      <c r="F278" s="24"/>
      <c r="G278" s="23" t="str">
        <f t="shared" si="17"/>
        <v/>
      </c>
      <c r="K278" s="2" t="str">
        <f t="shared" si="18"/>
        <v/>
      </c>
      <c r="L278" s="2" t="str">
        <f t="shared" si="20"/>
        <v/>
      </c>
      <c r="M278" s="2" t="str">
        <f t="shared" si="19"/>
        <v/>
      </c>
      <c r="N278" s="5"/>
      <c r="P278" t="s">
        <v>86</v>
      </c>
    </row>
    <row r="279" spans="2:16">
      <c r="B279" s="22"/>
      <c r="C279" s="22"/>
      <c r="D279" s="22"/>
      <c r="E279" s="24"/>
      <c r="F279" s="24"/>
      <c r="G279" s="23" t="str">
        <f t="shared" si="17"/>
        <v/>
      </c>
      <c r="K279" s="2" t="str">
        <f t="shared" si="18"/>
        <v/>
      </c>
      <c r="L279" s="2" t="str">
        <f t="shared" si="20"/>
        <v/>
      </c>
      <c r="M279" s="2" t="str">
        <f t="shared" si="19"/>
        <v/>
      </c>
      <c r="N279" s="5"/>
      <c r="P279" t="s">
        <v>86</v>
      </c>
    </row>
    <row r="280" spans="2:16">
      <c r="B280" s="22"/>
      <c r="C280" s="22"/>
      <c r="D280" s="22"/>
      <c r="E280" s="24"/>
      <c r="F280" s="24"/>
      <c r="G280" s="23" t="str">
        <f t="shared" si="17"/>
        <v/>
      </c>
      <c r="K280" s="2" t="str">
        <f t="shared" si="18"/>
        <v/>
      </c>
      <c r="L280" s="2" t="str">
        <f t="shared" si="20"/>
        <v/>
      </c>
      <c r="M280" s="2" t="str">
        <f t="shared" si="19"/>
        <v/>
      </c>
      <c r="N280" s="5"/>
      <c r="P280" t="s">
        <v>86</v>
      </c>
    </row>
    <row r="281" spans="2:16">
      <c r="B281" s="22"/>
      <c r="C281" s="22"/>
      <c r="D281" s="22"/>
      <c r="E281" s="24"/>
      <c r="F281" s="24"/>
      <c r="G281" s="23" t="str">
        <f t="shared" si="17"/>
        <v/>
      </c>
      <c r="K281" s="2" t="str">
        <f t="shared" si="18"/>
        <v/>
      </c>
      <c r="L281" s="2" t="str">
        <f t="shared" si="20"/>
        <v/>
      </c>
      <c r="M281" s="2" t="str">
        <f t="shared" si="19"/>
        <v/>
      </c>
      <c r="N281" s="5"/>
      <c r="P281" t="s">
        <v>86</v>
      </c>
    </row>
    <row r="282" spans="2:16">
      <c r="B282" s="22"/>
      <c r="C282" s="22"/>
      <c r="D282" s="22"/>
      <c r="E282" s="24"/>
      <c r="F282" s="24"/>
      <c r="G282" s="23" t="str">
        <f t="shared" si="17"/>
        <v/>
      </c>
      <c r="K282" s="2" t="str">
        <f t="shared" si="18"/>
        <v/>
      </c>
      <c r="L282" s="2" t="str">
        <f t="shared" si="20"/>
        <v/>
      </c>
      <c r="M282" s="2" t="str">
        <f t="shared" si="19"/>
        <v/>
      </c>
      <c r="N282" s="5"/>
      <c r="P282" t="s">
        <v>86</v>
      </c>
    </row>
    <row r="283" spans="2:16">
      <c r="B283" s="22"/>
      <c r="C283" s="22"/>
      <c r="D283" s="22"/>
      <c r="E283" s="24"/>
      <c r="F283" s="24"/>
      <c r="G283" s="23" t="str">
        <f t="shared" si="17"/>
        <v/>
      </c>
      <c r="K283" s="2" t="str">
        <f t="shared" si="18"/>
        <v/>
      </c>
      <c r="L283" s="2" t="str">
        <f t="shared" si="20"/>
        <v/>
      </c>
      <c r="M283" s="2" t="str">
        <f t="shared" si="19"/>
        <v/>
      </c>
      <c r="N283" s="5"/>
      <c r="P283" t="s">
        <v>86</v>
      </c>
    </row>
    <row r="284" spans="2:16">
      <c r="B284" s="22"/>
      <c r="C284" s="22"/>
      <c r="D284" s="22"/>
      <c r="E284" s="24"/>
      <c r="F284" s="24"/>
      <c r="G284" s="23" t="str">
        <f t="shared" si="17"/>
        <v/>
      </c>
      <c r="K284" s="2" t="str">
        <f t="shared" si="18"/>
        <v/>
      </c>
      <c r="L284" s="2" t="str">
        <f t="shared" si="20"/>
        <v/>
      </c>
      <c r="M284" s="2" t="str">
        <f t="shared" si="19"/>
        <v/>
      </c>
      <c r="N284" s="5"/>
      <c r="P284" t="s">
        <v>86</v>
      </c>
    </row>
    <row r="285" spans="2:16">
      <c r="B285" s="22"/>
      <c r="C285" s="22"/>
      <c r="D285" s="22"/>
      <c r="E285" s="24"/>
      <c r="F285" s="24"/>
      <c r="G285" s="23" t="str">
        <f t="shared" si="17"/>
        <v/>
      </c>
      <c r="K285" s="2" t="str">
        <f t="shared" si="18"/>
        <v/>
      </c>
      <c r="L285" s="2" t="str">
        <f t="shared" si="20"/>
        <v/>
      </c>
      <c r="M285" s="2" t="str">
        <f t="shared" si="19"/>
        <v/>
      </c>
      <c r="N285" s="5"/>
      <c r="P285" t="s">
        <v>86</v>
      </c>
    </row>
    <row r="286" spans="2:16">
      <c r="B286" s="22"/>
      <c r="C286" s="22"/>
      <c r="D286" s="22"/>
      <c r="E286" s="24"/>
      <c r="F286" s="24"/>
      <c r="G286" s="23" t="str">
        <f t="shared" si="17"/>
        <v/>
      </c>
      <c r="K286" s="2" t="str">
        <f t="shared" si="18"/>
        <v/>
      </c>
      <c r="L286" s="2" t="str">
        <f t="shared" si="20"/>
        <v/>
      </c>
      <c r="M286" s="2" t="str">
        <f t="shared" si="19"/>
        <v/>
      </c>
      <c r="N286" s="5"/>
      <c r="P286" t="s">
        <v>86</v>
      </c>
    </row>
    <row r="287" spans="2:16">
      <c r="B287" s="22"/>
      <c r="C287" s="22"/>
      <c r="D287" s="22"/>
      <c r="E287" s="24"/>
      <c r="F287" s="24"/>
      <c r="G287" s="23" t="str">
        <f t="shared" si="17"/>
        <v/>
      </c>
      <c r="K287" s="2" t="str">
        <f t="shared" si="18"/>
        <v/>
      </c>
      <c r="L287" s="2" t="str">
        <f t="shared" si="20"/>
        <v/>
      </c>
      <c r="M287" s="2" t="str">
        <f t="shared" si="19"/>
        <v/>
      </c>
      <c r="N287" s="5"/>
      <c r="P287" t="s">
        <v>86</v>
      </c>
    </row>
    <row r="288" spans="2:16">
      <c r="B288" s="22"/>
      <c r="C288" s="22"/>
      <c r="D288" s="22"/>
      <c r="E288" s="24"/>
      <c r="F288" s="24"/>
      <c r="G288" s="23" t="str">
        <f t="shared" si="17"/>
        <v/>
      </c>
      <c r="K288" s="2" t="str">
        <f t="shared" si="18"/>
        <v/>
      </c>
      <c r="L288" s="2" t="str">
        <f t="shared" si="20"/>
        <v/>
      </c>
      <c r="M288" s="2" t="str">
        <f t="shared" si="19"/>
        <v/>
      </c>
      <c r="N288" s="5"/>
      <c r="P288" t="s">
        <v>86</v>
      </c>
    </row>
    <row r="289" spans="2:16">
      <c r="B289" s="22"/>
      <c r="C289" s="22"/>
      <c r="D289" s="22"/>
      <c r="E289" s="24"/>
      <c r="F289" s="24"/>
      <c r="G289" s="23" t="str">
        <f t="shared" si="17"/>
        <v/>
      </c>
      <c r="K289" s="2" t="str">
        <f t="shared" si="18"/>
        <v/>
      </c>
      <c r="L289" s="2" t="str">
        <f t="shared" si="20"/>
        <v/>
      </c>
      <c r="M289" s="2" t="str">
        <f t="shared" si="19"/>
        <v/>
      </c>
      <c r="N289" s="5"/>
      <c r="P289" t="s">
        <v>86</v>
      </c>
    </row>
    <row r="290" spans="2:16">
      <c r="B290" s="22"/>
      <c r="C290" s="22"/>
      <c r="D290" s="22"/>
      <c r="E290" s="24"/>
      <c r="F290" s="24"/>
      <c r="G290" s="23" t="str">
        <f t="shared" si="17"/>
        <v/>
      </c>
      <c r="K290" s="2" t="str">
        <f t="shared" si="18"/>
        <v/>
      </c>
      <c r="L290" s="2" t="str">
        <f t="shared" si="20"/>
        <v/>
      </c>
      <c r="M290" s="2" t="str">
        <f t="shared" si="19"/>
        <v/>
      </c>
      <c r="N290" s="5"/>
      <c r="P290" t="s">
        <v>86</v>
      </c>
    </row>
    <row r="291" spans="2:16">
      <c r="B291" s="22"/>
      <c r="C291" s="22"/>
      <c r="D291" s="22"/>
      <c r="E291" s="24"/>
      <c r="F291" s="24"/>
      <c r="G291" s="23" t="str">
        <f t="shared" si="17"/>
        <v/>
      </c>
      <c r="K291" s="2" t="str">
        <f t="shared" si="18"/>
        <v/>
      </c>
      <c r="L291" s="2" t="str">
        <f t="shared" si="20"/>
        <v/>
      </c>
      <c r="M291" s="2" t="str">
        <f t="shared" si="19"/>
        <v/>
      </c>
      <c r="N291" s="5"/>
      <c r="P291" t="s">
        <v>86</v>
      </c>
    </row>
    <row r="292" spans="2:16">
      <c r="B292" s="22"/>
      <c r="C292" s="22"/>
      <c r="D292" s="22"/>
      <c r="E292" s="24"/>
      <c r="F292" s="24"/>
      <c r="G292" s="23" t="str">
        <f t="shared" si="17"/>
        <v/>
      </c>
      <c r="K292" s="2" t="str">
        <f t="shared" si="18"/>
        <v/>
      </c>
      <c r="L292" s="2" t="str">
        <f t="shared" si="20"/>
        <v/>
      </c>
      <c r="M292" s="2" t="str">
        <f t="shared" si="19"/>
        <v/>
      </c>
      <c r="N292" s="5"/>
      <c r="P292" t="s">
        <v>86</v>
      </c>
    </row>
    <row r="293" spans="2:16">
      <c r="B293" s="22"/>
      <c r="C293" s="22"/>
      <c r="D293" s="22"/>
      <c r="E293" s="24"/>
      <c r="F293" s="24"/>
      <c r="G293" s="23" t="str">
        <f t="shared" si="17"/>
        <v/>
      </c>
      <c r="K293" s="2" t="str">
        <f t="shared" si="18"/>
        <v/>
      </c>
      <c r="L293" s="2" t="str">
        <f t="shared" si="20"/>
        <v/>
      </c>
      <c r="M293" s="2" t="str">
        <f t="shared" si="19"/>
        <v/>
      </c>
      <c r="N293" s="5"/>
      <c r="P293" t="s">
        <v>86</v>
      </c>
    </row>
    <row r="294" spans="2:16">
      <c r="B294" s="22"/>
      <c r="C294" s="22"/>
      <c r="D294" s="22"/>
      <c r="E294" s="24"/>
      <c r="F294" s="24"/>
      <c r="G294" s="23" t="str">
        <f t="shared" si="17"/>
        <v/>
      </c>
      <c r="K294" s="2" t="str">
        <f t="shared" si="18"/>
        <v/>
      </c>
      <c r="L294" s="2" t="str">
        <f t="shared" si="20"/>
        <v/>
      </c>
      <c r="M294" s="2" t="str">
        <f t="shared" si="19"/>
        <v/>
      </c>
      <c r="N294" s="5"/>
      <c r="P294" t="s">
        <v>86</v>
      </c>
    </row>
    <row r="295" spans="2:16">
      <c r="B295" s="22"/>
      <c r="C295" s="22"/>
      <c r="D295" s="22"/>
      <c r="E295" s="24"/>
      <c r="F295" s="24"/>
      <c r="G295" s="23" t="str">
        <f t="shared" si="17"/>
        <v/>
      </c>
      <c r="K295" s="2" t="str">
        <f t="shared" si="18"/>
        <v/>
      </c>
      <c r="L295" s="2" t="str">
        <f t="shared" si="20"/>
        <v/>
      </c>
      <c r="M295" s="2" t="str">
        <f t="shared" si="19"/>
        <v/>
      </c>
      <c r="N295" s="5"/>
      <c r="P295" t="s">
        <v>86</v>
      </c>
    </row>
    <row r="296" spans="2:16">
      <c r="B296" s="22"/>
      <c r="C296" s="22"/>
      <c r="D296" s="22"/>
      <c r="E296" s="24"/>
      <c r="F296" s="24"/>
      <c r="G296" s="23" t="str">
        <f t="shared" si="17"/>
        <v/>
      </c>
      <c r="K296" s="2" t="str">
        <f t="shared" si="18"/>
        <v/>
      </c>
      <c r="L296" s="2" t="str">
        <f t="shared" si="20"/>
        <v/>
      </c>
      <c r="M296" s="2" t="str">
        <f t="shared" si="19"/>
        <v/>
      </c>
      <c r="N296" s="5"/>
      <c r="P296" t="s">
        <v>86</v>
      </c>
    </row>
    <row r="297" spans="2:16">
      <c r="B297" s="22"/>
      <c r="C297" s="22"/>
      <c r="D297" s="22"/>
      <c r="E297" s="24"/>
      <c r="F297" s="24"/>
      <c r="G297" s="23" t="str">
        <f t="shared" si="17"/>
        <v/>
      </c>
      <c r="K297" s="2" t="str">
        <f t="shared" si="18"/>
        <v/>
      </c>
      <c r="L297" s="2" t="str">
        <f t="shared" si="20"/>
        <v/>
      </c>
      <c r="M297" s="2" t="str">
        <f t="shared" si="19"/>
        <v/>
      </c>
      <c r="N297" s="5"/>
      <c r="P297" t="s">
        <v>86</v>
      </c>
    </row>
    <row r="298" spans="2:16">
      <c r="B298" s="22"/>
      <c r="C298" s="22"/>
      <c r="D298" s="22"/>
      <c r="E298" s="24"/>
      <c r="F298" s="24"/>
      <c r="G298" s="23" t="str">
        <f t="shared" si="17"/>
        <v/>
      </c>
      <c r="K298" s="2" t="str">
        <f t="shared" si="18"/>
        <v/>
      </c>
      <c r="L298" s="2" t="str">
        <f t="shared" si="20"/>
        <v/>
      </c>
      <c r="M298" s="2" t="str">
        <f t="shared" si="19"/>
        <v/>
      </c>
      <c r="N298" s="5"/>
      <c r="P298" t="s">
        <v>86</v>
      </c>
    </row>
    <row r="299" spans="2:16">
      <c r="B299" s="22"/>
      <c r="C299" s="22"/>
      <c r="D299" s="22"/>
      <c r="E299" s="24"/>
      <c r="F299" s="24"/>
      <c r="G299" s="23" t="str">
        <f t="shared" si="17"/>
        <v/>
      </c>
      <c r="K299" s="2" t="str">
        <f t="shared" si="18"/>
        <v/>
      </c>
      <c r="L299" s="2" t="str">
        <f t="shared" si="20"/>
        <v/>
      </c>
      <c r="M299" s="2" t="str">
        <f t="shared" si="19"/>
        <v/>
      </c>
      <c r="N299" s="5"/>
      <c r="P299" t="s">
        <v>86</v>
      </c>
    </row>
    <row r="300" spans="2:16">
      <c r="B300" s="22"/>
      <c r="C300" s="22"/>
      <c r="D300" s="22"/>
      <c r="E300" s="24"/>
      <c r="F300" s="24"/>
      <c r="G300" s="23" t="str">
        <f t="shared" si="17"/>
        <v/>
      </c>
      <c r="K300" s="2" t="str">
        <f t="shared" si="18"/>
        <v/>
      </c>
      <c r="L300" s="2" t="str">
        <f t="shared" si="20"/>
        <v/>
      </c>
      <c r="M300" s="2" t="str">
        <f t="shared" si="19"/>
        <v/>
      </c>
      <c r="N300" s="5"/>
      <c r="P300" t="s">
        <v>86</v>
      </c>
    </row>
    <row r="301" spans="2:16">
      <c r="B301" s="22"/>
      <c r="C301" s="22"/>
      <c r="D301" s="22"/>
      <c r="E301" s="24"/>
      <c r="F301" s="24"/>
      <c r="G301" s="23" t="str">
        <f t="shared" si="17"/>
        <v/>
      </c>
      <c r="K301" s="2" t="str">
        <f t="shared" si="18"/>
        <v/>
      </c>
      <c r="L301" s="2" t="str">
        <f t="shared" si="20"/>
        <v/>
      </c>
      <c r="M301" s="2" t="str">
        <f t="shared" si="19"/>
        <v/>
      </c>
      <c r="N301" s="5"/>
      <c r="P301" t="s">
        <v>86</v>
      </c>
    </row>
    <row r="302" spans="2:16">
      <c r="B302" s="22"/>
      <c r="C302" s="22"/>
      <c r="D302" s="22"/>
      <c r="E302" s="24"/>
      <c r="F302" s="24"/>
      <c r="G302" s="23" t="str">
        <f t="shared" si="17"/>
        <v/>
      </c>
      <c r="K302" s="2" t="str">
        <f t="shared" si="18"/>
        <v/>
      </c>
      <c r="L302" s="2" t="str">
        <f t="shared" si="20"/>
        <v/>
      </c>
      <c r="M302" s="2" t="str">
        <f t="shared" si="19"/>
        <v/>
      </c>
      <c r="N302" s="5"/>
      <c r="P302" t="s">
        <v>86</v>
      </c>
    </row>
    <row r="303" spans="2:16">
      <c r="B303" s="22"/>
      <c r="C303" s="22"/>
      <c r="D303" s="22"/>
      <c r="E303" s="24"/>
      <c r="F303" s="24"/>
      <c r="G303" s="23" t="str">
        <f t="shared" si="17"/>
        <v/>
      </c>
      <c r="K303" s="2" t="str">
        <f t="shared" si="18"/>
        <v/>
      </c>
      <c r="L303" s="2" t="str">
        <f t="shared" si="20"/>
        <v/>
      </c>
      <c r="M303" s="2" t="str">
        <f t="shared" si="19"/>
        <v/>
      </c>
      <c r="N303" s="5"/>
      <c r="P303" t="s">
        <v>86</v>
      </c>
    </row>
    <row r="304" spans="2:16">
      <c r="B304" s="22"/>
      <c r="C304" s="22"/>
      <c r="D304" s="22"/>
      <c r="E304" s="24"/>
      <c r="F304" s="24"/>
      <c r="G304" s="23" t="str">
        <f t="shared" si="17"/>
        <v/>
      </c>
      <c r="K304" s="2" t="str">
        <f t="shared" si="18"/>
        <v/>
      </c>
      <c r="L304" s="2" t="str">
        <f t="shared" si="20"/>
        <v/>
      </c>
      <c r="M304" s="2" t="str">
        <f t="shared" si="19"/>
        <v/>
      </c>
      <c r="N304" s="5"/>
      <c r="P304" t="s">
        <v>86</v>
      </c>
    </row>
    <row r="305" spans="2:16">
      <c r="B305" s="22"/>
      <c r="C305" s="22"/>
      <c r="D305" s="22"/>
      <c r="E305" s="24"/>
      <c r="F305" s="24"/>
      <c r="G305" s="23" t="str">
        <f t="shared" si="17"/>
        <v/>
      </c>
      <c r="K305" s="2" t="str">
        <f t="shared" si="18"/>
        <v/>
      </c>
      <c r="L305" s="2" t="str">
        <f t="shared" si="20"/>
        <v/>
      </c>
      <c r="M305" s="2" t="str">
        <f t="shared" si="19"/>
        <v/>
      </c>
      <c r="N305" s="5"/>
      <c r="P305" t="s">
        <v>86</v>
      </c>
    </row>
    <row r="306" spans="2:16">
      <c r="B306" s="22"/>
      <c r="C306" s="22"/>
      <c r="D306" s="22"/>
      <c r="E306" s="24"/>
      <c r="F306" s="24"/>
      <c r="G306" s="23" t="str">
        <f t="shared" si="17"/>
        <v/>
      </c>
      <c r="K306" s="2" t="str">
        <f t="shared" si="18"/>
        <v/>
      </c>
      <c r="L306" s="2" t="str">
        <f t="shared" si="20"/>
        <v/>
      </c>
      <c r="M306" s="2" t="str">
        <f t="shared" si="19"/>
        <v/>
      </c>
      <c r="N306" s="5"/>
      <c r="P306" t="s">
        <v>86</v>
      </c>
    </row>
    <row r="307" spans="2:16">
      <c r="B307" s="22"/>
      <c r="C307" s="22"/>
      <c r="D307" s="22"/>
      <c r="E307" s="24"/>
      <c r="F307" s="24"/>
      <c r="G307" s="23" t="str">
        <f t="shared" si="17"/>
        <v/>
      </c>
      <c r="K307" s="2" t="str">
        <f t="shared" si="18"/>
        <v/>
      </c>
      <c r="L307" s="2" t="str">
        <f t="shared" si="20"/>
        <v/>
      </c>
      <c r="M307" s="2" t="str">
        <f t="shared" si="19"/>
        <v/>
      </c>
      <c r="N307" s="5"/>
      <c r="P307" t="s">
        <v>86</v>
      </c>
    </row>
    <row r="308" spans="2:16">
      <c r="B308" s="22"/>
      <c r="C308" s="22"/>
      <c r="D308" s="22"/>
      <c r="E308" s="24"/>
      <c r="F308" s="24"/>
      <c r="G308" s="23" t="str">
        <f t="shared" si="17"/>
        <v/>
      </c>
      <c r="K308" s="2" t="str">
        <f t="shared" si="18"/>
        <v/>
      </c>
      <c r="L308" s="2" t="str">
        <f t="shared" si="20"/>
        <v/>
      </c>
      <c r="M308" s="2" t="str">
        <f t="shared" si="19"/>
        <v/>
      </c>
      <c r="N308" s="5"/>
      <c r="P308" t="s">
        <v>86</v>
      </c>
    </row>
    <row r="309" spans="2:16">
      <c r="B309" s="22"/>
      <c r="C309" s="22"/>
      <c r="D309" s="22"/>
      <c r="E309" s="24"/>
      <c r="F309" s="24"/>
      <c r="G309" s="23" t="str">
        <f t="shared" si="17"/>
        <v/>
      </c>
      <c r="K309" s="2" t="str">
        <f t="shared" si="18"/>
        <v/>
      </c>
      <c r="L309" s="2" t="str">
        <f t="shared" si="20"/>
        <v/>
      </c>
      <c r="M309" s="2" t="str">
        <f t="shared" si="19"/>
        <v/>
      </c>
      <c r="N309" s="5"/>
      <c r="P309" t="s">
        <v>86</v>
      </c>
    </row>
    <row r="310" spans="2:16">
      <c r="B310" s="22"/>
      <c r="C310" s="22"/>
      <c r="D310" s="22"/>
      <c r="E310" s="24"/>
      <c r="F310" s="24"/>
      <c r="G310" s="23" t="str">
        <f t="shared" si="17"/>
        <v/>
      </c>
      <c r="K310" s="2" t="str">
        <f t="shared" si="18"/>
        <v/>
      </c>
      <c r="L310" s="2" t="str">
        <f t="shared" si="20"/>
        <v/>
      </c>
      <c r="M310" s="2" t="str">
        <f t="shared" si="19"/>
        <v/>
      </c>
      <c r="N310" s="5"/>
      <c r="P310" t="s">
        <v>86</v>
      </c>
    </row>
    <row r="311" spans="2:16">
      <c r="B311" s="22"/>
      <c r="C311" s="22"/>
      <c r="D311" s="22"/>
      <c r="E311" s="24"/>
      <c r="F311" s="24"/>
      <c r="G311" s="23" t="str">
        <f t="shared" si="17"/>
        <v/>
      </c>
      <c r="K311" s="2" t="str">
        <f t="shared" si="18"/>
        <v/>
      </c>
      <c r="L311" s="2" t="str">
        <f t="shared" si="20"/>
        <v/>
      </c>
      <c r="M311" s="2" t="str">
        <f t="shared" si="19"/>
        <v/>
      </c>
      <c r="N311" s="5"/>
      <c r="P311" t="s">
        <v>86</v>
      </c>
    </row>
    <row r="312" spans="2:16">
      <c r="B312" s="22"/>
      <c r="C312" s="22"/>
      <c r="D312" s="22"/>
      <c r="E312" s="24"/>
      <c r="F312" s="24"/>
      <c r="G312" s="23" t="str">
        <f t="shared" si="17"/>
        <v/>
      </c>
      <c r="K312" s="2" t="str">
        <f t="shared" si="18"/>
        <v/>
      </c>
      <c r="L312" s="2" t="str">
        <f t="shared" si="20"/>
        <v/>
      </c>
      <c r="M312" s="2" t="str">
        <f t="shared" si="19"/>
        <v/>
      </c>
      <c r="N312" s="5"/>
      <c r="P312" t="s">
        <v>86</v>
      </c>
    </row>
    <row r="313" spans="2:16">
      <c r="B313" s="22"/>
      <c r="C313" s="22"/>
      <c r="D313" s="22"/>
      <c r="E313" s="24"/>
      <c r="F313" s="24"/>
      <c r="G313" s="23" t="str">
        <f t="shared" si="17"/>
        <v/>
      </c>
      <c r="K313" s="2" t="str">
        <f t="shared" si="18"/>
        <v/>
      </c>
      <c r="L313" s="2" t="str">
        <f t="shared" si="20"/>
        <v/>
      </c>
      <c r="M313" s="2" t="str">
        <f t="shared" si="19"/>
        <v/>
      </c>
      <c r="N313" s="5"/>
      <c r="P313" t="s">
        <v>86</v>
      </c>
    </row>
    <row r="314" spans="2:16">
      <c r="B314" s="22"/>
      <c r="C314" s="22"/>
      <c r="D314" s="22"/>
      <c r="E314" s="24"/>
      <c r="F314" s="24"/>
      <c r="G314" s="23" t="str">
        <f t="shared" si="17"/>
        <v/>
      </c>
      <c r="K314" s="2" t="str">
        <f t="shared" si="18"/>
        <v/>
      </c>
      <c r="L314" s="2" t="str">
        <f t="shared" si="20"/>
        <v/>
      </c>
      <c r="M314" s="2" t="str">
        <f t="shared" si="19"/>
        <v/>
      </c>
      <c r="N314" s="5"/>
      <c r="P314" t="s">
        <v>86</v>
      </c>
    </row>
    <row r="315" spans="2:16">
      <c r="B315" s="22"/>
      <c r="C315" s="22"/>
      <c r="D315" s="22"/>
      <c r="E315" s="24"/>
      <c r="F315" s="24"/>
      <c r="G315" s="23" t="str">
        <f t="shared" si="17"/>
        <v/>
      </c>
      <c r="K315" s="2" t="str">
        <f t="shared" si="18"/>
        <v/>
      </c>
      <c r="L315" s="2" t="str">
        <f t="shared" si="20"/>
        <v/>
      </c>
      <c r="M315" s="2" t="str">
        <f t="shared" si="19"/>
        <v/>
      </c>
      <c r="N315" s="5"/>
      <c r="P315" t="s">
        <v>86</v>
      </c>
    </row>
    <row r="316" spans="2:16">
      <c r="B316" s="22"/>
      <c r="C316" s="22"/>
      <c r="D316" s="22"/>
      <c r="E316" s="24"/>
      <c r="F316" s="24"/>
      <c r="G316" s="23" t="str">
        <f t="shared" si="17"/>
        <v/>
      </c>
      <c r="K316" s="2" t="str">
        <f t="shared" si="18"/>
        <v/>
      </c>
      <c r="L316" s="2" t="str">
        <f t="shared" si="20"/>
        <v/>
      </c>
      <c r="M316" s="2" t="str">
        <f t="shared" si="19"/>
        <v/>
      </c>
      <c r="N316" s="5"/>
      <c r="P316" t="s">
        <v>86</v>
      </c>
    </row>
    <row r="317" spans="2:16">
      <c r="B317" s="22"/>
      <c r="C317" s="22"/>
      <c r="D317" s="22"/>
      <c r="E317" s="24"/>
      <c r="F317" s="24"/>
      <c r="G317" s="23" t="str">
        <f t="shared" si="17"/>
        <v/>
      </c>
      <c r="K317" s="2" t="str">
        <f t="shared" si="18"/>
        <v/>
      </c>
      <c r="L317" s="2" t="str">
        <f t="shared" si="20"/>
        <v/>
      </c>
      <c r="M317" s="2" t="str">
        <f t="shared" si="19"/>
        <v/>
      </c>
      <c r="N317" s="5"/>
      <c r="P317" t="s">
        <v>86</v>
      </c>
    </row>
    <row r="318" spans="2:16">
      <c r="B318" s="22"/>
      <c r="C318" s="22"/>
      <c r="D318" s="22"/>
      <c r="E318" s="24"/>
      <c r="F318" s="24"/>
      <c r="G318" s="23" t="str">
        <f t="shared" si="17"/>
        <v/>
      </c>
      <c r="K318" s="2" t="str">
        <f t="shared" si="18"/>
        <v/>
      </c>
      <c r="L318" s="2" t="str">
        <f t="shared" si="20"/>
        <v/>
      </c>
      <c r="M318" s="2" t="str">
        <f t="shared" si="19"/>
        <v/>
      </c>
      <c r="N318" s="5"/>
      <c r="P318" t="s">
        <v>86</v>
      </c>
    </row>
    <row r="319" spans="2:16">
      <c r="B319" s="22"/>
      <c r="C319" s="22"/>
      <c r="D319" s="22"/>
      <c r="E319" s="24"/>
      <c r="F319" s="24"/>
      <c r="G319" s="23" t="str">
        <f t="shared" si="17"/>
        <v/>
      </c>
      <c r="K319" s="2" t="str">
        <f t="shared" si="18"/>
        <v/>
      </c>
      <c r="L319" s="2" t="str">
        <f t="shared" si="20"/>
        <v/>
      </c>
      <c r="M319" s="2" t="str">
        <f t="shared" si="19"/>
        <v/>
      </c>
      <c r="N319" s="5"/>
      <c r="P319" t="s">
        <v>86</v>
      </c>
    </row>
    <row r="320" spans="2:16">
      <c r="B320" s="22"/>
      <c r="C320" s="22"/>
      <c r="D320" s="22"/>
      <c r="E320" s="24"/>
      <c r="F320" s="24"/>
      <c r="G320" s="23" t="str">
        <f t="shared" si="17"/>
        <v/>
      </c>
      <c r="K320" s="2" t="str">
        <f t="shared" si="18"/>
        <v/>
      </c>
      <c r="L320" s="2" t="str">
        <f t="shared" si="20"/>
        <v/>
      </c>
      <c r="M320" s="2" t="str">
        <f t="shared" si="19"/>
        <v/>
      </c>
      <c r="N320" s="5"/>
      <c r="P320" t="s">
        <v>86</v>
      </c>
    </row>
    <row r="321" spans="2:16">
      <c r="B321" s="22"/>
      <c r="C321" s="22"/>
      <c r="D321" s="22"/>
      <c r="E321" s="24"/>
      <c r="F321" s="24"/>
      <c r="G321" s="23" t="str">
        <f t="shared" si="17"/>
        <v/>
      </c>
      <c r="K321" s="2" t="str">
        <f t="shared" si="18"/>
        <v/>
      </c>
      <c r="L321" s="2" t="str">
        <f t="shared" si="20"/>
        <v/>
      </c>
      <c r="M321" s="2" t="str">
        <f t="shared" si="19"/>
        <v/>
      </c>
      <c r="N321" s="5"/>
      <c r="P321" t="s">
        <v>86</v>
      </c>
    </row>
    <row r="322" spans="2:16">
      <c r="B322" s="22"/>
      <c r="C322" s="22"/>
      <c r="D322" s="22"/>
      <c r="E322" s="24"/>
      <c r="F322" s="24"/>
      <c r="G322" s="23" t="str">
        <f t="shared" si="17"/>
        <v/>
      </c>
      <c r="K322" s="2" t="str">
        <f t="shared" si="18"/>
        <v/>
      </c>
      <c r="L322" s="2" t="str">
        <f t="shared" si="20"/>
        <v/>
      </c>
      <c r="M322" s="2" t="str">
        <f t="shared" si="19"/>
        <v/>
      </c>
      <c r="N322" s="5"/>
      <c r="P322" t="s">
        <v>86</v>
      </c>
    </row>
    <row r="323" spans="2:16">
      <c r="B323" s="22"/>
      <c r="C323" s="22"/>
      <c r="D323" s="22"/>
      <c r="E323" s="24"/>
      <c r="F323" s="24"/>
      <c r="G323" s="23" t="str">
        <f t="shared" si="17"/>
        <v/>
      </c>
      <c r="K323" s="2" t="str">
        <f t="shared" si="18"/>
        <v/>
      </c>
      <c r="L323" s="2" t="str">
        <f t="shared" si="20"/>
        <v/>
      </c>
      <c r="M323" s="2" t="str">
        <f t="shared" si="19"/>
        <v/>
      </c>
      <c r="N323" s="5"/>
      <c r="P323" t="s">
        <v>86</v>
      </c>
    </row>
    <row r="324" spans="2:16">
      <c r="B324" s="22"/>
      <c r="C324" s="22"/>
      <c r="D324" s="22"/>
      <c r="E324" s="24"/>
      <c r="F324" s="24"/>
      <c r="G324" s="23" t="str">
        <f t="shared" ref="G324:G387" si="21">IF(AND(D324=E324,E324=F324),"",IF(AND(F324="",D324=E324),"",IF(AND(D324="",E324=F324),"",IF(AND(E324="",D324=F324),"","불일치"))))</f>
        <v/>
      </c>
      <c r="K324" s="2" t="str">
        <f t="shared" ref="K324:K387" si="22">+IF(D324="","",+D324)</f>
        <v/>
      </c>
      <c r="L324" s="2" t="str">
        <f t="shared" si="20"/>
        <v/>
      </c>
      <c r="M324" s="2" t="str">
        <f t="shared" ref="M324:M387" si="23">IF(B324="","",IF(COUNTIF($K$3:$K$295,K324)&gt;1,"동명",""))</f>
        <v/>
      </c>
      <c r="N324" s="5"/>
      <c r="P324" t="s">
        <v>86</v>
      </c>
    </row>
    <row r="325" spans="2:16">
      <c r="B325" s="22"/>
      <c r="C325" s="22"/>
      <c r="D325" s="22"/>
      <c r="E325" s="24"/>
      <c r="F325" s="24"/>
      <c r="G325" s="23" t="str">
        <f t="shared" si="21"/>
        <v/>
      </c>
      <c r="K325" s="2" t="str">
        <f t="shared" si="22"/>
        <v/>
      </c>
      <c r="L325" s="2" t="str">
        <f t="shared" si="20"/>
        <v/>
      </c>
      <c r="M325" s="2" t="str">
        <f t="shared" si="23"/>
        <v/>
      </c>
      <c r="N325" s="5"/>
      <c r="P325" t="s">
        <v>86</v>
      </c>
    </row>
    <row r="326" spans="2:16">
      <c r="B326" s="22"/>
      <c r="C326" s="22"/>
      <c r="D326" s="22"/>
      <c r="E326" s="24"/>
      <c r="F326" s="24"/>
      <c r="G326" s="23" t="str">
        <f t="shared" si="21"/>
        <v/>
      </c>
      <c r="K326" s="2" t="str">
        <f t="shared" si="22"/>
        <v/>
      </c>
      <c r="L326" s="2" t="str">
        <f t="shared" ref="L326:L389" si="24">RIGHT(K326,2)</f>
        <v/>
      </c>
      <c r="M326" s="2" t="str">
        <f t="shared" si="23"/>
        <v/>
      </c>
      <c r="N326" s="5"/>
      <c r="P326" t="s">
        <v>86</v>
      </c>
    </row>
    <row r="327" spans="2:16">
      <c r="B327" s="22"/>
      <c r="C327" s="22"/>
      <c r="D327" s="22"/>
      <c r="E327" s="24"/>
      <c r="F327" s="24"/>
      <c r="G327" s="23" t="str">
        <f t="shared" si="21"/>
        <v/>
      </c>
      <c r="K327" s="2" t="str">
        <f t="shared" si="22"/>
        <v/>
      </c>
      <c r="L327" s="2" t="str">
        <f t="shared" si="24"/>
        <v/>
      </c>
      <c r="M327" s="2" t="str">
        <f t="shared" si="23"/>
        <v/>
      </c>
      <c r="N327" s="5"/>
      <c r="P327" t="s">
        <v>86</v>
      </c>
    </row>
    <row r="328" spans="2:16">
      <c r="B328" s="22"/>
      <c r="C328" s="22"/>
      <c r="D328" s="22"/>
      <c r="E328" s="24"/>
      <c r="F328" s="24"/>
      <c r="G328" s="23" t="str">
        <f t="shared" si="21"/>
        <v/>
      </c>
      <c r="K328" s="2" t="str">
        <f t="shared" si="22"/>
        <v/>
      </c>
      <c r="L328" s="2" t="str">
        <f t="shared" si="24"/>
        <v/>
      </c>
      <c r="M328" s="2" t="str">
        <f t="shared" si="23"/>
        <v/>
      </c>
      <c r="N328" s="5"/>
      <c r="P328" t="s">
        <v>86</v>
      </c>
    </row>
    <row r="329" spans="2:16">
      <c r="B329" s="22"/>
      <c r="C329" s="22"/>
      <c r="D329" s="22"/>
      <c r="E329" s="24"/>
      <c r="F329" s="24"/>
      <c r="G329" s="23" t="str">
        <f t="shared" si="21"/>
        <v/>
      </c>
      <c r="K329" s="2" t="str">
        <f t="shared" si="22"/>
        <v/>
      </c>
      <c r="L329" s="2" t="str">
        <f t="shared" si="24"/>
        <v/>
      </c>
      <c r="M329" s="2" t="str">
        <f t="shared" si="23"/>
        <v/>
      </c>
      <c r="N329" s="5"/>
      <c r="P329" t="s">
        <v>86</v>
      </c>
    </row>
    <row r="330" spans="2:16">
      <c r="B330" s="22"/>
      <c r="C330" s="22"/>
      <c r="D330" s="22"/>
      <c r="E330" s="24"/>
      <c r="F330" s="24"/>
      <c r="G330" s="23" t="str">
        <f t="shared" si="21"/>
        <v/>
      </c>
      <c r="K330" s="2" t="str">
        <f t="shared" si="22"/>
        <v/>
      </c>
      <c r="L330" s="2" t="str">
        <f t="shared" si="24"/>
        <v/>
      </c>
      <c r="M330" s="2" t="str">
        <f t="shared" si="23"/>
        <v/>
      </c>
      <c r="N330" s="5"/>
      <c r="P330" t="s">
        <v>86</v>
      </c>
    </row>
    <row r="331" spans="2:16">
      <c r="B331" s="22"/>
      <c r="C331" s="22"/>
      <c r="D331" s="22"/>
      <c r="E331" s="24"/>
      <c r="F331" s="24"/>
      <c r="G331" s="23" t="str">
        <f t="shared" si="21"/>
        <v/>
      </c>
      <c r="K331" s="2" t="str">
        <f t="shared" si="22"/>
        <v/>
      </c>
      <c r="L331" s="2" t="str">
        <f t="shared" si="24"/>
        <v/>
      </c>
      <c r="M331" s="2" t="str">
        <f t="shared" si="23"/>
        <v/>
      </c>
      <c r="N331" s="5"/>
      <c r="P331" t="s">
        <v>86</v>
      </c>
    </row>
    <row r="332" spans="2:16">
      <c r="B332" s="22"/>
      <c r="C332" s="22"/>
      <c r="D332" s="22"/>
      <c r="E332" s="24"/>
      <c r="F332" s="24"/>
      <c r="G332" s="23" t="str">
        <f t="shared" si="21"/>
        <v/>
      </c>
      <c r="K332" s="2" t="str">
        <f t="shared" si="22"/>
        <v/>
      </c>
      <c r="L332" s="2" t="str">
        <f t="shared" si="24"/>
        <v/>
      </c>
      <c r="M332" s="2" t="str">
        <f t="shared" si="23"/>
        <v/>
      </c>
      <c r="N332" s="5"/>
      <c r="P332" t="s">
        <v>86</v>
      </c>
    </row>
    <row r="333" spans="2:16">
      <c r="B333" s="22"/>
      <c r="C333" s="22"/>
      <c r="D333" s="22"/>
      <c r="E333" s="24"/>
      <c r="F333" s="24"/>
      <c r="G333" s="23" t="str">
        <f t="shared" si="21"/>
        <v/>
      </c>
      <c r="K333" s="2" t="str">
        <f t="shared" si="22"/>
        <v/>
      </c>
      <c r="L333" s="2" t="str">
        <f t="shared" si="24"/>
        <v/>
      </c>
      <c r="M333" s="2" t="str">
        <f t="shared" si="23"/>
        <v/>
      </c>
      <c r="N333" s="5"/>
      <c r="P333" t="s">
        <v>86</v>
      </c>
    </row>
    <row r="334" spans="2:16">
      <c r="B334" s="22"/>
      <c r="C334" s="22"/>
      <c r="D334" s="22"/>
      <c r="E334" s="24"/>
      <c r="F334" s="24"/>
      <c r="G334" s="23" t="str">
        <f t="shared" si="21"/>
        <v/>
      </c>
      <c r="K334" s="2" t="str">
        <f t="shared" si="22"/>
        <v/>
      </c>
      <c r="L334" s="2" t="str">
        <f t="shared" si="24"/>
        <v/>
      </c>
      <c r="M334" s="2" t="str">
        <f t="shared" si="23"/>
        <v/>
      </c>
      <c r="N334" s="5"/>
      <c r="P334" t="s">
        <v>86</v>
      </c>
    </row>
    <row r="335" spans="2:16">
      <c r="B335" s="22"/>
      <c r="C335" s="22"/>
      <c r="D335" s="22"/>
      <c r="E335" s="24"/>
      <c r="F335" s="24"/>
      <c r="G335" s="23" t="str">
        <f t="shared" si="21"/>
        <v/>
      </c>
      <c r="K335" s="2" t="str">
        <f t="shared" si="22"/>
        <v/>
      </c>
      <c r="L335" s="2" t="str">
        <f t="shared" si="24"/>
        <v/>
      </c>
      <c r="M335" s="2" t="str">
        <f t="shared" si="23"/>
        <v/>
      </c>
      <c r="N335" s="5"/>
      <c r="P335" t="s">
        <v>86</v>
      </c>
    </row>
    <row r="336" spans="2:16">
      <c r="B336" s="22"/>
      <c r="C336" s="22"/>
      <c r="D336" s="22"/>
      <c r="E336" s="24"/>
      <c r="F336" s="24"/>
      <c r="G336" s="23" t="str">
        <f t="shared" si="21"/>
        <v/>
      </c>
      <c r="K336" s="2" t="str">
        <f t="shared" si="22"/>
        <v/>
      </c>
      <c r="L336" s="2" t="str">
        <f t="shared" si="24"/>
        <v/>
      </c>
      <c r="M336" s="2" t="str">
        <f t="shared" si="23"/>
        <v/>
      </c>
      <c r="N336" s="5"/>
      <c r="P336" t="s">
        <v>86</v>
      </c>
    </row>
    <row r="337" spans="2:16">
      <c r="B337" s="22"/>
      <c r="C337" s="22"/>
      <c r="D337" s="22"/>
      <c r="E337" s="24"/>
      <c r="F337" s="24"/>
      <c r="G337" s="23" t="str">
        <f t="shared" si="21"/>
        <v/>
      </c>
      <c r="K337" s="2" t="str">
        <f t="shared" si="22"/>
        <v/>
      </c>
      <c r="L337" s="2" t="str">
        <f t="shared" si="24"/>
        <v/>
      </c>
      <c r="M337" s="2" t="str">
        <f t="shared" si="23"/>
        <v/>
      </c>
      <c r="N337" s="5"/>
      <c r="P337" t="s">
        <v>86</v>
      </c>
    </row>
    <row r="338" spans="2:16">
      <c r="B338" s="22"/>
      <c r="C338" s="22"/>
      <c r="D338" s="22"/>
      <c r="E338" s="24"/>
      <c r="F338" s="24"/>
      <c r="G338" s="23" t="str">
        <f t="shared" si="21"/>
        <v/>
      </c>
      <c r="K338" s="2" t="str">
        <f t="shared" si="22"/>
        <v/>
      </c>
      <c r="L338" s="2" t="str">
        <f t="shared" si="24"/>
        <v/>
      </c>
      <c r="M338" s="2" t="str">
        <f t="shared" si="23"/>
        <v/>
      </c>
      <c r="N338" s="5"/>
      <c r="P338" t="s">
        <v>86</v>
      </c>
    </row>
    <row r="339" spans="2:16">
      <c r="B339" s="22"/>
      <c r="C339" s="22"/>
      <c r="D339" s="22"/>
      <c r="E339" s="24"/>
      <c r="F339" s="24"/>
      <c r="G339" s="23" t="str">
        <f t="shared" si="21"/>
        <v/>
      </c>
      <c r="K339" s="2" t="str">
        <f t="shared" si="22"/>
        <v/>
      </c>
      <c r="L339" s="2" t="str">
        <f t="shared" si="24"/>
        <v/>
      </c>
      <c r="M339" s="2" t="str">
        <f t="shared" si="23"/>
        <v/>
      </c>
      <c r="N339" s="5"/>
      <c r="P339" t="s">
        <v>86</v>
      </c>
    </row>
    <row r="340" spans="2:16">
      <c r="B340" s="22"/>
      <c r="C340" s="22"/>
      <c r="D340" s="22"/>
      <c r="E340" s="24"/>
      <c r="F340" s="24"/>
      <c r="G340" s="23" t="str">
        <f t="shared" si="21"/>
        <v/>
      </c>
      <c r="K340" s="2" t="str">
        <f t="shared" si="22"/>
        <v/>
      </c>
      <c r="L340" s="2" t="str">
        <f t="shared" si="24"/>
        <v/>
      </c>
      <c r="M340" s="2" t="str">
        <f t="shared" si="23"/>
        <v/>
      </c>
      <c r="N340" s="5"/>
      <c r="P340" t="s">
        <v>86</v>
      </c>
    </row>
    <row r="341" spans="2:16">
      <c r="B341" s="22"/>
      <c r="C341" s="22"/>
      <c r="D341" s="22"/>
      <c r="E341" s="24"/>
      <c r="F341" s="24"/>
      <c r="G341" s="23" t="str">
        <f t="shared" si="21"/>
        <v/>
      </c>
      <c r="K341" s="2" t="str">
        <f t="shared" si="22"/>
        <v/>
      </c>
      <c r="L341" s="2" t="str">
        <f t="shared" si="24"/>
        <v/>
      </c>
      <c r="M341" s="2" t="str">
        <f t="shared" si="23"/>
        <v/>
      </c>
      <c r="N341" s="5"/>
      <c r="P341" t="s">
        <v>86</v>
      </c>
    </row>
    <row r="342" spans="2:16">
      <c r="B342" s="22"/>
      <c r="C342" s="22"/>
      <c r="D342" s="22"/>
      <c r="E342" s="24"/>
      <c r="F342" s="24"/>
      <c r="G342" s="23" t="str">
        <f t="shared" si="21"/>
        <v/>
      </c>
      <c r="K342" s="2" t="str">
        <f t="shared" si="22"/>
        <v/>
      </c>
      <c r="L342" s="2" t="str">
        <f t="shared" si="24"/>
        <v/>
      </c>
      <c r="M342" s="2" t="str">
        <f t="shared" si="23"/>
        <v/>
      </c>
      <c r="N342" s="5"/>
      <c r="P342" t="s">
        <v>86</v>
      </c>
    </row>
    <row r="343" spans="2:16">
      <c r="B343" s="22"/>
      <c r="C343" s="22"/>
      <c r="D343" s="22"/>
      <c r="E343" s="24"/>
      <c r="F343" s="24"/>
      <c r="G343" s="23" t="str">
        <f t="shared" si="21"/>
        <v/>
      </c>
      <c r="K343" s="2" t="str">
        <f t="shared" si="22"/>
        <v/>
      </c>
      <c r="L343" s="2" t="str">
        <f t="shared" si="24"/>
        <v/>
      </c>
      <c r="M343" s="2" t="str">
        <f t="shared" si="23"/>
        <v/>
      </c>
      <c r="N343" s="5"/>
      <c r="P343" t="s">
        <v>86</v>
      </c>
    </row>
    <row r="344" spans="2:16">
      <c r="B344" s="22"/>
      <c r="C344" s="22"/>
      <c r="D344" s="22"/>
      <c r="E344" s="24"/>
      <c r="F344" s="24"/>
      <c r="G344" s="23" t="str">
        <f t="shared" si="21"/>
        <v/>
      </c>
      <c r="K344" s="2" t="str">
        <f t="shared" si="22"/>
        <v/>
      </c>
      <c r="L344" s="2" t="str">
        <f t="shared" si="24"/>
        <v/>
      </c>
      <c r="M344" s="2" t="str">
        <f t="shared" si="23"/>
        <v/>
      </c>
      <c r="N344" s="5"/>
      <c r="P344" t="s">
        <v>86</v>
      </c>
    </row>
    <row r="345" spans="2:16">
      <c r="B345" s="22"/>
      <c r="C345" s="22"/>
      <c r="D345" s="22"/>
      <c r="E345" s="24"/>
      <c r="F345" s="24"/>
      <c r="G345" s="23" t="str">
        <f t="shared" si="21"/>
        <v/>
      </c>
      <c r="K345" s="2" t="str">
        <f t="shared" si="22"/>
        <v/>
      </c>
      <c r="L345" s="2" t="str">
        <f t="shared" si="24"/>
        <v/>
      </c>
      <c r="M345" s="2" t="str">
        <f t="shared" si="23"/>
        <v/>
      </c>
      <c r="N345" s="5"/>
      <c r="P345" t="s">
        <v>86</v>
      </c>
    </row>
    <row r="346" spans="2:16">
      <c r="B346" s="22"/>
      <c r="C346" s="22"/>
      <c r="D346" s="22"/>
      <c r="E346" s="24"/>
      <c r="F346" s="24"/>
      <c r="G346" s="23" t="str">
        <f t="shared" si="21"/>
        <v/>
      </c>
      <c r="K346" s="2" t="str">
        <f t="shared" si="22"/>
        <v/>
      </c>
      <c r="L346" s="2" t="str">
        <f t="shared" si="24"/>
        <v/>
      </c>
      <c r="M346" s="2" t="str">
        <f t="shared" si="23"/>
        <v/>
      </c>
      <c r="N346" s="5"/>
      <c r="P346" t="s">
        <v>86</v>
      </c>
    </row>
    <row r="347" spans="2:16">
      <c r="B347" s="22"/>
      <c r="C347" s="22"/>
      <c r="D347" s="22"/>
      <c r="E347" s="24"/>
      <c r="F347" s="24"/>
      <c r="G347" s="23" t="str">
        <f t="shared" si="21"/>
        <v/>
      </c>
      <c r="K347" s="2" t="str">
        <f t="shared" si="22"/>
        <v/>
      </c>
      <c r="L347" s="2" t="str">
        <f t="shared" si="24"/>
        <v/>
      </c>
      <c r="M347" s="2" t="str">
        <f t="shared" si="23"/>
        <v/>
      </c>
      <c r="N347" s="5"/>
      <c r="P347" t="s">
        <v>86</v>
      </c>
    </row>
    <row r="348" spans="2:16">
      <c r="B348" s="22"/>
      <c r="C348" s="22"/>
      <c r="D348" s="22"/>
      <c r="E348" s="24"/>
      <c r="F348" s="24"/>
      <c r="G348" s="23" t="str">
        <f t="shared" si="21"/>
        <v/>
      </c>
      <c r="K348" s="2" t="str">
        <f t="shared" si="22"/>
        <v/>
      </c>
      <c r="L348" s="2" t="str">
        <f t="shared" si="24"/>
        <v/>
      </c>
      <c r="M348" s="2" t="str">
        <f t="shared" si="23"/>
        <v/>
      </c>
      <c r="N348" s="5"/>
      <c r="P348" t="s">
        <v>86</v>
      </c>
    </row>
    <row r="349" spans="2:16">
      <c r="B349" s="22"/>
      <c r="C349" s="22"/>
      <c r="D349" s="22"/>
      <c r="E349" s="24"/>
      <c r="F349" s="24"/>
      <c r="G349" s="23" t="str">
        <f t="shared" si="21"/>
        <v/>
      </c>
      <c r="K349" s="2" t="str">
        <f t="shared" si="22"/>
        <v/>
      </c>
      <c r="L349" s="2" t="str">
        <f t="shared" si="24"/>
        <v/>
      </c>
      <c r="M349" s="2" t="str">
        <f t="shared" si="23"/>
        <v/>
      </c>
      <c r="N349" s="5"/>
      <c r="P349" t="s">
        <v>86</v>
      </c>
    </row>
    <row r="350" spans="2:16">
      <c r="B350" s="22"/>
      <c r="C350" s="22"/>
      <c r="D350" s="22"/>
      <c r="E350" s="24"/>
      <c r="F350" s="24"/>
      <c r="G350" s="23" t="str">
        <f t="shared" si="21"/>
        <v/>
      </c>
      <c r="K350" s="2" t="str">
        <f t="shared" si="22"/>
        <v/>
      </c>
      <c r="L350" s="2" t="str">
        <f t="shared" si="24"/>
        <v/>
      </c>
      <c r="M350" s="2" t="str">
        <f t="shared" si="23"/>
        <v/>
      </c>
      <c r="N350" s="5"/>
      <c r="P350" t="s">
        <v>86</v>
      </c>
    </row>
    <row r="351" spans="2:16">
      <c r="B351" s="22"/>
      <c r="C351" s="22"/>
      <c r="D351" s="22"/>
      <c r="E351" s="24"/>
      <c r="F351" s="24"/>
      <c r="G351" s="23" t="str">
        <f t="shared" si="21"/>
        <v/>
      </c>
      <c r="K351" s="2" t="str">
        <f t="shared" si="22"/>
        <v/>
      </c>
      <c r="L351" s="2" t="str">
        <f t="shared" si="24"/>
        <v/>
      </c>
      <c r="M351" s="2" t="str">
        <f t="shared" si="23"/>
        <v/>
      </c>
      <c r="N351" s="5"/>
      <c r="P351" t="s">
        <v>86</v>
      </c>
    </row>
    <row r="352" spans="2:16">
      <c r="B352" s="22"/>
      <c r="C352" s="22"/>
      <c r="D352" s="22"/>
      <c r="E352" s="24"/>
      <c r="F352" s="24"/>
      <c r="G352" s="23" t="str">
        <f t="shared" si="21"/>
        <v/>
      </c>
      <c r="K352" s="2" t="str">
        <f t="shared" si="22"/>
        <v/>
      </c>
      <c r="L352" s="2" t="str">
        <f t="shared" si="24"/>
        <v/>
      </c>
      <c r="M352" s="2" t="str">
        <f t="shared" si="23"/>
        <v/>
      </c>
      <c r="N352" s="5"/>
      <c r="P352" t="s">
        <v>86</v>
      </c>
    </row>
    <row r="353" spans="2:16">
      <c r="B353" s="22"/>
      <c r="C353" s="22"/>
      <c r="D353" s="22"/>
      <c r="E353" s="24"/>
      <c r="F353" s="24"/>
      <c r="G353" s="23" t="str">
        <f t="shared" si="21"/>
        <v/>
      </c>
      <c r="K353" s="2" t="str">
        <f t="shared" si="22"/>
        <v/>
      </c>
      <c r="L353" s="2" t="str">
        <f t="shared" si="24"/>
        <v/>
      </c>
      <c r="M353" s="2" t="str">
        <f t="shared" si="23"/>
        <v/>
      </c>
      <c r="N353" s="5"/>
      <c r="P353" t="s">
        <v>86</v>
      </c>
    </row>
    <row r="354" spans="2:16">
      <c r="B354" s="22"/>
      <c r="C354" s="22"/>
      <c r="D354" s="22"/>
      <c r="E354" s="24"/>
      <c r="F354" s="24"/>
      <c r="G354" s="23" t="str">
        <f t="shared" si="21"/>
        <v/>
      </c>
      <c r="K354" s="2" t="str">
        <f t="shared" si="22"/>
        <v/>
      </c>
      <c r="L354" s="2" t="str">
        <f t="shared" si="24"/>
        <v/>
      </c>
      <c r="M354" s="2" t="str">
        <f t="shared" si="23"/>
        <v/>
      </c>
      <c r="N354" s="5"/>
      <c r="P354" t="s">
        <v>86</v>
      </c>
    </row>
    <row r="355" spans="2:16">
      <c r="B355" s="22"/>
      <c r="C355" s="22"/>
      <c r="D355" s="22"/>
      <c r="E355" s="24"/>
      <c r="F355" s="24"/>
      <c r="G355" s="23" t="str">
        <f t="shared" si="21"/>
        <v/>
      </c>
      <c r="K355" s="2" t="str">
        <f t="shared" si="22"/>
        <v/>
      </c>
      <c r="L355" s="2" t="str">
        <f t="shared" si="24"/>
        <v/>
      </c>
      <c r="M355" s="2" t="str">
        <f t="shared" si="23"/>
        <v/>
      </c>
      <c r="N355" s="5"/>
      <c r="P355" t="s">
        <v>86</v>
      </c>
    </row>
    <row r="356" spans="2:16">
      <c r="B356" s="22"/>
      <c r="C356" s="22"/>
      <c r="D356" s="22"/>
      <c r="E356" s="24"/>
      <c r="F356" s="24"/>
      <c r="G356" s="23" t="str">
        <f t="shared" si="21"/>
        <v/>
      </c>
      <c r="K356" s="2" t="str">
        <f t="shared" si="22"/>
        <v/>
      </c>
      <c r="L356" s="2" t="str">
        <f t="shared" si="24"/>
        <v/>
      </c>
      <c r="M356" s="2" t="str">
        <f t="shared" si="23"/>
        <v/>
      </c>
      <c r="N356" s="5"/>
      <c r="P356" t="s">
        <v>86</v>
      </c>
    </row>
    <row r="357" spans="2:16">
      <c r="B357" s="22"/>
      <c r="C357" s="22"/>
      <c r="D357" s="22"/>
      <c r="E357" s="24"/>
      <c r="F357" s="24"/>
      <c r="G357" s="23" t="str">
        <f t="shared" si="21"/>
        <v/>
      </c>
      <c r="K357" s="2" t="str">
        <f t="shared" si="22"/>
        <v/>
      </c>
      <c r="L357" s="2" t="str">
        <f t="shared" si="24"/>
        <v/>
      </c>
      <c r="M357" s="2" t="str">
        <f t="shared" si="23"/>
        <v/>
      </c>
      <c r="N357" s="5"/>
      <c r="P357" t="s">
        <v>86</v>
      </c>
    </row>
    <row r="358" spans="2:16">
      <c r="B358" s="22"/>
      <c r="C358" s="22"/>
      <c r="D358" s="22"/>
      <c r="E358" s="24"/>
      <c r="F358" s="24"/>
      <c r="G358" s="23" t="str">
        <f t="shared" si="21"/>
        <v/>
      </c>
      <c r="K358" s="2" t="str">
        <f t="shared" si="22"/>
        <v/>
      </c>
      <c r="L358" s="2" t="str">
        <f t="shared" si="24"/>
        <v/>
      </c>
      <c r="M358" s="2" t="str">
        <f t="shared" si="23"/>
        <v/>
      </c>
      <c r="N358" s="5"/>
      <c r="P358" t="s">
        <v>86</v>
      </c>
    </row>
    <row r="359" spans="2:16">
      <c r="B359" s="22"/>
      <c r="C359" s="22"/>
      <c r="D359" s="22"/>
      <c r="E359" s="24"/>
      <c r="F359" s="24"/>
      <c r="G359" s="23" t="str">
        <f t="shared" si="21"/>
        <v/>
      </c>
      <c r="K359" s="2" t="str">
        <f t="shared" si="22"/>
        <v/>
      </c>
      <c r="L359" s="2" t="str">
        <f t="shared" si="24"/>
        <v/>
      </c>
      <c r="M359" s="2" t="str">
        <f t="shared" si="23"/>
        <v/>
      </c>
      <c r="N359" s="5"/>
      <c r="P359" t="s">
        <v>86</v>
      </c>
    </row>
    <row r="360" spans="2:16">
      <c r="B360" s="22"/>
      <c r="C360" s="22"/>
      <c r="D360" s="22"/>
      <c r="E360" s="24"/>
      <c r="F360" s="24"/>
      <c r="G360" s="23" t="str">
        <f t="shared" si="21"/>
        <v/>
      </c>
      <c r="K360" s="2" t="str">
        <f t="shared" si="22"/>
        <v/>
      </c>
      <c r="L360" s="2" t="str">
        <f t="shared" si="24"/>
        <v/>
      </c>
      <c r="M360" s="2" t="str">
        <f t="shared" si="23"/>
        <v/>
      </c>
      <c r="N360" s="5"/>
      <c r="P360" t="s">
        <v>86</v>
      </c>
    </row>
    <row r="361" spans="2:16">
      <c r="B361" s="22"/>
      <c r="C361" s="22"/>
      <c r="D361" s="22"/>
      <c r="E361" s="24"/>
      <c r="F361" s="24"/>
      <c r="G361" s="23" t="str">
        <f t="shared" si="21"/>
        <v/>
      </c>
      <c r="K361" s="2" t="str">
        <f t="shared" si="22"/>
        <v/>
      </c>
      <c r="L361" s="2" t="str">
        <f t="shared" si="24"/>
        <v/>
      </c>
      <c r="M361" s="2" t="str">
        <f t="shared" si="23"/>
        <v/>
      </c>
      <c r="N361" s="5"/>
      <c r="P361" t="s">
        <v>86</v>
      </c>
    </row>
    <row r="362" spans="2:16">
      <c r="B362" s="22"/>
      <c r="C362" s="22"/>
      <c r="D362" s="22"/>
      <c r="E362" s="24"/>
      <c r="F362" s="24"/>
      <c r="G362" s="23" t="str">
        <f t="shared" si="21"/>
        <v/>
      </c>
      <c r="K362" s="2" t="str">
        <f t="shared" si="22"/>
        <v/>
      </c>
      <c r="L362" s="2" t="str">
        <f t="shared" si="24"/>
        <v/>
      </c>
      <c r="M362" s="2" t="str">
        <f t="shared" si="23"/>
        <v/>
      </c>
      <c r="N362" s="5"/>
      <c r="P362" t="s">
        <v>86</v>
      </c>
    </row>
    <row r="363" spans="2:16">
      <c r="B363" s="22"/>
      <c r="C363" s="22"/>
      <c r="D363" s="22"/>
      <c r="E363" s="24"/>
      <c r="F363" s="24"/>
      <c r="G363" s="23" t="str">
        <f t="shared" si="21"/>
        <v/>
      </c>
      <c r="K363" s="2" t="str">
        <f t="shared" si="22"/>
        <v/>
      </c>
      <c r="L363" s="2" t="str">
        <f t="shared" si="24"/>
        <v/>
      </c>
      <c r="M363" s="2" t="str">
        <f t="shared" si="23"/>
        <v/>
      </c>
      <c r="N363" s="5"/>
      <c r="P363" t="s">
        <v>86</v>
      </c>
    </row>
    <row r="364" spans="2:16">
      <c r="B364" s="22"/>
      <c r="C364" s="22"/>
      <c r="D364" s="22"/>
      <c r="E364" s="24"/>
      <c r="F364" s="24"/>
      <c r="G364" s="23" t="str">
        <f t="shared" si="21"/>
        <v/>
      </c>
      <c r="K364" s="2" t="str">
        <f t="shared" si="22"/>
        <v/>
      </c>
      <c r="L364" s="2" t="str">
        <f t="shared" si="24"/>
        <v/>
      </c>
      <c r="M364" s="2" t="str">
        <f t="shared" si="23"/>
        <v/>
      </c>
      <c r="N364" s="5"/>
      <c r="P364" t="s">
        <v>86</v>
      </c>
    </row>
    <row r="365" spans="2:16">
      <c r="B365" s="22"/>
      <c r="C365" s="22"/>
      <c r="D365" s="22"/>
      <c r="E365" s="24"/>
      <c r="F365" s="24"/>
      <c r="G365" s="23" t="str">
        <f t="shared" si="21"/>
        <v/>
      </c>
      <c r="K365" s="2" t="str">
        <f t="shared" si="22"/>
        <v/>
      </c>
      <c r="L365" s="2" t="str">
        <f t="shared" si="24"/>
        <v/>
      </c>
      <c r="M365" s="2" t="str">
        <f t="shared" si="23"/>
        <v/>
      </c>
      <c r="N365" s="5"/>
      <c r="P365" t="s">
        <v>86</v>
      </c>
    </row>
    <row r="366" spans="2:16">
      <c r="B366" s="22"/>
      <c r="C366" s="22"/>
      <c r="D366" s="22"/>
      <c r="E366" s="24"/>
      <c r="F366" s="24"/>
      <c r="G366" s="23" t="str">
        <f t="shared" si="21"/>
        <v/>
      </c>
      <c r="K366" s="2" t="str">
        <f t="shared" si="22"/>
        <v/>
      </c>
      <c r="L366" s="2" t="str">
        <f t="shared" si="24"/>
        <v/>
      </c>
      <c r="M366" s="2" t="str">
        <f t="shared" si="23"/>
        <v/>
      </c>
      <c r="N366" s="5"/>
      <c r="P366" t="s">
        <v>86</v>
      </c>
    </row>
    <row r="367" spans="2:16">
      <c r="B367" s="22"/>
      <c r="C367" s="22"/>
      <c r="D367" s="22"/>
      <c r="E367" s="24"/>
      <c r="F367" s="24"/>
      <c r="G367" s="23" t="str">
        <f t="shared" si="21"/>
        <v/>
      </c>
      <c r="K367" s="2" t="str">
        <f t="shared" si="22"/>
        <v/>
      </c>
      <c r="L367" s="2" t="str">
        <f t="shared" si="24"/>
        <v/>
      </c>
      <c r="M367" s="2" t="str">
        <f t="shared" si="23"/>
        <v/>
      </c>
      <c r="N367" s="5"/>
      <c r="P367" t="s">
        <v>86</v>
      </c>
    </row>
    <row r="368" spans="2:16">
      <c r="B368" s="22"/>
      <c r="C368" s="22"/>
      <c r="D368" s="22"/>
      <c r="E368" s="24"/>
      <c r="F368" s="24"/>
      <c r="G368" s="23" t="str">
        <f t="shared" si="21"/>
        <v/>
      </c>
      <c r="K368" s="2" t="str">
        <f t="shared" si="22"/>
        <v/>
      </c>
      <c r="L368" s="2" t="str">
        <f t="shared" si="24"/>
        <v/>
      </c>
      <c r="M368" s="2" t="str">
        <f t="shared" si="23"/>
        <v/>
      </c>
      <c r="N368" s="5"/>
      <c r="P368" t="s">
        <v>86</v>
      </c>
    </row>
    <row r="369" spans="2:16">
      <c r="B369" s="22"/>
      <c r="C369" s="22"/>
      <c r="D369" s="22"/>
      <c r="E369" s="24"/>
      <c r="F369" s="24"/>
      <c r="G369" s="23" t="str">
        <f t="shared" si="21"/>
        <v/>
      </c>
      <c r="K369" s="2" t="str">
        <f t="shared" si="22"/>
        <v/>
      </c>
      <c r="L369" s="2" t="str">
        <f t="shared" si="24"/>
        <v/>
      </c>
      <c r="M369" s="2" t="str">
        <f t="shared" si="23"/>
        <v/>
      </c>
      <c r="N369" s="5"/>
      <c r="P369" t="s">
        <v>86</v>
      </c>
    </row>
    <row r="370" spans="2:16">
      <c r="B370" s="22"/>
      <c r="C370" s="22"/>
      <c r="D370" s="22"/>
      <c r="E370" s="24"/>
      <c r="F370" s="24"/>
      <c r="G370" s="23" t="str">
        <f t="shared" si="21"/>
        <v/>
      </c>
      <c r="K370" s="2" t="str">
        <f t="shared" si="22"/>
        <v/>
      </c>
      <c r="L370" s="2" t="str">
        <f t="shared" si="24"/>
        <v/>
      </c>
      <c r="M370" s="2" t="str">
        <f t="shared" si="23"/>
        <v/>
      </c>
      <c r="N370" s="5"/>
      <c r="P370" t="s">
        <v>86</v>
      </c>
    </row>
    <row r="371" spans="2:16">
      <c r="B371" s="22"/>
      <c r="C371" s="22"/>
      <c r="D371" s="22"/>
      <c r="E371" s="24"/>
      <c r="F371" s="24"/>
      <c r="G371" s="23" t="str">
        <f t="shared" si="21"/>
        <v/>
      </c>
      <c r="K371" s="2" t="str">
        <f t="shared" si="22"/>
        <v/>
      </c>
      <c r="L371" s="2" t="str">
        <f t="shared" si="24"/>
        <v/>
      </c>
      <c r="M371" s="2" t="str">
        <f t="shared" si="23"/>
        <v/>
      </c>
      <c r="N371" s="5"/>
      <c r="P371" t="s">
        <v>86</v>
      </c>
    </row>
    <row r="372" spans="2:16">
      <c r="B372" s="22"/>
      <c r="C372" s="22"/>
      <c r="D372" s="22"/>
      <c r="E372" s="24"/>
      <c r="F372" s="24"/>
      <c r="G372" s="23" t="str">
        <f t="shared" si="21"/>
        <v/>
      </c>
      <c r="K372" s="2" t="str">
        <f t="shared" si="22"/>
        <v/>
      </c>
      <c r="L372" s="2" t="str">
        <f t="shared" si="24"/>
        <v/>
      </c>
      <c r="M372" s="2" t="str">
        <f t="shared" si="23"/>
        <v/>
      </c>
      <c r="N372" s="5"/>
      <c r="P372" t="s">
        <v>86</v>
      </c>
    </row>
    <row r="373" spans="2:16">
      <c r="B373" s="22"/>
      <c r="C373" s="22"/>
      <c r="D373" s="22"/>
      <c r="E373" s="24"/>
      <c r="F373" s="24"/>
      <c r="G373" s="23" t="str">
        <f t="shared" si="21"/>
        <v/>
      </c>
      <c r="K373" s="2" t="str">
        <f t="shared" si="22"/>
        <v/>
      </c>
      <c r="L373" s="2" t="str">
        <f t="shared" si="24"/>
        <v/>
      </c>
      <c r="M373" s="2" t="str">
        <f t="shared" si="23"/>
        <v/>
      </c>
      <c r="N373" s="5"/>
      <c r="P373" t="s">
        <v>86</v>
      </c>
    </row>
    <row r="374" spans="2:16">
      <c r="B374" s="22"/>
      <c r="C374" s="22"/>
      <c r="D374" s="22"/>
      <c r="E374" s="24"/>
      <c r="F374" s="24"/>
      <c r="G374" s="23" t="str">
        <f t="shared" si="21"/>
        <v/>
      </c>
      <c r="K374" s="2" t="str">
        <f t="shared" si="22"/>
        <v/>
      </c>
      <c r="L374" s="2" t="str">
        <f t="shared" si="24"/>
        <v/>
      </c>
      <c r="M374" s="2" t="str">
        <f t="shared" si="23"/>
        <v/>
      </c>
      <c r="N374" s="5"/>
      <c r="P374" t="s">
        <v>86</v>
      </c>
    </row>
    <row r="375" spans="2:16">
      <c r="B375" s="22"/>
      <c r="C375" s="22"/>
      <c r="D375" s="22"/>
      <c r="E375" s="24"/>
      <c r="F375" s="24"/>
      <c r="G375" s="23" t="str">
        <f t="shared" si="21"/>
        <v/>
      </c>
      <c r="K375" s="2" t="str">
        <f t="shared" si="22"/>
        <v/>
      </c>
      <c r="L375" s="2" t="str">
        <f t="shared" si="24"/>
        <v/>
      </c>
      <c r="M375" s="2" t="str">
        <f t="shared" si="23"/>
        <v/>
      </c>
      <c r="N375" s="5"/>
      <c r="P375" t="s">
        <v>86</v>
      </c>
    </row>
    <row r="376" spans="2:16">
      <c r="B376" s="22"/>
      <c r="C376" s="22"/>
      <c r="D376" s="22"/>
      <c r="E376" s="24"/>
      <c r="F376" s="24"/>
      <c r="G376" s="23" t="str">
        <f t="shared" si="21"/>
        <v/>
      </c>
      <c r="K376" s="2" t="str">
        <f t="shared" si="22"/>
        <v/>
      </c>
      <c r="L376" s="2" t="str">
        <f t="shared" si="24"/>
        <v/>
      </c>
      <c r="M376" s="2" t="str">
        <f t="shared" si="23"/>
        <v/>
      </c>
      <c r="N376" s="5"/>
      <c r="P376" t="s">
        <v>86</v>
      </c>
    </row>
    <row r="377" spans="2:16">
      <c r="B377" s="22"/>
      <c r="C377" s="22"/>
      <c r="D377" s="22"/>
      <c r="E377" s="24"/>
      <c r="F377" s="24"/>
      <c r="G377" s="23" t="str">
        <f t="shared" si="21"/>
        <v/>
      </c>
      <c r="K377" s="2" t="str">
        <f t="shared" si="22"/>
        <v/>
      </c>
      <c r="L377" s="2" t="str">
        <f t="shared" si="24"/>
        <v/>
      </c>
      <c r="M377" s="2" t="str">
        <f t="shared" si="23"/>
        <v/>
      </c>
      <c r="N377" s="5"/>
      <c r="P377" t="s">
        <v>86</v>
      </c>
    </row>
    <row r="378" spans="2:16">
      <c r="B378" s="22"/>
      <c r="C378" s="22"/>
      <c r="D378" s="22"/>
      <c r="E378" s="24"/>
      <c r="F378" s="24"/>
      <c r="G378" s="23" t="str">
        <f t="shared" si="21"/>
        <v/>
      </c>
      <c r="K378" s="2" t="str">
        <f t="shared" si="22"/>
        <v/>
      </c>
      <c r="L378" s="2" t="str">
        <f t="shared" si="24"/>
        <v/>
      </c>
      <c r="M378" s="2" t="str">
        <f t="shared" si="23"/>
        <v/>
      </c>
      <c r="N378" s="5"/>
      <c r="P378" t="s">
        <v>86</v>
      </c>
    </row>
    <row r="379" spans="2:16">
      <c r="B379" s="22"/>
      <c r="C379" s="22"/>
      <c r="D379" s="22"/>
      <c r="E379" s="24"/>
      <c r="F379" s="24"/>
      <c r="G379" s="23" t="str">
        <f t="shared" si="21"/>
        <v/>
      </c>
      <c r="K379" s="2" t="str">
        <f t="shared" si="22"/>
        <v/>
      </c>
      <c r="L379" s="2" t="str">
        <f t="shared" si="24"/>
        <v/>
      </c>
      <c r="M379" s="2" t="str">
        <f t="shared" si="23"/>
        <v/>
      </c>
      <c r="N379" s="5"/>
      <c r="P379" t="s">
        <v>86</v>
      </c>
    </row>
    <row r="380" spans="2:16">
      <c r="B380" s="22"/>
      <c r="C380" s="22"/>
      <c r="D380" s="22"/>
      <c r="E380" s="24"/>
      <c r="F380" s="24"/>
      <c r="G380" s="23" t="str">
        <f t="shared" si="21"/>
        <v/>
      </c>
      <c r="K380" s="2" t="str">
        <f t="shared" si="22"/>
        <v/>
      </c>
      <c r="L380" s="2" t="str">
        <f t="shared" si="24"/>
        <v/>
      </c>
      <c r="M380" s="2" t="str">
        <f t="shared" si="23"/>
        <v/>
      </c>
      <c r="N380" s="5"/>
      <c r="P380" t="s">
        <v>86</v>
      </c>
    </row>
    <row r="381" spans="2:16">
      <c r="B381" s="22"/>
      <c r="C381" s="22"/>
      <c r="D381" s="22"/>
      <c r="E381" s="24"/>
      <c r="F381" s="24"/>
      <c r="G381" s="23" t="str">
        <f t="shared" si="21"/>
        <v/>
      </c>
      <c r="K381" s="2" t="str">
        <f t="shared" si="22"/>
        <v/>
      </c>
      <c r="L381" s="2" t="str">
        <f t="shared" si="24"/>
        <v/>
      </c>
      <c r="M381" s="2" t="str">
        <f t="shared" si="23"/>
        <v/>
      </c>
      <c r="N381" s="5"/>
      <c r="P381" t="s">
        <v>86</v>
      </c>
    </row>
    <row r="382" spans="2:16">
      <c r="B382" s="22"/>
      <c r="C382" s="22"/>
      <c r="D382" s="22"/>
      <c r="E382" s="24"/>
      <c r="F382" s="24"/>
      <c r="G382" s="23" t="str">
        <f t="shared" si="21"/>
        <v/>
      </c>
      <c r="K382" s="2" t="str">
        <f t="shared" si="22"/>
        <v/>
      </c>
      <c r="L382" s="2" t="str">
        <f t="shared" si="24"/>
        <v/>
      </c>
      <c r="M382" s="2" t="str">
        <f t="shared" si="23"/>
        <v/>
      </c>
      <c r="N382" s="5"/>
      <c r="P382" t="s">
        <v>86</v>
      </c>
    </row>
    <row r="383" spans="2:16">
      <c r="B383" s="22"/>
      <c r="C383" s="22"/>
      <c r="D383" s="22"/>
      <c r="E383" s="24"/>
      <c r="F383" s="24"/>
      <c r="G383" s="23" t="str">
        <f t="shared" si="21"/>
        <v/>
      </c>
      <c r="K383" s="2" t="str">
        <f t="shared" si="22"/>
        <v/>
      </c>
      <c r="L383" s="2" t="str">
        <f t="shared" si="24"/>
        <v/>
      </c>
      <c r="M383" s="2" t="str">
        <f t="shared" si="23"/>
        <v/>
      </c>
      <c r="N383" s="5"/>
      <c r="P383" t="s">
        <v>86</v>
      </c>
    </row>
    <row r="384" spans="2:16">
      <c r="B384" s="22"/>
      <c r="C384" s="22"/>
      <c r="D384" s="22"/>
      <c r="E384" s="24"/>
      <c r="F384" s="24"/>
      <c r="G384" s="23" t="str">
        <f t="shared" si="21"/>
        <v/>
      </c>
      <c r="K384" s="2" t="str">
        <f t="shared" si="22"/>
        <v/>
      </c>
      <c r="L384" s="2" t="str">
        <f t="shared" si="24"/>
        <v/>
      </c>
      <c r="M384" s="2" t="str">
        <f t="shared" si="23"/>
        <v/>
      </c>
      <c r="N384" s="5"/>
      <c r="P384" t="s">
        <v>86</v>
      </c>
    </row>
    <row r="385" spans="2:16">
      <c r="B385" s="22"/>
      <c r="C385" s="22"/>
      <c r="D385" s="22"/>
      <c r="E385" s="24"/>
      <c r="F385" s="24"/>
      <c r="G385" s="23" t="str">
        <f t="shared" si="21"/>
        <v/>
      </c>
      <c r="K385" s="2" t="str">
        <f t="shared" si="22"/>
        <v/>
      </c>
      <c r="L385" s="2" t="str">
        <f t="shared" si="24"/>
        <v/>
      </c>
      <c r="M385" s="2" t="str">
        <f t="shared" si="23"/>
        <v/>
      </c>
      <c r="N385" s="5"/>
      <c r="P385" t="s">
        <v>86</v>
      </c>
    </row>
    <row r="386" spans="2:16">
      <c r="B386" s="22"/>
      <c r="C386" s="22"/>
      <c r="D386" s="22"/>
      <c r="E386" s="24"/>
      <c r="F386" s="24"/>
      <c r="G386" s="23" t="str">
        <f t="shared" si="21"/>
        <v/>
      </c>
      <c r="K386" s="2" t="str">
        <f t="shared" si="22"/>
        <v/>
      </c>
      <c r="L386" s="2" t="str">
        <f t="shared" si="24"/>
        <v/>
      </c>
      <c r="M386" s="2" t="str">
        <f t="shared" si="23"/>
        <v/>
      </c>
      <c r="N386" s="5"/>
      <c r="P386" t="s">
        <v>86</v>
      </c>
    </row>
    <row r="387" spans="2:16">
      <c r="B387" s="22"/>
      <c r="C387" s="22"/>
      <c r="D387" s="22"/>
      <c r="E387" s="24"/>
      <c r="F387" s="24"/>
      <c r="G387" s="23" t="str">
        <f t="shared" si="21"/>
        <v/>
      </c>
      <c r="K387" s="2" t="str">
        <f t="shared" si="22"/>
        <v/>
      </c>
      <c r="L387" s="2" t="str">
        <f t="shared" si="24"/>
        <v/>
      </c>
      <c r="M387" s="2" t="str">
        <f t="shared" si="23"/>
        <v/>
      </c>
      <c r="N387" s="5"/>
      <c r="P387" t="s">
        <v>86</v>
      </c>
    </row>
    <row r="388" spans="2:16">
      <c r="B388" s="22"/>
      <c r="C388" s="22"/>
      <c r="D388" s="22"/>
      <c r="E388" s="24"/>
      <c r="F388" s="24"/>
      <c r="G388" s="23" t="str">
        <f t="shared" ref="G388:G451" si="25">IF(AND(D388=E388,E388=F388),"",IF(AND(F388="",D388=E388),"",IF(AND(D388="",E388=F388),"",IF(AND(E388="",D388=F388),"","불일치"))))</f>
        <v/>
      </c>
      <c r="K388" s="2" t="str">
        <f t="shared" ref="K388:K451" si="26">+IF(D388="","",+D388)</f>
        <v/>
      </c>
      <c r="L388" s="2" t="str">
        <f t="shared" si="24"/>
        <v/>
      </c>
      <c r="M388" s="2" t="str">
        <f t="shared" ref="M388:M451" si="27">IF(B388="","",IF(COUNTIF($K$3:$K$295,K388)&gt;1,"동명",""))</f>
        <v/>
      </c>
      <c r="N388" s="5"/>
      <c r="P388" t="s">
        <v>86</v>
      </c>
    </row>
    <row r="389" spans="2:16">
      <c r="B389" s="22"/>
      <c r="C389" s="22"/>
      <c r="D389" s="22"/>
      <c r="E389" s="24"/>
      <c r="F389" s="24"/>
      <c r="G389" s="23" t="str">
        <f t="shared" si="25"/>
        <v/>
      </c>
      <c r="K389" s="2" t="str">
        <f t="shared" si="26"/>
        <v/>
      </c>
      <c r="L389" s="2" t="str">
        <f t="shared" si="24"/>
        <v/>
      </c>
      <c r="M389" s="2" t="str">
        <f t="shared" si="27"/>
        <v/>
      </c>
      <c r="N389" s="5"/>
      <c r="P389" t="s">
        <v>86</v>
      </c>
    </row>
    <row r="390" spans="2:16">
      <c r="B390" s="22"/>
      <c r="C390" s="22"/>
      <c r="D390" s="22"/>
      <c r="E390" s="24"/>
      <c r="F390" s="24"/>
      <c r="G390" s="23" t="str">
        <f t="shared" si="25"/>
        <v/>
      </c>
      <c r="K390" s="2" t="str">
        <f t="shared" si="26"/>
        <v/>
      </c>
      <c r="L390" s="2" t="str">
        <f t="shared" ref="L390:L453" si="28">RIGHT(K390,2)</f>
        <v/>
      </c>
      <c r="M390" s="2" t="str">
        <f t="shared" si="27"/>
        <v/>
      </c>
      <c r="N390" s="5"/>
      <c r="P390" t="s">
        <v>86</v>
      </c>
    </row>
    <row r="391" spans="2:16">
      <c r="B391" s="22"/>
      <c r="C391" s="22"/>
      <c r="D391" s="22"/>
      <c r="E391" s="24"/>
      <c r="F391" s="24"/>
      <c r="G391" s="23" t="str">
        <f t="shared" si="25"/>
        <v/>
      </c>
      <c r="K391" s="2" t="str">
        <f t="shared" si="26"/>
        <v/>
      </c>
      <c r="L391" s="2" t="str">
        <f t="shared" si="28"/>
        <v/>
      </c>
      <c r="M391" s="2" t="str">
        <f t="shared" si="27"/>
        <v/>
      </c>
      <c r="N391" s="5"/>
      <c r="P391" t="s">
        <v>86</v>
      </c>
    </row>
    <row r="392" spans="2:16">
      <c r="B392" s="22"/>
      <c r="C392" s="22"/>
      <c r="D392" s="22"/>
      <c r="E392" s="24"/>
      <c r="F392" s="24"/>
      <c r="G392" s="23" t="str">
        <f t="shared" si="25"/>
        <v/>
      </c>
      <c r="K392" s="2" t="str">
        <f t="shared" si="26"/>
        <v/>
      </c>
      <c r="L392" s="2" t="str">
        <f t="shared" si="28"/>
        <v/>
      </c>
      <c r="M392" s="2" t="str">
        <f t="shared" si="27"/>
        <v/>
      </c>
      <c r="N392" s="5"/>
      <c r="P392" t="s">
        <v>86</v>
      </c>
    </row>
    <row r="393" spans="2:16">
      <c r="B393" s="22"/>
      <c r="C393" s="22"/>
      <c r="D393" s="22"/>
      <c r="E393" s="24"/>
      <c r="F393" s="24"/>
      <c r="G393" s="23" t="str">
        <f t="shared" si="25"/>
        <v/>
      </c>
      <c r="K393" s="2" t="str">
        <f t="shared" si="26"/>
        <v/>
      </c>
      <c r="L393" s="2" t="str">
        <f t="shared" si="28"/>
        <v/>
      </c>
      <c r="M393" s="2" t="str">
        <f t="shared" si="27"/>
        <v/>
      </c>
      <c r="N393" s="5"/>
      <c r="P393" t="s">
        <v>86</v>
      </c>
    </row>
    <row r="394" spans="2:16">
      <c r="B394" s="22"/>
      <c r="C394" s="22"/>
      <c r="D394" s="22"/>
      <c r="E394" s="24"/>
      <c r="F394" s="24"/>
      <c r="G394" s="23" t="str">
        <f t="shared" si="25"/>
        <v/>
      </c>
      <c r="K394" s="2" t="str">
        <f t="shared" si="26"/>
        <v/>
      </c>
      <c r="L394" s="2" t="str">
        <f t="shared" si="28"/>
        <v/>
      </c>
      <c r="M394" s="2" t="str">
        <f t="shared" si="27"/>
        <v/>
      </c>
      <c r="N394" s="5"/>
      <c r="P394" t="s">
        <v>86</v>
      </c>
    </row>
    <row r="395" spans="2:16">
      <c r="B395" s="22"/>
      <c r="C395" s="22"/>
      <c r="D395" s="22"/>
      <c r="E395" s="24"/>
      <c r="F395" s="24"/>
      <c r="G395" s="23" t="str">
        <f t="shared" si="25"/>
        <v/>
      </c>
      <c r="K395" s="2" t="str">
        <f t="shared" si="26"/>
        <v/>
      </c>
      <c r="L395" s="2" t="str">
        <f t="shared" si="28"/>
        <v/>
      </c>
      <c r="M395" s="2" t="str">
        <f t="shared" si="27"/>
        <v/>
      </c>
      <c r="N395" s="5"/>
      <c r="P395" t="s">
        <v>86</v>
      </c>
    </row>
    <row r="396" spans="2:16">
      <c r="B396" s="22"/>
      <c r="C396" s="22"/>
      <c r="D396" s="22"/>
      <c r="E396" s="24"/>
      <c r="F396" s="24"/>
      <c r="G396" s="23" t="str">
        <f t="shared" si="25"/>
        <v/>
      </c>
      <c r="K396" s="2" t="str">
        <f t="shared" si="26"/>
        <v/>
      </c>
      <c r="L396" s="2" t="str">
        <f t="shared" si="28"/>
        <v/>
      </c>
      <c r="M396" s="2" t="str">
        <f t="shared" si="27"/>
        <v/>
      </c>
      <c r="N396" s="5"/>
      <c r="P396" t="s">
        <v>86</v>
      </c>
    </row>
    <row r="397" spans="2:16">
      <c r="B397" s="22"/>
      <c r="C397" s="22"/>
      <c r="D397" s="22"/>
      <c r="E397" s="24"/>
      <c r="F397" s="24"/>
      <c r="G397" s="23" t="str">
        <f t="shared" si="25"/>
        <v/>
      </c>
      <c r="K397" s="2" t="str">
        <f t="shared" si="26"/>
        <v/>
      </c>
      <c r="L397" s="2" t="str">
        <f t="shared" si="28"/>
        <v/>
      </c>
      <c r="M397" s="2" t="str">
        <f t="shared" si="27"/>
        <v/>
      </c>
      <c r="N397" s="5"/>
      <c r="P397" t="s">
        <v>86</v>
      </c>
    </row>
    <row r="398" spans="2:16">
      <c r="B398" s="22"/>
      <c r="C398" s="22"/>
      <c r="D398" s="22"/>
      <c r="E398" s="24"/>
      <c r="F398" s="24"/>
      <c r="G398" s="23" t="str">
        <f t="shared" si="25"/>
        <v/>
      </c>
      <c r="K398" s="2" t="str">
        <f t="shared" si="26"/>
        <v/>
      </c>
      <c r="L398" s="2" t="str">
        <f t="shared" si="28"/>
        <v/>
      </c>
      <c r="M398" s="2" t="str">
        <f t="shared" si="27"/>
        <v/>
      </c>
      <c r="N398" s="5"/>
      <c r="P398" t="s">
        <v>86</v>
      </c>
    </row>
    <row r="399" spans="2:16">
      <c r="B399" s="22"/>
      <c r="C399" s="22"/>
      <c r="D399" s="22"/>
      <c r="E399" s="24"/>
      <c r="F399" s="24"/>
      <c r="G399" s="23" t="str">
        <f t="shared" si="25"/>
        <v/>
      </c>
      <c r="K399" s="2" t="str">
        <f t="shared" si="26"/>
        <v/>
      </c>
      <c r="L399" s="2" t="str">
        <f t="shared" si="28"/>
        <v/>
      </c>
      <c r="M399" s="2" t="str">
        <f t="shared" si="27"/>
        <v/>
      </c>
      <c r="N399" s="5"/>
      <c r="P399" t="s">
        <v>86</v>
      </c>
    </row>
    <row r="400" spans="2:16">
      <c r="B400" s="22"/>
      <c r="C400" s="22"/>
      <c r="D400" s="22"/>
      <c r="E400" s="24"/>
      <c r="F400" s="24"/>
      <c r="G400" s="23" t="str">
        <f t="shared" si="25"/>
        <v/>
      </c>
      <c r="K400" s="2" t="str">
        <f t="shared" si="26"/>
        <v/>
      </c>
      <c r="L400" s="2" t="str">
        <f t="shared" si="28"/>
        <v/>
      </c>
      <c r="M400" s="2" t="str">
        <f t="shared" si="27"/>
        <v/>
      </c>
      <c r="N400" s="5"/>
      <c r="P400" t="s">
        <v>86</v>
      </c>
    </row>
    <row r="401" spans="2:16">
      <c r="B401" s="22"/>
      <c r="C401" s="22"/>
      <c r="D401" s="22"/>
      <c r="E401" s="24"/>
      <c r="F401" s="24"/>
      <c r="G401" s="23" t="str">
        <f t="shared" si="25"/>
        <v/>
      </c>
      <c r="K401" s="2" t="str">
        <f t="shared" si="26"/>
        <v/>
      </c>
      <c r="L401" s="2" t="str">
        <f t="shared" si="28"/>
        <v/>
      </c>
      <c r="M401" s="2" t="str">
        <f t="shared" si="27"/>
        <v/>
      </c>
      <c r="N401" s="5"/>
      <c r="P401" t="s">
        <v>86</v>
      </c>
    </row>
    <row r="402" spans="2:16">
      <c r="B402" s="22"/>
      <c r="C402" s="22"/>
      <c r="D402" s="22"/>
      <c r="E402" s="24"/>
      <c r="F402" s="24"/>
      <c r="G402" s="23" t="str">
        <f t="shared" si="25"/>
        <v/>
      </c>
      <c r="K402" s="2" t="str">
        <f t="shared" si="26"/>
        <v/>
      </c>
      <c r="L402" s="2" t="str">
        <f t="shared" si="28"/>
        <v/>
      </c>
      <c r="M402" s="2" t="str">
        <f t="shared" si="27"/>
        <v/>
      </c>
      <c r="N402" s="5"/>
      <c r="P402" t="s">
        <v>86</v>
      </c>
    </row>
    <row r="403" spans="2:16">
      <c r="B403" s="22"/>
      <c r="C403" s="22"/>
      <c r="D403" s="22"/>
      <c r="E403" s="24"/>
      <c r="F403" s="24"/>
      <c r="G403" s="23" t="str">
        <f t="shared" si="25"/>
        <v/>
      </c>
      <c r="K403" s="2" t="str">
        <f t="shared" si="26"/>
        <v/>
      </c>
      <c r="L403" s="2" t="str">
        <f t="shared" si="28"/>
        <v/>
      </c>
      <c r="M403" s="2" t="str">
        <f t="shared" si="27"/>
        <v/>
      </c>
      <c r="N403" s="5"/>
      <c r="P403" t="s">
        <v>86</v>
      </c>
    </row>
    <row r="404" spans="2:16">
      <c r="B404" s="22"/>
      <c r="C404" s="22"/>
      <c r="D404" s="22"/>
      <c r="E404" s="24"/>
      <c r="F404" s="24"/>
      <c r="G404" s="23" t="str">
        <f t="shared" si="25"/>
        <v/>
      </c>
      <c r="K404" s="2" t="str">
        <f t="shared" si="26"/>
        <v/>
      </c>
      <c r="L404" s="2" t="str">
        <f t="shared" si="28"/>
        <v/>
      </c>
      <c r="M404" s="2" t="str">
        <f t="shared" si="27"/>
        <v/>
      </c>
      <c r="N404" s="5"/>
      <c r="P404" t="s">
        <v>86</v>
      </c>
    </row>
    <row r="405" spans="2:16">
      <c r="B405" s="22"/>
      <c r="C405" s="22"/>
      <c r="D405" s="22"/>
      <c r="E405" s="24"/>
      <c r="F405" s="24"/>
      <c r="G405" s="23" t="str">
        <f t="shared" si="25"/>
        <v/>
      </c>
      <c r="K405" s="2" t="str">
        <f t="shared" si="26"/>
        <v/>
      </c>
      <c r="L405" s="2" t="str">
        <f t="shared" si="28"/>
        <v/>
      </c>
      <c r="M405" s="2" t="str">
        <f t="shared" si="27"/>
        <v/>
      </c>
      <c r="N405" s="5"/>
      <c r="P405" t="s">
        <v>86</v>
      </c>
    </row>
    <row r="406" spans="2:16">
      <c r="B406" s="22"/>
      <c r="C406" s="22"/>
      <c r="D406" s="22"/>
      <c r="E406" s="24"/>
      <c r="F406" s="24"/>
      <c r="G406" s="23" t="str">
        <f t="shared" si="25"/>
        <v/>
      </c>
      <c r="K406" s="2" t="str">
        <f t="shared" si="26"/>
        <v/>
      </c>
      <c r="L406" s="2" t="str">
        <f t="shared" si="28"/>
        <v/>
      </c>
      <c r="M406" s="2" t="str">
        <f t="shared" si="27"/>
        <v/>
      </c>
      <c r="N406" s="5"/>
      <c r="P406" t="s">
        <v>86</v>
      </c>
    </row>
    <row r="407" spans="2:16">
      <c r="B407" s="22"/>
      <c r="C407" s="22"/>
      <c r="D407" s="22"/>
      <c r="E407" s="24"/>
      <c r="F407" s="24"/>
      <c r="G407" s="23" t="str">
        <f t="shared" si="25"/>
        <v/>
      </c>
      <c r="K407" s="2" t="str">
        <f t="shared" si="26"/>
        <v/>
      </c>
      <c r="L407" s="2" t="str">
        <f t="shared" si="28"/>
        <v/>
      </c>
      <c r="M407" s="2" t="str">
        <f t="shared" si="27"/>
        <v/>
      </c>
      <c r="N407" s="5"/>
      <c r="P407" t="s">
        <v>86</v>
      </c>
    </row>
    <row r="408" spans="2:16">
      <c r="B408" s="22"/>
      <c r="C408" s="22"/>
      <c r="D408" s="22"/>
      <c r="E408" s="24"/>
      <c r="F408" s="24"/>
      <c r="G408" s="23" t="str">
        <f t="shared" si="25"/>
        <v/>
      </c>
      <c r="K408" s="2" t="str">
        <f t="shared" si="26"/>
        <v/>
      </c>
      <c r="L408" s="2" t="str">
        <f t="shared" si="28"/>
        <v/>
      </c>
      <c r="M408" s="2" t="str">
        <f t="shared" si="27"/>
        <v/>
      </c>
      <c r="N408" s="5"/>
      <c r="P408" t="s">
        <v>86</v>
      </c>
    </row>
    <row r="409" spans="2:16">
      <c r="B409" s="22"/>
      <c r="C409" s="22"/>
      <c r="D409" s="22"/>
      <c r="E409" s="24"/>
      <c r="F409" s="24"/>
      <c r="G409" s="23" t="str">
        <f t="shared" si="25"/>
        <v/>
      </c>
      <c r="K409" s="2" t="str">
        <f t="shared" si="26"/>
        <v/>
      </c>
      <c r="L409" s="2" t="str">
        <f t="shared" si="28"/>
        <v/>
      </c>
      <c r="M409" s="2" t="str">
        <f t="shared" si="27"/>
        <v/>
      </c>
      <c r="N409" s="5"/>
      <c r="P409" t="s">
        <v>86</v>
      </c>
    </row>
    <row r="410" spans="2:16">
      <c r="B410" s="22"/>
      <c r="C410" s="22"/>
      <c r="D410" s="22"/>
      <c r="E410" s="24"/>
      <c r="F410" s="24"/>
      <c r="G410" s="23" t="str">
        <f t="shared" si="25"/>
        <v/>
      </c>
      <c r="K410" s="2" t="str">
        <f t="shared" si="26"/>
        <v/>
      </c>
      <c r="L410" s="2" t="str">
        <f t="shared" si="28"/>
        <v/>
      </c>
      <c r="M410" s="2" t="str">
        <f t="shared" si="27"/>
        <v/>
      </c>
      <c r="N410" s="5"/>
      <c r="P410" t="s">
        <v>86</v>
      </c>
    </row>
    <row r="411" spans="2:16">
      <c r="B411" s="22"/>
      <c r="C411" s="22"/>
      <c r="D411" s="22"/>
      <c r="E411" s="24"/>
      <c r="F411" s="24"/>
      <c r="G411" s="23" t="str">
        <f t="shared" si="25"/>
        <v/>
      </c>
      <c r="K411" s="2" t="str">
        <f t="shared" si="26"/>
        <v/>
      </c>
      <c r="L411" s="2" t="str">
        <f t="shared" si="28"/>
        <v/>
      </c>
      <c r="M411" s="2" t="str">
        <f t="shared" si="27"/>
        <v/>
      </c>
      <c r="N411" s="5"/>
      <c r="P411" t="s">
        <v>86</v>
      </c>
    </row>
    <row r="412" spans="2:16">
      <c r="B412" s="22"/>
      <c r="C412" s="22"/>
      <c r="D412" s="22"/>
      <c r="E412" s="24"/>
      <c r="F412" s="24"/>
      <c r="G412" s="23" t="str">
        <f t="shared" si="25"/>
        <v/>
      </c>
      <c r="K412" s="2" t="str">
        <f t="shared" si="26"/>
        <v/>
      </c>
      <c r="L412" s="2" t="str">
        <f t="shared" si="28"/>
        <v/>
      </c>
      <c r="M412" s="2" t="str">
        <f t="shared" si="27"/>
        <v/>
      </c>
      <c r="N412" s="5"/>
      <c r="P412" t="s">
        <v>86</v>
      </c>
    </row>
    <row r="413" spans="2:16">
      <c r="B413" s="22"/>
      <c r="C413" s="22"/>
      <c r="D413" s="22"/>
      <c r="E413" s="24"/>
      <c r="F413" s="24"/>
      <c r="G413" s="23" t="str">
        <f t="shared" si="25"/>
        <v/>
      </c>
      <c r="K413" s="2" t="str">
        <f t="shared" si="26"/>
        <v/>
      </c>
      <c r="L413" s="2" t="str">
        <f t="shared" si="28"/>
        <v/>
      </c>
      <c r="M413" s="2" t="str">
        <f t="shared" si="27"/>
        <v/>
      </c>
      <c r="N413" s="5"/>
      <c r="P413" t="s">
        <v>86</v>
      </c>
    </row>
    <row r="414" spans="2:16">
      <c r="B414" s="22"/>
      <c r="C414" s="22"/>
      <c r="D414" s="22"/>
      <c r="E414" s="24"/>
      <c r="F414" s="24"/>
      <c r="G414" s="23" t="str">
        <f t="shared" si="25"/>
        <v/>
      </c>
      <c r="K414" s="2" t="str">
        <f t="shared" si="26"/>
        <v/>
      </c>
      <c r="L414" s="2" t="str">
        <f t="shared" si="28"/>
        <v/>
      </c>
      <c r="M414" s="2" t="str">
        <f t="shared" si="27"/>
        <v/>
      </c>
      <c r="N414" s="5"/>
      <c r="P414" t="s">
        <v>86</v>
      </c>
    </row>
    <row r="415" spans="2:16">
      <c r="B415" s="22"/>
      <c r="C415" s="22"/>
      <c r="D415" s="22"/>
      <c r="E415" s="24"/>
      <c r="F415" s="24"/>
      <c r="G415" s="23" t="str">
        <f t="shared" si="25"/>
        <v/>
      </c>
      <c r="K415" s="2" t="str">
        <f t="shared" si="26"/>
        <v/>
      </c>
      <c r="L415" s="2" t="str">
        <f t="shared" si="28"/>
        <v/>
      </c>
      <c r="M415" s="2" t="str">
        <f t="shared" si="27"/>
        <v/>
      </c>
      <c r="N415" s="5"/>
      <c r="P415" t="s">
        <v>86</v>
      </c>
    </row>
    <row r="416" spans="2:16">
      <c r="B416" s="22"/>
      <c r="C416" s="22"/>
      <c r="D416" s="22"/>
      <c r="E416" s="24"/>
      <c r="F416" s="24"/>
      <c r="G416" s="23" t="str">
        <f t="shared" si="25"/>
        <v/>
      </c>
      <c r="K416" s="2" t="str">
        <f t="shared" si="26"/>
        <v/>
      </c>
      <c r="L416" s="2" t="str">
        <f t="shared" si="28"/>
        <v/>
      </c>
      <c r="M416" s="2" t="str">
        <f t="shared" si="27"/>
        <v/>
      </c>
      <c r="N416" s="5"/>
      <c r="P416" t="s">
        <v>86</v>
      </c>
    </row>
    <row r="417" spans="2:16">
      <c r="B417" s="22"/>
      <c r="C417" s="22"/>
      <c r="D417" s="22"/>
      <c r="E417" s="24"/>
      <c r="F417" s="24"/>
      <c r="G417" s="23" t="str">
        <f t="shared" si="25"/>
        <v/>
      </c>
      <c r="K417" s="2" t="str">
        <f t="shared" si="26"/>
        <v/>
      </c>
      <c r="L417" s="2" t="str">
        <f t="shared" si="28"/>
        <v/>
      </c>
      <c r="M417" s="2" t="str">
        <f t="shared" si="27"/>
        <v/>
      </c>
      <c r="N417" s="5"/>
      <c r="P417" t="s">
        <v>86</v>
      </c>
    </row>
    <row r="418" spans="2:16">
      <c r="B418" s="22"/>
      <c r="C418" s="22"/>
      <c r="D418" s="22"/>
      <c r="E418" s="24"/>
      <c r="F418" s="24"/>
      <c r="G418" s="23" t="str">
        <f t="shared" si="25"/>
        <v/>
      </c>
      <c r="K418" s="2" t="str">
        <f t="shared" si="26"/>
        <v/>
      </c>
      <c r="L418" s="2" t="str">
        <f t="shared" si="28"/>
        <v/>
      </c>
      <c r="M418" s="2" t="str">
        <f t="shared" si="27"/>
        <v/>
      </c>
      <c r="N418" s="5"/>
      <c r="P418" t="s">
        <v>86</v>
      </c>
    </row>
    <row r="419" spans="2:16">
      <c r="B419" s="22"/>
      <c r="C419" s="22"/>
      <c r="D419" s="22"/>
      <c r="E419" s="24"/>
      <c r="F419" s="24"/>
      <c r="G419" s="23" t="str">
        <f t="shared" si="25"/>
        <v/>
      </c>
      <c r="K419" s="2" t="str">
        <f t="shared" si="26"/>
        <v/>
      </c>
      <c r="L419" s="2" t="str">
        <f t="shared" si="28"/>
        <v/>
      </c>
      <c r="M419" s="2" t="str">
        <f t="shared" si="27"/>
        <v/>
      </c>
      <c r="N419" s="5"/>
      <c r="P419" t="s">
        <v>86</v>
      </c>
    </row>
    <row r="420" spans="2:16">
      <c r="B420" s="22"/>
      <c r="C420" s="22"/>
      <c r="D420" s="22"/>
      <c r="E420" s="24"/>
      <c r="F420" s="24"/>
      <c r="G420" s="23" t="str">
        <f t="shared" si="25"/>
        <v/>
      </c>
      <c r="K420" s="2" t="str">
        <f t="shared" si="26"/>
        <v/>
      </c>
      <c r="L420" s="2" t="str">
        <f t="shared" si="28"/>
        <v/>
      </c>
      <c r="M420" s="2" t="str">
        <f t="shared" si="27"/>
        <v/>
      </c>
      <c r="N420" s="5"/>
      <c r="P420" t="s">
        <v>86</v>
      </c>
    </row>
    <row r="421" spans="2:16">
      <c r="B421" s="22"/>
      <c r="C421" s="22"/>
      <c r="D421" s="22"/>
      <c r="E421" s="24"/>
      <c r="F421" s="24"/>
      <c r="G421" s="23" t="str">
        <f t="shared" si="25"/>
        <v/>
      </c>
      <c r="K421" s="2" t="str">
        <f t="shared" si="26"/>
        <v/>
      </c>
      <c r="L421" s="2" t="str">
        <f t="shared" si="28"/>
        <v/>
      </c>
      <c r="M421" s="2" t="str">
        <f t="shared" si="27"/>
        <v/>
      </c>
      <c r="N421" s="5"/>
      <c r="P421" t="s">
        <v>86</v>
      </c>
    </row>
    <row r="422" spans="2:16">
      <c r="B422" s="22"/>
      <c r="C422" s="22"/>
      <c r="D422" s="22"/>
      <c r="E422" s="24"/>
      <c r="F422" s="24"/>
      <c r="G422" s="23" t="str">
        <f t="shared" si="25"/>
        <v/>
      </c>
      <c r="K422" s="2" t="str">
        <f t="shared" si="26"/>
        <v/>
      </c>
      <c r="L422" s="2" t="str">
        <f t="shared" si="28"/>
        <v/>
      </c>
      <c r="M422" s="2" t="str">
        <f t="shared" si="27"/>
        <v/>
      </c>
      <c r="N422" s="5"/>
      <c r="P422" t="s">
        <v>86</v>
      </c>
    </row>
    <row r="423" spans="2:16">
      <c r="B423" s="22"/>
      <c r="C423" s="22"/>
      <c r="D423" s="22"/>
      <c r="E423" s="24"/>
      <c r="F423" s="24"/>
      <c r="G423" s="23" t="str">
        <f t="shared" si="25"/>
        <v/>
      </c>
      <c r="K423" s="2" t="str">
        <f t="shared" si="26"/>
        <v/>
      </c>
      <c r="L423" s="2" t="str">
        <f t="shared" si="28"/>
        <v/>
      </c>
      <c r="M423" s="2" t="str">
        <f t="shared" si="27"/>
        <v/>
      </c>
      <c r="N423" s="5"/>
      <c r="P423" t="s">
        <v>86</v>
      </c>
    </row>
    <row r="424" spans="2:16">
      <c r="B424" s="22"/>
      <c r="C424" s="22"/>
      <c r="D424" s="22"/>
      <c r="E424" s="24"/>
      <c r="F424" s="24"/>
      <c r="G424" s="23" t="str">
        <f t="shared" si="25"/>
        <v/>
      </c>
      <c r="K424" s="2" t="str">
        <f t="shared" si="26"/>
        <v/>
      </c>
      <c r="L424" s="2" t="str">
        <f t="shared" si="28"/>
        <v/>
      </c>
      <c r="M424" s="2" t="str">
        <f t="shared" si="27"/>
        <v/>
      </c>
      <c r="N424" s="5"/>
      <c r="P424" t="s">
        <v>86</v>
      </c>
    </row>
    <row r="425" spans="2:16">
      <c r="B425" s="22"/>
      <c r="C425" s="22"/>
      <c r="D425" s="22"/>
      <c r="E425" s="24"/>
      <c r="F425" s="24"/>
      <c r="G425" s="23" t="str">
        <f t="shared" si="25"/>
        <v/>
      </c>
      <c r="K425" s="2" t="str">
        <f t="shared" si="26"/>
        <v/>
      </c>
      <c r="L425" s="2" t="str">
        <f t="shared" si="28"/>
        <v/>
      </c>
      <c r="M425" s="2" t="str">
        <f t="shared" si="27"/>
        <v/>
      </c>
      <c r="N425" s="5"/>
      <c r="P425" t="s">
        <v>86</v>
      </c>
    </row>
    <row r="426" spans="2:16">
      <c r="B426" s="22"/>
      <c r="C426" s="22"/>
      <c r="D426" s="22"/>
      <c r="E426" s="24"/>
      <c r="F426" s="24"/>
      <c r="G426" s="23" t="str">
        <f t="shared" si="25"/>
        <v/>
      </c>
      <c r="K426" s="2" t="str">
        <f t="shared" si="26"/>
        <v/>
      </c>
      <c r="L426" s="2" t="str">
        <f t="shared" si="28"/>
        <v/>
      </c>
      <c r="M426" s="2" t="str">
        <f t="shared" si="27"/>
        <v/>
      </c>
      <c r="N426" s="5"/>
      <c r="P426" t="s">
        <v>86</v>
      </c>
    </row>
    <row r="427" spans="2:16">
      <c r="B427" s="22"/>
      <c r="C427" s="22"/>
      <c r="D427" s="22"/>
      <c r="E427" s="24"/>
      <c r="F427" s="24"/>
      <c r="G427" s="23" t="str">
        <f t="shared" si="25"/>
        <v/>
      </c>
      <c r="K427" s="2" t="str">
        <f t="shared" si="26"/>
        <v/>
      </c>
      <c r="L427" s="2" t="str">
        <f t="shared" si="28"/>
        <v/>
      </c>
      <c r="M427" s="2" t="str">
        <f t="shared" si="27"/>
        <v/>
      </c>
      <c r="N427" s="5"/>
      <c r="P427" t="s">
        <v>86</v>
      </c>
    </row>
    <row r="428" spans="2:16">
      <c r="B428" s="22"/>
      <c r="C428" s="22"/>
      <c r="D428" s="22"/>
      <c r="E428" s="24"/>
      <c r="F428" s="24"/>
      <c r="G428" s="23" t="str">
        <f t="shared" si="25"/>
        <v/>
      </c>
      <c r="K428" s="2" t="str">
        <f t="shared" si="26"/>
        <v/>
      </c>
      <c r="L428" s="2" t="str">
        <f t="shared" si="28"/>
        <v/>
      </c>
      <c r="M428" s="2" t="str">
        <f t="shared" si="27"/>
        <v/>
      </c>
      <c r="N428" s="5"/>
      <c r="P428" t="s">
        <v>86</v>
      </c>
    </row>
    <row r="429" spans="2:16">
      <c r="B429" s="22"/>
      <c r="C429" s="22"/>
      <c r="D429" s="22"/>
      <c r="E429" s="24"/>
      <c r="F429" s="24"/>
      <c r="G429" s="23" t="str">
        <f t="shared" si="25"/>
        <v/>
      </c>
      <c r="K429" s="2" t="str">
        <f t="shared" si="26"/>
        <v/>
      </c>
      <c r="L429" s="2" t="str">
        <f t="shared" si="28"/>
        <v/>
      </c>
      <c r="M429" s="2" t="str">
        <f t="shared" si="27"/>
        <v/>
      </c>
      <c r="N429" s="5"/>
      <c r="P429" t="s">
        <v>86</v>
      </c>
    </row>
    <row r="430" spans="2:16">
      <c r="B430" s="22"/>
      <c r="C430" s="22"/>
      <c r="D430" s="22"/>
      <c r="E430" s="24"/>
      <c r="F430" s="24"/>
      <c r="G430" s="23" t="str">
        <f t="shared" si="25"/>
        <v/>
      </c>
      <c r="K430" s="2" t="str">
        <f t="shared" si="26"/>
        <v/>
      </c>
      <c r="L430" s="2" t="str">
        <f t="shared" si="28"/>
        <v/>
      </c>
      <c r="M430" s="2" t="str">
        <f t="shared" si="27"/>
        <v/>
      </c>
      <c r="N430" s="5"/>
      <c r="P430" t="s">
        <v>86</v>
      </c>
    </row>
    <row r="431" spans="2:16">
      <c r="B431" s="22"/>
      <c r="C431" s="22"/>
      <c r="D431" s="22"/>
      <c r="E431" s="24"/>
      <c r="F431" s="24"/>
      <c r="G431" s="23" t="str">
        <f t="shared" si="25"/>
        <v/>
      </c>
      <c r="K431" s="2" t="str">
        <f t="shared" si="26"/>
        <v/>
      </c>
      <c r="L431" s="2" t="str">
        <f t="shared" si="28"/>
        <v/>
      </c>
      <c r="M431" s="2" t="str">
        <f t="shared" si="27"/>
        <v/>
      </c>
      <c r="N431" s="5"/>
      <c r="P431" t="s">
        <v>86</v>
      </c>
    </row>
    <row r="432" spans="2:16">
      <c r="B432" s="22"/>
      <c r="C432" s="22"/>
      <c r="D432" s="22"/>
      <c r="E432" s="24"/>
      <c r="F432" s="24"/>
      <c r="G432" s="23" t="str">
        <f t="shared" si="25"/>
        <v/>
      </c>
      <c r="K432" s="2" t="str">
        <f t="shared" si="26"/>
        <v/>
      </c>
      <c r="L432" s="2" t="str">
        <f t="shared" si="28"/>
        <v/>
      </c>
      <c r="M432" s="2" t="str">
        <f t="shared" si="27"/>
        <v/>
      </c>
      <c r="N432" s="5"/>
      <c r="P432" t="s">
        <v>86</v>
      </c>
    </row>
    <row r="433" spans="2:16">
      <c r="B433" s="22"/>
      <c r="C433" s="22"/>
      <c r="D433" s="22"/>
      <c r="E433" s="24"/>
      <c r="F433" s="24"/>
      <c r="G433" s="23" t="str">
        <f t="shared" si="25"/>
        <v/>
      </c>
      <c r="K433" s="2" t="str">
        <f t="shared" si="26"/>
        <v/>
      </c>
      <c r="L433" s="2" t="str">
        <f t="shared" si="28"/>
        <v/>
      </c>
      <c r="M433" s="2" t="str">
        <f t="shared" si="27"/>
        <v/>
      </c>
      <c r="N433" s="5"/>
      <c r="P433" t="s">
        <v>86</v>
      </c>
    </row>
    <row r="434" spans="2:16">
      <c r="B434" s="22"/>
      <c r="C434" s="22"/>
      <c r="D434" s="22"/>
      <c r="E434" s="24"/>
      <c r="F434" s="24"/>
      <c r="G434" s="23" t="str">
        <f t="shared" si="25"/>
        <v/>
      </c>
      <c r="K434" s="2" t="str">
        <f t="shared" si="26"/>
        <v/>
      </c>
      <c r="L434" s="2" t="str">
        <f t="shared" si="28"/>
        <v/>
      </c>
      <c r="M434" s="2" t="str">
        <f t="shared" si="27"/>
        <v/>
      </c>
      <c r="N434" s="5"/>
      <c r="P434" t="s">
        <v>86</v>
      </c>
    </row>
    <row r="435" spans="2:16">
      <c r="B435" s="22"/>
      <c r="C435" s="22"/>
      <c r="D435" s="22"/>
      <c r="E435" s="24"/>
      <c r="F435" s="24"/>
      <c r="G435" s="23" t="str">
        <f t="shared" si="25"/>
        <v/>
      </c>
      <c r="K435" s="2" t="str">
        <f t="shared" si="26"/>
        <v/>
      </c>
      <c r="L435" s="2" t="str">
        <f t="shared" si="28"/>
        <v/>
      </c>
      <c r="M435" s="2" t="str">
        <f t="shared" si="27"/>
        <v/>
      </c>
      <c r="N435" s="5"/>
      <c r="P435" t="s">
        <v>86</v>
      </c>
    </row>
    <row r="436" spans="2:16">
      <c r="B436" s="22"/>
      <c r="C436" s="22"/>
      <c r="D436" s="22"/>
      <c r="E436" s="24"/>
      <c r="F436" s="24"/>
      <c r="G436" s="23" t="str">
        <f t="shared" si="25"/>
        <v/>
      </c>
      <c r="K436" s="2" t="str">
        <f t="shared" si="26"/>
        <v/>
      </c>
      <c r="L436" s="2" t="str">
        <f t="shared" si="28"/>
        <v/>
      </c>
      <c r="M436" s="2" t="str">
        <f t="shared" si="27"/>
        <v/>
      </c>
      <c r="N436" s="5"/>
      <c r="P436" t="s">
        <v>86</v>
      </c>
    </row>
    <row r="437" spans="2:16">
      <c r="B437" s="22"/>
      <c r="C437" s="22"/>
      <c r="D437" s="22"/>
      <c r="E437" s="24"/>
      <c r="F437" s="24"/>
      <c r="G437" s="23" t="str">
        <f t="shared" si="25"/>
        <v/>
      </c>
      <c r="K437" s="2" t="str">
        <f t="shared" si="26"/>
        <v/>
      </c>
      <c r="L437" s="2" t="str">
        <f t="shared" si="28"/>
        <v/>
      </c>
      <c r="M437" s="2" t="str">
        <f t="shared" si="27"/>
        <v/>
      </c>
      <c r="N437" s="5"/>
      <c r="P437" t="s">
        <v>86</v>
      </c>
    </row>
    <row r="438" spans="2:16">
      <c r="B438" s="22"/>
      <c r="C438" s="22"/>
      <c r="D438" s="22"/>
      <c r="E438" s="24"/>
      <c r="F438" s="24"/>
      <c r="G438" s="23" t="str">
        <f t="shared" si="25"/>
        <v/>
      </c>
      <c r="K438" s="2" t="str">
        <f t="shared" si="26"/>
        <v/>
      </c>
      <c r="L438" s="2" t="str">
        <f t="shared" si="28"/>
        <v/>
      </c>
      <c r="M438" s="2" t="str">
        <f t="shared" si="27"/>
        <v/>
      </c>
      <c r="N438" s="5"/>
      <c r="P438" t="s">
        <v>86</v>
      </c>
    </row>
    <row r="439" spans="2:16">
      <c r="B439" s="22"/>
      <c r="C439" s="22"/>
      <c r="D439" s="22"/>
      <c r="E439" s="24"/>
      <c r="F439" s="24"/>
      <c r="G439" s="23" t="str">
        <f t="shared" si="25"/>
        <v/>
      </c>
      <c r="K439" s="2" t="str">
        <f t="shared" si="26"/>
        <v/>
      </c>
      <c r="L439" s="2" t="str">
        <f t="shared" si="28"/>
        <v/>
      </c>
      <c r="M439" s="2" t="str">
        <f t="shared" si="27"/>
        <v/>
      </c>
      <c r="N439" s="5"/>
      <c r="P439" t="s">
        <v>86</v>
      </c>
    </row>
    <row r="440" spans="2:16">
      <c r="B440" s="22"/>
      <c r="C440" s="22"/>
      <c r="D440" s="22"/>
      <c r="E440" s="24"/>
      <c r="F440" s="24"/>
      <c r="G440" s="23" t="str">
        <f t="shared" si="25"/>
        <v/>
      </c>
      <c r="K440" s="2" t="str">
        <f t="shared" si="26"/>
        <v/>
      </c>
      <c r="L440" s="2" t="str">
        <f t="shared" si="28"/>
        <v/>
      </c>
      <c r="M440" s="2" t="str">
        <f t="shared" si="27"/>
        <v/>
      </c>
      <c r="N440" s="5"/>
      <c r="P440" t="s">
        <v>86</v>
      </c>
    </row>
    <row r="441" spans="2:16">
      <c r="B441" s="22"/>
      <c r="C441" s="22"/>
      <c r="D441" s="22"/>
      <c r="E441" s="24"/>
      <c r="F441" s="24"/>
      <c r="G441" s="23" t="str">
        <f t="shared" si="25"/>
        <v/>
      </c>
      <c r="K441" s="2" t="str">
        <f t="shared" si="26"/>
        <v/>
      </c>
      <c r="L441" s="2" t="str">
        <f t="shared" si="28"/>
        <v/>
      </c>
      <c r="M441" s="2" t="str">
        <f t="shared" si="27"/>
        <v/>
      </c>
      <c r="N441" s="5"/>
      <c r="P441" t="s">
        <v>86</v>
      </c>
    </row>
    <row r="442" spans="2:16">
      <c r="B442" s="22"/>
      <c r="C442" s="22"/>
      <c r="D442" s="22"/>
      <c r="E442" s="24"/>
      <c r="F442" s="24"/>
      <c r="G442" s="23" t="str">
        <f t="shared" si="25"/>
        <v/>
      </c>
      <c r="K442" s="2" t="str">
        <f t="shared" si="26"/>
        <v/>
      </c>
      <c r="L442" s="2" t="str">
        <f t="shared" si="28"/>
        <v/>
      </c>
      <c r="M442" s="2" t="str">
        <f t="shared" si="27"/>
        <v/>
      </c>
      <c r="N442" s="5"/>
      <c r="P442" t="s">
        <v>86</v>
      </c>
    </row>
    <row r="443" spans="2:16">
      <c r="B443" s="22"/>
      <c r="C443" s="22"/>
      <c r="D443" s="22"/>
      <c r="E443" s="24"/>
      <c r="F443" s="24"/>
      <c r="G443" s="23" t="str">
        <f t="shared" si="25"/>
        <v/>
      </c>
      <c r="K443" s="2" t="str">
        <f t="shared" si="26"/>
        <v/>
      </c>
      <c r="L443" s="2" t="str">
        <f t="shared" si="28"/>
        <v/>
      </c>
      <c r="M443" s="2" t="str">
        <f t="shared" si="27"/>
        <v/>
      </c>
      <c r="N443" s="5"/>
      <c r="P443" t="s">
        <v>86</v>
      </c>
    </row>
    <row r="444" spans="2:16">
      <c r="B444" s="22"/>
      <c r="C444" s="22"/>
      <c r="D444" s="22"/>
      <c r="E444" s="24"/>
      <c r="F444" s="24"/>
      <c r="G444" s="23" t="str">
        <f t="shared" si="25"/>
        <v/>
      </c>
      <c r="K444" s="2" t="str">
        <f t="shared" si="26"/>
        <v/>
      </c>
      <c r="L444" s="2" t="str">
        <f t="shared" si="28"/>
        <v/>
      </c>
      <c r="M444" s="2" t="str">
        <f t="shared" si="27"/>
        <v/>
      </c>
      <c r="N444" s="5"/>
      <c r="P444" t="s">
        <v>86</v>
      </c>
    </row>
    <row r="445" spans="2:16">
      <c r="B445" s="22"/>
      <c r="C445" s="22"/>
      <c r="D445" s="22"/>
      <c r="E445" s="24"/>
      <c r="F445" s="24"/>
      <c r="G445" s="23" t="str">
        <f t="shared" si="25"/>
        <v/>
      </c>
      <c r="K445" s="2" t="str">
        <f t="shared" si="26"/>
        <v/>
      </c>
      <c r="L445" s="2" t="str">
        <f t="shared" si="28"/>
        <v/>
      </c>
      <c r="M445" s="2" t="str">
        <f t="shared" si="27"/>
        <v/>
      </c>
      <c r="N445" s="5"/>
      <c r="P445" t="s">
        <v>86</v>
      </c>
    </row>
    <row r="446" spans="2:16">
      <c r="B446" s="22"/>
      <c r="C446" s="22"/>
      <c r="D446" s="22"/>
      <c r="E446" s="24"/>
      <c r="F446" s="24"/>
      <c r="G446" s="23" t="str">
        <f t="shared" si="25"/>
        <v/>
      </c>
      <c r="K446" s="2" t="str">
        <f t="shared" si="26"/>
        <v/>
      </c>
      <c r="L446" s="2" t="str">
        <f t="shared" si="28"/>
        <v/>
      </c>
      <c r="M446" s="2" t="str">
        <f t="shared" si="27"/>
        <v/>
      </c>
      <c r="N446" s="5"/>
      <c r="P446" t="s">
        <v>86</v>
      </c>
    </row>
    <row r="447" spans="2:16">
      <c r="B447" s="22"/>
      <c r="C447" s="22"/>
      <c r="D447" s="22"/>
      <c r="E447" s="24"/>
      <c r="F447" s="24"/>
      <c r="G447" s="23" t="str">
        <f t="shared" si="25"/>
        <v/>
      </c>
      <c r="K447" s="2" t="str">
        <f t="shared" si="26"/>
        <v/>
      </c>
      <c r="L447" s="2" t="str">
        <f t="shared" si="28"/>
        <v/>
      </c>
      <c r="M447" s="2" t="str">
        <f t="shared" si="27"/>
        <v/>
      </c>
      <c r="N447" s="5"/>
      <c r="P447" t="s">
        <v>86</v>
      </c>
    </row>
    <row r="448" spans="2:16">
      <c r="B448" s="22"/>
      <c r="C448" s="22"/>
      <c r="D448" s="22"/>
      <c r="E448" s="24"/>
      <c r="F448" s="24"/>
      <c r="G448" s="23" t="str">
        <f t="shared" si="25"/>
        <v/>
      </c>
      <c r="K448" s="2" t="str">
        <f t="shared" si="26"/>
        <v/>
      </c>
      <c r="L448" s="2" t="str">
        <f t="shared" si="28"/>
        <v/>
      </c>
      <c r="M448" s="2" t="str">
        <f t="shared" si="27"/>
        <v/>
      </c>
      <c r="N448" s="5"/>
      <c r="P448" t="s">
        <v>86</v>
      </c>
    </row>
    <row r="449" spans="2:16">
      <c r="B449" s="22"/>
      <c r="C449" s="22"/>
      <c r="D449" s="22"/>
      <c r="E449" s="24"/>
      <c r="F449" s="24"/>
      <c r="G449" s="23" t="str">
        <f t="shared" si="25"/>
        <v/>
      </c>
      <c r="K449" s="2" t="str">
        <f t="shared" si="26"/>
        <v/>
      </c>
      <c r="L449" s="2" t="str">
        <f t="shared" si="28"/>
        <v/>
      </c>
      <c r="M449" s="2" t="str">
        <f t="shared" si="27"/>
        <v/>
      </c>
      <c r="N449" s="5"/>
      <c r="P449" t="s">
        <v>86</v>
      </c>
    </row>
    <row r="450" spans="2:16">
      <c r="B450" s="22"/>
      <c r="C450" s="22"/>
      <c r="D450" s="22"/>
      <c r="E450" s="24"/>
      <c r="F450" s="24"/>
      <c r="G450" s="23" t="str">
        <f t="shared" si="25"/>
        <v/>
      </c>
      <c r="K450" s="2" t="str">
        <f t="shared" si="26"/>
        <v/>
      </c>
      <c r="L450" s="2" t="str">
        <f t="shared" si="28"/>
        <v/>
      </c>
      <c r="M450" s="2" t="str">
        <f t="shared" si="27"/>
        <v/>
      </c>
      <c r="N450" s="5"/>
      <c r="P450" t="s">
        <v>86</v>
      </c>
    </row>
    <row r="451" spans="2:16">
      <c r="B451" s="22"/>
      <c r="C451" s="22"/>
      <c r="D451" s="22"/>
      <c r="E451" s="24"/>
      <c r="F451" s="24"/>
      <c r="G451" s="23" t="str">
        <f t="shared" si="25"/>
        <v/>
      </c>
      <c r="K451" s="2" t="str">
        <f t="shared" si="26"/>
        <v/>
      </c>
      <c r="L451" s="2" t="str">
        <f t="shared" si="28"/>
        <v/>
      </c>
      <c r="M451" s="2" t="str">
        <f t="shared" si="27"/>
        <v/>
      </c>
      <c r="N451" s="5"/>
      <c r="P451" t="s">
        <v>86</v>
      </c>
    </row>
    <row r="452" spans="2:16">
      <c r="B452" s="22"/>
      <c r="C452" s="22"/>
      <c r="D452" s="22"/>
      <c r="E452" s="24"/>
      <c r="F452" s="24"/>
      <c r="G452" s="23" t="str">
        <f t="shared" ref="G452:G502" si="29">IF(AND(D452=E452,E452=F452),"",IF(AND(F452="",D452=E452),"",IF(AND(D452="",E452=F452),"",IF(AND(E452="",D452=F452),"","불일치"))))</f>
        <v/>
      </c>
      <c r="K452" s="2" t="str">
        <f t="shared" ref="K452:K501" si="30">+IF(D452="","",+D452)</f>
        <v/>
      </c>
      <c r="L452" s="2" t="str">
        <f t="shared" si="28"/>
        <v/>
      </c>
      <c r="M452" s="2" t="str">
        <f t="shared" ref="M452:M501" si="31">IF(B452="","",IF(COUNTIF($K$3:$K$295,K452)&gt;1,"동명",""))</f>
        <v/>
      </c>
      <c r="N452" s="5"/>
      <c r="P452" t="s">
        <v>86</v>
      </c>
    </row>
    <row r="453" spans="2:16">
      <c r="B453" s="22"/>
      <c r="C453" s="22"/>
      <c r="D453" s="22"/>
      <c r="E453" s="24"/>
      <c r="F453" s="24"/>
      <c r="G453" s="23" t="str">
        <f t="shared" si="29"/>
        <v/>
      </c>
      <c r="K453" s="2" t="str">
        <f t="shared" si="30"/>
        <v/>
      </c>
      <c r="L453" s="2" t="str">
        <f t="shared" si="28"/>
        <v/>
      </c>
      <c r="M453" s="2" t="str">
        <f t="shared" si="31"/>
        <v/>
      </c>
      <c r="N453" s="5"/>
      <c r="P453" t="s">
        <v>86</v>
      </c>
    </row>
    <row r="454" spans="2:16">
      <c r="B454" s="22"/>
      <c r="C454" s="22"/>
      <c r="D454" s="22"/>
      <c r="E454" s="24"/>
      <c r="F454" s="24"/>
      <c r="G454" s="23" t="str">
        <f t="shared" si="29"/>
        <v/>
      </c>
      <c r="K454" s="2" t="str">
        <f t="shared" si="30"/>
        <v/>
      </c>
      <c r="L454" s="2" t="str">
        <f t="shared" ref="L454:L501" si="32">RIGHT(K454,2)</f>
        <v/>
      </c>
      <c r="M454" s="2" t="str">
        <f t="shared" si="31"/>
        <v/>
      </c>
      <c r="N454" s="5"/>
      <c r="P454" t="s">
        <v>86</v>
      </c>
    </row>
    <row r="455" spans="2:16">
      <c r="B455" s="22"/>
      <c r="C455" s="22"/>
      <c r="D455" s="22"/>
      <c r="E455" s="24"/>
      <c r="F455" s="24"/>
      <c r="G455" s="23" t="str">
        <f t="shared" si="29"/>
        <v/>
      </c>
      <c r="K455" s="2" t="str">
        <f t="shared" si="30"/>
        <v/>
      </c>
      <c r="L455" s="2" t="str">
        <f t="shared" si="32"/>
        <v/>
      </c>
      <c r="M455" s="2" t="str">
        <f t="shared" si="31"/>
        <v/>
      </c>
      <c r="N455" s="5"/>
      <c r="P455" t="s">
        <v>86</v>
      </c>
    </row>
    <row r="456" spans="2:16">
      <c r="B456" s="22"/>
      <c r="C456" s="22"/>
      <c r="D456" s="22"/>
      <c r="E456" s="24"/>
      <c r="F456" s="24"/>
      <c r="G456" s="23" t="str">
        <f t="shared" si="29"/>
        <v/>
      </c>
      <c r="K456" s="2" t="str">
        <f t="shared" si="30"/>
        <v/>
      </c>
      <c r="L456" s="2" t="str">
        <f t="shared" si="32"/>
        <v/>
      </c>
      <c r="M456" s="2" t="str">
        <f t="shared" si="31"/>
        <v/>
      </c>
      <c r="N456" s="5"/>
      <c r="P456" t="s">
        <v>86</v>
      </c>
    </row>
    <row r="457" spans="2:16">
      <c r="B457" s="22"/>
      <c r="C457" s="22"/>
      <c r="D457" s="22"/>
      <c r="E457" s="24"/>
      <c r="F457" s="24"/>
      <c r="G457" s="23" t="str">
        <f t="shared" si="29"/>
        <v/>
      </c>
      <c r="K457" s="2" t="str">
        <f t="shared" si="30"/>
        <v/>
      </c>
      <c r="L457" s="2" t="str">
        <f t="shared" si="32"/>
        <v/>
      </c>
      <c r="M457" s="2" t="str">
        <f t="shared" si="31"/>
        <v/>
      </c>
      <c r="N457" s="5"/>
      <c r="P457" t="s">
        <v>86</v>
      </c>
    </row>
    <row r="458" spans="2:16">
      <c r="B458" s="22"/>
      <c r="C458" s="22"/>
      <c r="D458" s="22"/>
      <c r="E458" s="24"/>
      <c r="F458" s="24"/>
      <c r="G458" s="23" t="str">
        <f t="shared" si="29"/>
        <v/>
      </c>
      <c r="K458" s="2" t="str">
        <f t="shared" si="30"/>
        <v/>
      </c>
      <c r="L458" s="2" t="str">
        <f t="shared" si="32"/>
        <v/>
      </c>
      <c r="M458" s="2" t="str">
        <f t="shared" si="31"/>
        <v/>
      </c>
      <c r="N458" s="5"/>
      <c r="P458" t="s">
        <v>86</v>
      </c>
    </row>
    <row r="459" spans="2:16">
      <c r="B459" s="22"/>
      <c r="C459" s="22"/>
      <c r="D459" s="22"/>
      <c r="E459" s="24"/>
      <c r="F459" s="24"/>
      <c r="G459" s="23" t="str">
        <f t="shared" si="29"/>
        <v/>
      </c>
      <c r="K459" s="2" t="str">
        <f t="shared" si="30"/>
        <v/>
      </c>
      <c r="L459" s="2" t="str">
        <f t="shared" si="32"/>
        <v/>
      </c>
      <c r="M459" s="2" t="str">
        <f t="shared" si="31"/>
        <v/>
      </c>
      <c r="N459" s="5"/>
      <c r="P459" t="s">
        <v>86</v>
      </c>
    </row>
    <row r="460" spans="2:16">
      <c r="B460" s="22"/>
      <c r="C460" s="22"/>
      <c r="D460" s="22"/>
      <c r="E460" s="24"/>
      <c r="F460" s="24"/>
      <c r="G460" s="23" t="str">
        <f t="shared" si="29"/>
        <v/>
      </c>
      <c r="K460" s="2" t="str">
        <f t="shared" si="30"/>
        <v/>
      </c>
      <c r="L460" s="2" t="str">
        <f t="shared" si="32"/>
        <v/>
      </c>
      <c r="M460" s="2" t="str">
        <f t="shared" si="31"/>
        <v/>
      </c>
      <c r="N460" s="5"/>
      <c r="P460" t="s">
        <v>86</v>
      </c>
    </row>
    <row r="461" spans="2:16">
      <c r="B461" s="22"/>
      <c r="C461" s="22"/>
      <c r="D461" s="22"/>
      <c r="E461" s="24"/>
      <c r="F461" s="24"/>
      <c r="G461" s="23" t="str">
        <f t="shared" si="29"/>
        <v/>
      </c>
      <c r="K461" s="2" t="str">
        <f t="shared" si="30"/>
        <v/>
      </c>
      <c r="L461" s="2" t="str">
        <f t="shared" si="32"/>
        <v/>
      </c>
      <c r="M461" s="2" t="str">
        <f t="shared" si="31"/>
        <v/>
      </c>
      <c r="N461" s="5"/>
      <c r="P461" t="s">
        <v>86</v>
      </c>
    </row>
    <row r="462" spans="2:16">
      <c r="B462" s="22"/>
      <c r="C462" s="22"/>
      <c r="D462" s="22"/>
      <c r="E462" s="24"/>
      <c r="F462" s="24"/>
      <c r="G462" s="23" t="str">
        <f t="shared" si="29"/>
        <v/>
      </c>
      <c r="K462" s="2" t="str">
        <f t="shared" si="30"/>
        <v/>
      </c>
      <c r="L462" s="2" t="str">
        <f t="shared" si="32"/>
        <v/>
      </c>
      <c r="M462" s="2" t="str">
        <f t="shared" si="31"/>
        <v/>
      </c>
      <c r="N462" s="5"/>
      <c r="P462" t="s">
        <v>86</v>
      </c>
    </row>
    <row r="463" spans="2:16">
      <c r="B463" s="22"/>
      <c r="C463" s="22"/>
      <c r="D463" s="22"/>
      <c r="E463" s="24"/>
      <c r="F463" s="24"/>
      <c r="G463" s="23" t="str">
        <f t="shared" si="29"/>
        <v/>
      </c>
      <c r="K463" s="2" t="str">
        <f t="shared" si="30"/>
        <v/>
      </c>
      <c r="L463" s="2" t="str">
        <f t="shared" si="32"/>
        <v/>
      </c>
      <c r="M463" s="2" t="str">
        <f t="shared" si="31"/>
        <v/>
      </c>
      <c r="N463" s="5"/>
      <c r="P463" t="s">
        <v>86</v>
      </c>
    </row>
    <row r="464" spans="2:16">
      <c r="B464" s="22"/>
      <c r="C464" s="22"/>
      <c r="D464" s="22"/>
      <c r="E464" s="24"/>
      <c r="F464" s="24"/>
      <c r="G464" s="23" t="str">
        <f t="shared" si="29"/>
        <v/>
      </c>
      <c r="K464" s="2" t="str">
        <f t="shared" si="30"/>
        <v/>
      </c>
      <c r="L464" s="2" t="str">
        <f t="shared" si="32"/>
        <v/>
      </c>
      <c r="M464" s="2" t="str">
        <f t="shared" si="31"/>
        <v/>
      </c>
      <c r="N464" s="5"/>
      <c r="P464" t="s">
        <v>86</v>
      </c>
    </row>
    <row r="465" spans="2:16">
      <c r="B465" s="22"/>
      <c r="C465" s="22"/>
      <c r="D465" s="22"/>
      <c r="E465" s="24"/>
      <c r="F465" s="24"/>
      <c r="G465" s="23" t="str">
        <f t="shared" si="29"/>
        <v/>
      </c>
      <c r="K465" s="2" t="str">
        <f t="shared" si="30"/>
        <v/>
      </c>
      <c r="L465" s="2" t="str">
        <f t="shared" si="32"/>
        <v/>
      </c>
      <c r="M465" s="2" t="str">
        <f t="shared" si="31"/>
        <v/>
      </c>
      <c r="N465" s="5"/>
      <c r="P465" t="s">
        <v>86</v>
      </c>
    </row>
    <row r="466" spans="2:16">
      <c r="B466" s="22"/>
      <c r="C466" s="22"/>
      <c r="D466" s="22"/>
      <c r="E466" s="24"/>
      <c r="F466" s="24"/>
      <c r="G466" s="23" t="str">
        <f t="shared" si="29"/>
        <v/>
      </c>
      <c r="K466" s="2" t="str">
        <f t="shared" si="30"/>
        <v/>
      </c>
      <c r="L466" s="2" t="str">
        <f t="shared" si="32"/>
        <v/>
      </c>
      <c r="M466" s="2" t="str">
        <f t="shared" si="31"/>
        <v/>
      </c>
      <c r="N466" s="5"/>
      <c r="P466" t="s">
        <v>86</v>
      </c>
    </row>
    <row r="467" spans="2:16">
      <c r="B467" s="22"/>
      <c r="C467" s="22"/>
      <c r="D467" s="22"/>
      <c r="E467" s="24"/>
      <c r="F467" s="24"/>
      <c r="G467" s="23" t="str">
        <f t="shared" si="29"/>
        <v/>
      </c>
      <c r="K467" s="2" t="str">
        <f t="shared" si="30"/>
        <v/>
      </c>
      <c r="L467" s="2" t="str">
        <f t="shared" si="32"/>
        <v/>
      </c>
      <c r="M467" s="2" t="str">
        <f t="shared" si="31"/>
        <v/>
      </c>
      <c r="N467" s="5"/>
      <c r="P467" t="s">
        <v>86</v>
      </c>
    </row>
    <row r="468" spans="2:16">
      <c r="B468" s="22"/>
      <c r="C468" s="22"/>
      <c r="D468" s="22"/>
      <c r="E468" s="24"/>
      <c r="F468" s="24"/>
      <c r="G468" s="23" t="str">
        <f t="shared" si="29"/>
        <v/>
      </c>
      <c r="K468" s="2" t="str">
        <f t="shared" si="30"/>
        <v/>
      </c>
      <c r="L468" s="2" t="str">
        <f t="shared" si="32"/>
        <v/>
      </c>
      <c r="M468" s="2" t="str">
        <f t="shared" si="31"/>
        <v/>
      </c>
      <c r="N468" s="5"/>
      <c r="P468" t="s">
        <v>86</v>
      </c>
    </row>
    <row r="469" spans="2:16">
      <c r="B469" s="22"/>
      <c r="C469" s="22"/>
      <c r="D469" s="22"/>
      <c r="E469" s="24"/>
      <c r="F469" s="24"/>
      <c r="G469" s="23" t="str">
        <f t="shared" si="29"/>
        <v/>
      </c>
      <c r="K469" s="2" t="str">
        <f t="shared" si="30"/>
        <v/>
      </c>
      <c r="L469" s="2" t="str">
        <f t="shared" si="32"/>
        <v/>
      </c>
      <c r="M469" s="2" t="str">
        <f t="shared" si="31"/>
        <v/>
      </c>
      <c r="N469" s="5"/>
      <c r="P469" t="s">
        <v>86</v>
      </c>
    </row>
    <row r="470" spans="2:16">
      <c r="B470" s="22"/>
      <c r="C470" s="22"/>
      <c r="D470" s="22"/>
      <c r="E470" s="24"/>
      <c r="F470" s="24"/>
      <c r="G470" s="23" t="str">
        <f t="shared" si="29"/>
        <v/>
      </c>
      <c r="K470" s="2" t="str">
        <f t="shared" si="30"/>
        <v/>
      </c>
      <c r="L470" s="2" t="str">
        <f t="shared" si="32"/>
        <v/>
      </c>
      <c r="M470" s="2" t="str">
        <f t="shared" si="31"/>
        <v/>
      </c>
      <c r="N470" s="5"/>
      <c r="P470" t="s">
        <v>86</v>
      </c>
    </row>
    <row r="471" spans="2:16">
      <c r="B471" s="22"/>
      <c r="C471" s="22"/>
      <c r="D471" s="22"/>
      <c r="E471" s="24"/>
      <c r="F471" s="24"/>
      <c r="G471" s="23" t="str">
        <f t="shared" si="29"/>
        <v/>
      </c>
      <c r="K471" s="2" t="str">
        <f t="shared" si="30"/>
        <v/>
      </c>
      <c r="L471" s="2" t="str">
        <f t="shared" si="32"/>
        <v/>
      </c>
      <c r="M471" s="2" t="str">
        <f t="shared" si="31"/>
        <v/>
      </c>
      <c r="N471" s="5"/>
      <c r="P471" t="s">
        <v>86</v>
      </c>
    </row>
    <row r="472" spans="2:16">
      <c r="B472" s="22"/>
      <c r="C472" s="22"/>
      <c r="D472" s="22"/>
      <c r="E472" s="24"/>
      <c r="F472" s="24"/>
      <c r="G472" s="23" t="str">
        <f t="shared" si="29"/>
        <v/>
      </c>
      <c r="K472" s="2" t="str">
        <f t="shared" si="30"/>
        <v/>
      </c>
      <c r="L472" s="2" t="str">
        <f t="shared" si="32"/>
        <v/>
      </c>
      <c r="M472" s="2" t="str">
        <f t="shared" si="31"/>
        <v/>
      </c>
      <c r="N472" s="5"/>
      <c r="P472" t="s">
        <v>86</v>
      </c>
    </row>
    <row r="473" spans="2:16">
      <c r="B473" s="22"/>
      <c r="C473" s="22"/>
      <c r="D473" s="22"/>
      <c r="E473" s="24"/>
      <c r="F473" s="24"/>
      <c r="G473" s="23" t="str">
        <f t="shared" si="29"/>
        <v/>
      </c>
      <c r="K473" s="2" t="str">
        <f t="shared" si="30"/>
        <v/>
      </c>
      <c r="L473" s="2" t="str">
        <f t="shared" si="32"/>
        <v/>
      </c>
      <c r="M473" s="2" t="str">
        <f t="shared" si="31"/>
        <v/>
      </c>
      <c r="N473" s="5"/>
      <c r="P473" t="s">
        <v>86</v>
      </c>
    </row>
    <row r="474" spans="2:16">
      <c r="B474" s="22"/>
      <c r="C474" s="22"/>
      <c r="D474" s="22"/>
      <c r="E474" s="24"/>
      <c r="F474" s="24"/>
      <c r="G474" s="23" t="str">
        <f t="shared" si="29"/>
        <v/>
      </c>
      <c r="K474" s="2" t="str">
        <f t="shared" si="30"/>
        <v/>
      </c>
      <c r="L474" s="2" t="str">
        <f t="shared" si="32"/>
        <v/>
      </c>
      <c r="M474" s="2" t="str">
        <f t="shared" si="31"/>
        <v/>
      </c>
      <c r="N474" s="5"/>
      <c r="P474" t="s">
        <v>86</v>
      </c>
    </row>
    <row r="475" spans="2:16">
      <c r="B475" s="22"/>
      <c r="C475" s="22"/>
      <c r="D475" s="22"/>
      <c r="E475" s="24"/>
      <c r="F475" s="24"/>
      <c r="G475" s="23" t="str">
        <f t="shared" si="29"/>
        <v/>
      </c>
      <c r="K475" s="2" t="str">
        <f t="shared" si="30"/>
        <v/>
      </c>
      <c r="L475" s="2" t="str">
        <f t="shared" si="32"/>
        <v/>
      </c>
      <c r="M475" s="2" t="str">
        <f t="shared" si="31"/>
        <v/>
      </c>
      <c r="N475" s="5"/>
      <c r="P475" t="s">
        <v>86</v>
      </c>
    </row>
    <row r="476" spans="2:16">
      <c r="B476" s="22"/>
      <c r="C476" s="22"/>
      <c r="D476" s="22"/>
      <c r="E476" s="24"/>
      <c r="F476" s="24"/>
      <c r="G476" s="23" t="str">
        <f t="shared" si="29"/>
        <v/>
      </c>
      <c r="K476" s="2" t="str">
        <f t="shared" si="30"/>
        <v/>
      </c>
      <c r="L476" s="2" t="str">
        <f t="shared" si="32"/>
        <v/>
      </c>
      <c r="M476" s="2" t="str">
        <f t="shared" si="31"/>
        <v/>
      </c>
      <c r="N476" s="5"/>
      <c r="P476" t="s">
        <v>86</v>
      </c>
    </row>
    <row r="477" spans="2:16">
      <c r="B477" s="22"/>
      <c r="C477" s="22"/>
      <c r="D477" s="22"/>
      <c r="E477" s="24"/>
      <c r="F477" s="24"/>
      <c r="G477" s="23" t="str">
        <f t="shared" si="29"/>
        <v/>
      </c>
      <c r="K477" s="2" t="str">
        <f t="shared" si="30"/>
        <v/>
      </c>
      <c r="L477" s="2" t="str">
        <f t="shared" si="32"/>
        <v/>
      </c>
      <c r="M477" s="2" t="str">
        <f t="shared" si="31"/>
        <v/>
      </c>
      <c r="N477" s="5"/>
      <c r="P477" t="s">
        <v>86</v>
      </c>
    </row>
    <row r="478" spans="2:16">
      <c r="B478" s="22"/>
      <c r="C478" s="22"/>
      <c r="D478" s="22"/>
      <c r="E478" s="24"/>
      <c r="F478" s="24"/>
      <c r="G478" s="23" t="str">
        <f t="shared" si="29"/>
        <v/>
      </c>
      <c r="K478" s="2" t="str">
        <f t="shared" si="30"/>
        <v/>
      </c>
      <c r="L478" s="2" t="str">
        <f t="shared" si="32"/>
        <v/>
      </c>
      <c r="M478" s="2" t="str">
        <f t="shared" si="31"/>
        <v/>
      </c>
      <c r="N478" s="5"/>
      <c r="P478" t="s">
        <v>86</v>
      </c>
    </row>
    <row r="479" spans="2:16">
      <c r="B479" s="22"/>
      <c r="C479" s="22"/>
      <c r="D479" s="22"/>
      <c r="E479" s="24"/>
      <c r="F479" s="24"/>
      <c r="G479" s="23" t="str">
        <f t="shared" si="29"/>
        <v/>
      </c>
      <c r="K479" s="2" t="str">
        <f t="shared" si="30"/>
        <v/>
      </c>
      <c r="L479" s="2" t="str">
        <f t="shared" si="32"/>
        <v/>
      </c>
      <c r="M479" s="2" t="str">
        <f t="shared" si="31"/>
        <v/>
      </c>
      <c r="N479" s="5"/>
      <c r="P479" t="s">
        <v>86</v>
      </c>
    </row>
    <row r="480" spans="2:16">
      <c r="B480" s="22"/>
      <c r="C480" s="22"/>
      <c r="D480" s="22"/>
      <c r="E480" s="24"/>
      <c r="F480" s="24"/>
      <c r="G480" s="23" t="str">
        <f t="shared" si="29"/>
        <v/>
      </c>
      <c r="K480" s="2" t="str">
        <f t="shared" si="30"/>
        <v/>
      </c>
      <c r="L480" s="2" t="str">
        <f t="shared" si="32"/>
        <v/>
      </c>
      <c r="M480" s="2" t="str">
        <f t="shared" si="31"/>
        <v/>
      </c>
      <c r="N480" s="5"/>
      <c r="P480" t="s">
        <v>86</v>
      </c>
    </row>
    <row r="481" spans="2:16">
      <c r="B481" s="22"/>
      <c r="C481" s="22"/>
      <c r="D481" s="22"/>
      <c r="E481" s="24"/>
      <c r="F481" s="24"/>
      <c r="G481" s="23" t="str">
        <f t="shared" si="29"/>
        <v/>
      </c>
      <c r="K481" s="2" t="str">
        <f t="shared" si="30"/>
        <v/>
      </c>
      <c r="L481" s="2" t="str">
        <f t="shared" si="32"/>
        <v/>
      </c>
      <c r="M481" s="2" t="str">
        <f t="shared" si="31"/>
        <v/>
      </c>
      <c r="N481" s="5"/>
      <c r="P481" t="s">
        <v>86</v>
      </c>
    </row>
    <row r="482" spans="2:16">
      <c r="B482" s="22"/>
      <c r="C482" s="22"/>
      <c r="D482" s="22"/>
      <c r="E482" s="24"/>
      <c r="F482" s="24"/>
      <c r="G482" s="23" t="str">
        <f t="shared" si="29"/>
        <v/>
      </c>
      <c r="K482" s="2" t="str">
        <f t="shared" si="30"/>
        <v/>
      </c>
      <c r="L482" s="2" t="str">
        <f t="shared" si="32"/>
        <v/>
      </c>
      <c r="M482" s="2" t="str">
        <f t="shared" si="31"/>
        <v/>
      </c>
      <c r="N482" s="5"/>
      <c r="P482" t="s">
        <v>86</v>
      </c>
    </row>
    <row r="483" spans="2:16">
      <c r="B483" s="22"/>
      <c r="C483" s="22"/>
      <c r="D483" s="22"/>
      <c r="E483" s="24"/>
      <c r="F483" s="24"/>
      <c r="G483" s="23" t="str">
        <f t="shared" si="29"/>
        <v/>
      </c>
      <c r="K483" s="2" t="str">
        <f t="shared" si="30"/>
        <v/>
      </c>
      <c r="L483" s="2" t="str">
        <f t="shared" si="32"/>
        <v/>
      </c>
      <c r="M483" s="2" t="str">
        <f t="shared" si="31"/>
        <v/>
      </c>
      <c r="N483" s="5"/>
      <c r="P483" t="s">
        <v>86</v>
      </c>
    </row>
    <row r="484" spans="2:16">
      <c r="B484" s="22"/>
      <c r="C484" s="22"/>
      <c r="D484" s="22"/>
      <c r="E484" s="24"/>
      <c r="F484" s="24"/>
      <c r="G484" s="23" t="str">
        <f t="shared" si="29"/>
        <v/>
      </c>
      <c r="K484" s="2" t="str">
        <f t="shared" si="30"/>
        <v/>
      </c>
      <c r="L484" s="2" t="str">
        <f t="shared" si="32"/>
        <v/>
      </c>
      <c r="M484" s="2" t="str">
        <f t="shared" si="31"/>
        <v/>
      </c>
      <c r="N484" s="5"/>
      <c r="P484" t="s">
        <v>86</v>
      </c>
    </row>
    <row r="485" spans="2:16">
      <c r="B485" s="22"/>
      <c r="C485" s="22"/>
      <c r="D485" s="22"/>
      <c r="E485" s="24"/>
      <c r="F485" s="24"/>
      <c r="G485" s="23" t="str">
        <f t="shared" si="29"/>
        <v/>
      </c>
      <c r="K485" s="2" t="str">
        <f t="shared" si="30"/>
        <v/>
      </c>
      <c r="L485" s="2" t="str">
        <f t="shared" si="32"/>
        <v/>
      </c>
      <c r="M485" s="2" t="str">
        <f t="shared" si="31"/>
        <v/>
      </c>
      <c r="N485" s="5"/>
      <c r="P485" t="s">
        <v>86</v>
      </c>
    </row>
    <row r="486" spans="2:16">
      <c r="B486" s="22"/>
      <c r="C486" s="22"/>
      <c r="D486" s="22"/>
      <c r="E486" s="24"/>
      <c r="F486" s="24"/>
      <c r="G486" s="23" t="str">
        <f t="shared" si="29"/>
        <v/>
      </c>
      <c r="K486" s="2" t="str">
        <f t="shared" si="30"/>
        <v/>
      </c>
      <c r="L486" s="2" t="str">
        <f t="shared" si="32"/>
        <v/>
      </c>
      <c r="M486" s="2" t="str">
        <f t="shared" si="31"/>
        <v/>
      </c>
      <c r="N486" s="5"/>
      <c r="P486" t="s">
        <v>86</v>
      </c>
    </row>
    <row r="487" spans="2:16">
      <c r="B487" s="22"/>
      <c r="C487" s="22"/>
      <c r="D487" s="22"/>
      <c r="E487" s="24"/>
      <c r="F487" s="24"/>
      <c r="G487" s="23" t="str">
        <f t="shared" si="29"/>
        <v/>
      </c>
      <c r="K487" s="2" t="str">
        <f t="shared" si="30"/>
        <v/>
      </c>
      <c r="L487" s="2" t="str">
        <f t="shared" si="32"/>
        <v/>
      </c>
      <c r="M487" s="2" t="str">
        <f t="shared" si="31"/>
        <v/>
      </c>
      <c r="N487" s="5"/>
      <c r="P487" t="s">
        <v>86</v>
      </c>
    </row>
    <row r="488" spans="2:16">
      <c r="B488" s="22"/>
      <c r="C488" s="22"/>
      <c r="D488" s="22"/>
      <c r="E488" s="24"/>
      <c r="F488" s="24"/>
      <c r="G488" s="23" t="str">
        <f t="shared" si="29"/>
        <v/>
      </c>
      <c r="K488" s="2" t="str">
        <f t="shared" si="30"/>
        <v/>
      </c>
      <c r="L488" s="2" t="str">
        <f t="shared" si="32"/>
        <v/>
      </c>
      <c r="M488" s="2" t="str">
        <f t="shared" si="31"/>
        <v/>
      </c>
      <c r="N488" s="5"/>
      <c r="P488" t="s">
        <v>86</v>
      </c>
    </row>
    <row r="489" spans="2:16">
      <c r="B489" s="22"/>
      <c r="C489" s="22"/>
      <c r="D489" s="22"/>
      <c r="E489" s="24"/>
      <c r="F489" s="24"/>
      <c r="G489" s="23" t="str">
        <f t="shared" si="29"/>
        <v/>
      </c>
      <c r="K489" s="2" t="str">
        <f t="shared" si="30"/>
        <v/>
      </c>
      <c r="L489" s="2" t="str">
        <f t="shared" si="32"/>
        <v/>
      </c>
      <c r="M489" s="2" t="str">
        <f t="shared" si="31"/>
        <v/>
      </c>
      <c r="N489" s="5"/>
      <c r="P489" t="s">
        <v>86</v>
      </c>
    </row>
    <row r="490" spans="2:16">
      <c r="B490" s="22"/>
      <c r="C490" s="22"/>
      <c r="D490" s="22"/>
      <c r="E490" s="24"/>
      <c r="F490" s="24"/>
      <c r="G490" s="23" t="str">
        <f t="shared" si="29"/>
        <v/>
      </c>
      <c r="K490" s="2" t="str">
        <f t="shared" si="30"/>
        <v/>
      </c>
      <c r="L490" s="2" t="str">
        <f t="shared" si="32"/>
        <v/>
      </c>
      <c r="M490" s="2" t="str">
        <f t="shared" si="31"/>
        <v/>
      </c>
      <c r="N490" s="5"/>
      <c r="P490" t="s">
        <v>86</v>
      </c>
    </row>
    <row r="491" spans="2:16">
      <c r="B491" s="22"/>
      <c r="C491" s="22"/>
      <c r="D491" s="22"/>
      <c r="E491" s="24"/>
      <c r="F491" s="24"/>
      <c r="G491" s="23" t="str">
        <f t="shared" si="29"/>
        <v/>
      </c>
      <c r="K491" s="2" t="str">
        <f t="shared" si="30"/>
        <v/>
      </c>
      <c r="L491" s="2" t="str">
        <f t="shared" si="32"/>
        <v/>
      </c>
      <c r="M491" s="2" t="str">
        <f t="shared" si="31"/>
        <v/>
      </c>
      <c r="N491" s="5"/>
      <c r="P491" t="s">
        <v>86</v>
      </c>
    </row>
    <row r="492" spans="2:16">
      <c r="B492" s="22"/>
      <c r="C492" s="22"/>
      <c r="D492" s="22"/>
      <c r="E492" s="24"/>
      <c r="F492" s="24"/>
      <c r="G492" s="23" t="str">
        <f t="shared" si="29"/>
        <v/>
      </c>
      <c r="K492" s="2" t="str">
        <f t="shared" si="30"/>
        <v/>
      </c>
      <c r="L492" s="2" t="str">
        <f t="shared" si="32"/>
        <v/>
      </c>
      <c r="M492" s="2" t="str">
        <f t="shared" si="31"/>
        <v/>
      </c>
      <c r="N492" s="5"/>
      <c r="P492" t="s">
        <v>86</v>
      </c>
    </row>
    <row r="493" spans="2:16">
      <c r="B493" s="22"/>
      <c r="C493" s="22"/>
      <c r="D493" s="22"/>
      <c r="E493" s="24"/>
      <c r="F493" s="24"/>
      <c r="G493" s="23" t="str">
        <f t="shared" si="29"/>
        <v/>
      </c>
      <c r="K493" s="2" t="str">
        <f t="shared" si="30"/>
        <v/>
      </c>
      <c r="L493" s="2" t="str">
        <f t="shared" si="32"/>
        <v/>
      </c>
      <c r="M493" s="2" t="str">
        <f t="shared" si="31"/>
        <v/>
      </c>
      <c r="N493" s="5"/>
      <c r="P493" t="s">
        <v>86</v>
      </c>
    </row>
    <row r="494" spans="2:16">
      <c r="B494" s="22"/>
      <c r="C494" s="22"/>
      <c r="D494" s="22"/>
      <c r="E494" s="24"/>
      <c r="F494" s="24"/>
      <c r="G494" s="23" t="str">
        <f t="shared" si="29"/>
        <v/>
      </c>
      <c r="K494" s="2" t="str">
        <f t="shared" si="30"/>
        <v/>
      </c>
      <c r="L494" s="2" t="str">
        <f t="shared" si="32"/>
        <v/>
      </c>
      <c r="M494" s="2" t="str">
        <f t="shared" si="31"/>
        <v/>
      </c>
      <c r="N494" s="5"/>
      <c r="P494" t="s">
        <v>86</v>
      </c>
    </row>
    <row r="495" spans="2:16">
      <c r="B495" s="22"/>
      <c r="C495" s="22"/>
      <c r="D495" s="22"/>
      <c r="E495" s="24"/>
      <c r="F495" s="24"/>
      <c r="G495" s="23" t="str">
        <f t="shared" si="29"/>
        <v/>
      </c>
      <c r="K495" s="2" t="str">
        <f t="shared" si="30"/>
        <v/>
      </c>
      <c r="L495" s="2" t="str">
        <f t="shared" si="32"/>
        <v/>
      </c>
      <c r="M495" s="2" t="str">
        <f t="shared" si="31"/>
        <v/>
      </c>
      <c r="N495" s="5"/>
      <c r="P495" t="s">
        <v>86</v>
      </c>
    </row>
    <row r="496" spans="2:16">
      <c r="B496" s="22"/>
      <c r="C496" s="22"/>
      <c r="D496" s="22"/>
      <c r="E496" s="24"/>
      <c r="F496" s="24"/>
      <c r="G496" s="23" t="str">
        <f t="shared" si="29"/>
        <v/>
      </c>
      <c r="K496" s="2" t="str">
        <f t="shared" si="30"/>
        <v/>
      </c>
      <c r="L496" s="2" t="str">
        <f t="shared" si="32"/>
        <v/>
      </c>
      <c r="M496" s="2" t="str">
        <f t="shared" si="31"/>
        <v/>
      </c>
      <c r="N496" s="5"/>
      <c r="P496" t="s">
        <v>86</v>
      </c>
    </row>
    <row r="497" spans="2:16">
      <c r="B497" s="22"/>
      <c r="C497" s="22"/>
      <c r="D497" s="22"/>
      <c r="E497" s="24"/>
      <c r="F497" s="24"/>
      <c r="G497" s="23" t="str">
        <f t="shared" si="29"/>
        <v/>
      </c>
      <c r="K497" s="2" t="str">
        <f t="shared" si="30"/>
        <v/>
      </c>
      <c r="L497" s="2" t="str">
        <f t="shared" si="32"/>
        <v/>
      </c>
      <c r="M497" s="2" t="str">
        <f t="shared" si="31"/>
        <v/>
      </c>
      <c r="N497" s="5"/>
      <c r="P497" t="s">
        <v>86</v>
      </c>
    </row>
    <row r="498" spans="2:16">
      <c r="B498" s="22"/>
      <c r="C498" s="22"/>
      <c r="D498" s="22"/>
      <c r="E498" s="24"/>
      <c r="F498" s="24"/>
      <c r="G498" s="23" t="str">
        <f t="shared" si="29"/>
        <v/>
      </c>
      <c r="K498" s="2" t="str">
        <f t="shared" si="30"/>
        <v/>
      </c>
      <c r="L498" s="2" t="str">
        <f t="shared" si="32"/>
        <v/>
      </c>
      <c r="M498" s="2" t="str">
        <f t="shared" si="31"/>
        <v/>
      </c>
      <c r="N498" s="5"/>
      <c r="P498" t="s">
        <v>86</v>
      </c>
    </row>
    <row r="499" spans="2:16">
      <c r="B499" s="22"/>
      <c r="C499" s="22"/>
      <c r="D499" s="22"/>
      <c r="E499" s="24"/>
      <c r="F499" s="24"/>
      <c r="G499" s="23" t="str">
        <f t="shared" si="29"/>
        <v/>
      </c>
      <c r="K499" s="2" t="str">
        <f t="shared" si="30"/>
        <v/>
      </c>
      <c r="L499" s="2" t="str">
        <f t="shared" si="32"/>
        <v/>
      </c>
      <c r="M499" s="2" t="str">
        <f t="shared" si="31"/>
        <v/>
      </c>
      <c r="N499" s="5"/>
      <c r="P499" t="s">
        <v>86</v>
      </c>
    </row>
    <row r="500" spans="2:16">
      <c r="B500" s="22"/>
      <c r="C500" s="22"/>
      <c r="D500" s="22"/>
      <c r="E500" s="24"/>
      <c r="F500" s="24"/>
      <c r="G500" s="23" t="str">
        <f t="shared" si="29"/>
        <v/>
      </c>
      <c r="K500" s="2" t="str">
        <f t="shared" si="30"/>
        <v/>
      </c>
      <c r="L500" s="2" t="str">
        <f t="shared" si="32"/>
        <v/>
      </c>
      <c r="M500" s="2" t="str">
        <f t="shared" si="31"/>
        <v/>
      </c>
      <c r="N500" s="5"/>
      <c r="P500" t="s">
        <v>86</v>
      </c>
    </row>
    <row r="501" spans="2:16">
      <c r="B501" s="22"/>
      <c r="C501" s="22"/>
      <c r="D501" s="22"/>
      <c r="E501" s="24"/>
      <c r="F501" s="24"/>
      <c r="G501" s="23" t="str">
        <f t="shared" si="29"/>
        <v/>
      </c>
      <c r="K501" s="2" t="str">
        <f t="shared" si="30"/>
        <v/>
      </c>
      <c r="L501" s="2" t="str">
        <f t="shared" si="32"/>
        <v/>
      </c>
      <c r="M501" s="2" t="str">
        <f t="shared" si="31"/>
        <v/>
      </c>
      <c r="N501" s="5"/>
      <c r="P501" t="s">
        <v>86</v>
      </c>
    </row>
    <row r="502" spans="2:16">
      <c r="B502" s="22"/>
      <c r="C502" s="22"/>
      <c r="D502" s="22"/>
      <c r="E502" s="24"/>
      <c r="F502" s="24"/>
      <c r="G502" s="23" t="str">
        <f t="shared" si="29"/>
        <v/>
      </c>
    </row>
  </sheetData>
  <sortState xmlns:xlrd2="http://schemas.microsoft.com/office/spreadsheetml/2017/richdata2" ref="P23:P501">
    <sortCondition descending="1" ref="P23"/>
  </sortState>
  <mergeCells count="19">
    <mergeCell ref="O21:O22"/>
    <mergeCell ref="O24:O25"/>
    <mergeCell ref="O27:O28"/>
    <mergeCell ref="V18:W19"/>
    <mergeCell ref="O5:O6"/>
    <mergeCell ref="V15:W16"/>
    <mergeCell ref="O2:O3"/>
    <mergeCell ref="P27:Q28"/>
    <mergeCell ref="P21:Q22"/>
    <mergeCell ref="S21:T22"/>
    <mergeCell ref="P24:Q25"/>
    <mergeCell ref="P12:Q13"/>
    <mergeCell ref="P18:Q19"/>
    <mergeCell ref="S18:T19"/>
    <mergeCell ref="P15:Q16"/>
    <mergeCell ref="S15:T16"/>
    <mergeCell ref="O12:O13"/>
    <mergeCell ref="O15:O16"/>
    <mergeCell ref="O18:O19"/>
  </mergeCells>
  <phoneticPr fontId="3" type="noConversion"/>
  <conditionalFormatting sqref="G1:G1048576">
    <cfRule type="cellIs" dxfId="4" priority="5" operator="equal">
      <formula>"불일치"</formula>
    </cfRule>
  </conditionalFormatting>
  <conditionalFormatting sqref="K1:L1048576">
    <cfRule type="duplicateValues" dxfId="3" priority="4"/>
  </conditionalFormatting>
  <conditionalFormatting sqref="K1:K1048576">
    <cfRule type="duplicateValues" dxfId="2" priority="3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Label 1">
              <controlPr defaultSize="0" autoFill="0" autoLine="0" autoPict="0" macro="[0]!copy_All_Sheets_In_Folder">
                <anchor moveWithCells="1" sizeWithCells="1">
                  <from>
                    <xdr:col>15</xdr:col>
                    <xdr:colOff>0</xdr:colOff>
                    <xdr:row>11</xdr:row>
                    <xdr:rowOff>19050</xdr:rowOff>
                  </from>
                  <to>
                    <xdr:col>16</xdr:col>
                    <xdr:colOff>666750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Label 2">
              <controlPr defaultSize="0" autoFill="0" autoLine="0" autoPict="0" macro="[0]!인성학습_정렬">
                <anchor moveWithCells="1" sizeWithCells="1">
                  <from>
                    <xdr:col>15</xdr:col>
                    <xdr:colOff>9525</xdr:colOff>
                    <xdr:row>17</xdr:row>
                    <xdr:rowOff>19050</xdr:rowOff>
                  </from>
                  <to>
                    <xdr:col>16</xdr:col>
                    <xdr:colOff>685800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Label 3">
              <controlPr defaultSize="0" autoFill="0" autoLine="0" autoPict="0" macro="[0]!인성_정렬">
                <anchor moveWithCells="1" sizeWithCells="1">
                  <from>
                    <xdr:col>18</xdr:col>
                    <xdr:colOff>38100</xdr:colOff>
                    <xdr:row>17</xdr:row>
                    <xdr:rowOff>9525</xdr:rowOff>
                  </from>
                  <to>
                    <xdr:col>19</xdr:col>
                    <xdr:colOff>714375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Label 4">
              <controlPr defaultSize="0" autoFill="0" autoLine="0" autoPict="0" macro="[0]!학습_정렬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22</xdr:col>
                    <xdr:colOff>676275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Label 5">
              <controlPr defaultSize="0" autoFill="0" autoLine="0" autoPict="0" macro="[0]!합반함수">
                <anchor moveWithCells="1" sizeWithCells="1">
                  <from>
                    <xdr:col>15</xdr:col>
                    <xdr:colOff>0</xdr:colOff>
                    <xdr:row>20</xdr:row>
                    <xdr:rowOff>19050</xdr:rowOff>
                  </from>
                  <to>
                    <xdr:col>16</xdr:col>
                    <xdr:colOff>676275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Label 6">
              <controlPr defaultSize="0" autoFill="0" autoLine="0" autoPict="0" macro="[0]!분반함수">
                <anchor moveWithCells="1" sizeWithCells="1">
                  <from>
                    <xdr:col>18</xdr:col>
                    <xdr:colOff>28575</xdr:colOff>
                    <xdr:row>20</xdr:row>
                    <xdr:rowOff>19050</xdr:rowOff>
                  </from>
                  <to>
                    <xdr:col>19</xdr:col>
                    <xdr:colOff>704850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Label 7">
              <controlPr defaultSize="0" autoFill="0" autoLine="0" autoPict="0" macro="[0]!인성학습_이름확인">
                <anchor moveWithCells="1" sizeWithCells="1">
                  <from>
                    <xdr:col>15</xdr:col>
                    <xdr:colOff>9525</xdr:colOff>
                    <xdr:row>14</xdr:row>
                    <xdr:rowOff>19050</xdr:rowOff>
                  </from>
                  <to>
                    <xdr:col>16</xdr:col>
                    <xdr:colOff>685800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Label 8">
              <controlPr defaultSize="0" autoFill="0" autoLine="0" autoPict="0" macro="[0]!인성_이름확인">
                <anchor moveWithCells="1" sizeWithCells="1">
                  <from>
                    <xdr:col>18</xdr:col>
                    <xdr:colOff>28575</xdr:colOff>
                    <xdr:row>14</xdr:row>
                    <xdr:rowOff>0</xdr:rowOff>
                  </from>
                  <to>
                    <xdr:col>19</xdr:col>
                    <xdr:colOff>704850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Label 9">
              <controlPr defaultSize="0" autoFill="0" autoLine="0" autoPict="0" macro="[0]!Split_sheet">
                <anchor moveWithCells="1" sizeWithCells="1">
                  <from>
                    <xdr:col>15</xdr:col>
                    <xdr:colOff>0</xdr:colOff>
                    <xdr:row>26</xdr:row>
                    <xdr:rowOff>19050</xdr:rowOff>
                  </from>
                  <to>
                    <xdr:col>16</xdr:col>
                    <xdr:colOff>676275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3" name="Label 10">
              <controlPr defaultSize="0" autoFill="0" autoLine="0" autoPict="0" macro="[0]!학습_이름확인">
                <anchor moveWithCells="1" sizeWithCells="1">
                  <from>
                    <xdr:col>21</xdr:col>
                    <xdr:colOff>0</xdr:colOff>
                    <xdr:row>14</xdr:row>
                    <xdr:rowOff>9525</xdr:rowOff>
                  </from>
                  <to>
                    <xdr:col>22</xdr:col>
                    <xdr:colOff>676275</xdr:colOff>
                    <xdr:row>15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BN500"/>
  <sheetViews>
    <sheetView showGridLines="0" zoomScale="71" zoomScaleNormal="71" workbookViewId="0">
      <selection activeCell="BE4" sqref="BE4"/>
    </sheetView>
  </sheetViews>
  <sheetFormatPr defaultRowHeight="16.5"/>
  <cols>
    <col min="1" max="2" width="11" bestFit="1" customWidth="1"/>
    <col min="3" max="3" width="5.25" bestFit="1" customWidth="1"/>
    <col min="4" max="4" width="7.125" bestFit="1" customWidth="1"/>
    <col min="5" max="5" width="12.75" bestFit="1" customWidth="1"/>
    <col min="6" max="6" width="12.875" bestFit="1" customWidth="1"/>
    <col min="7" max="7" width="15.875" bestFit="1" customWidth="1"/>
    <col min="8" max="8" width="12.75" bestFit="1" customWidth="1"/>
    <col min="9" max="9" width="12.875" bestFit="1" customWidth="1"/>
    <col min="10" max="10" width="15.875" bestFit="1" customWidth="1"/>
    <col min="11" max="11" width="12.75" bestFit="1" customWidth="1"/>
    <col min="12" max="12" width="12.875" bestFit="1" customWidth="1"/>
    <col min="13" max="13" width="15.875" bestFit="1" customWidth="1"/>
    <col min="14" max="14" width="8.75" bestFit="1" customWidth="1"/>
    <col min="15" max="15" width="8.875" bestFit="1" customWidth="1"/>
    <col min="16" max="16" width="11.625" bestFit="1" customWidth="1"/>
    <col min="17" max="17" width="12.75" bestFit="1" customWidth="1"/>
    <col min="18" max="18" width="12.875" bestFit="1" customWidth="1"/>
    <col min="19" max="19" width="15.875" bestFit="1" customWidth="1"/>
    <col min="20" max="20" width="8.75" bestFit="1" customWidth="1"/>
    <col min="21" max="21" width="8.875" bestFit="1" customWidth="1"/>
    <col min="22" max="22" width="11.625" bestFit="1" customWidth="1"/>
    <col min="23" max="23" width="10.625" bestFit="1" customWidth="1"/>
    <col min="25" max="25" width="10.875" bestFit="1" customWidth="1"/>
    <col min="57" max="58" width="9.625" customWidth="1"/>
  </cols>
  <sheetData>
    <row r="1" spans="1:66" ht="49.5">
      <c r="A1" s="11" t="s">
        <v>12</v>
      </c>
      <c r="B1" s="11" t="s">
        <v>0</v>
      </c>
      <c r="C1" s="11" t="s">
        <v>13</v>
      </c>
      <c r="D1" s="11" t="s">
        <v>4</v>
      </c>
      <c r="E1" s="11" t="s">
        <v>64</v>
      </c>
      <c r="F1" s="11" t="s">
        <v>65</v>
      </c>
      <c r="G1" s="11" t="s">
        <v>66</v>
      </c>
      <c r="H1" s="11" t="s">
        <v>67</v>
      </c>
      <c r="I1" s="11" t="s">
        <v>68</v>
      </c>
      <c r="J1" s="11" t="s">
        <v>69</v>
      </c>
      <c r="K1" s="11" t="s">
        <v>70</v>
      </c>
      <c r="L1" s="11" t="s">
        <v>71</v>
      </c>
      <c r="M1" s="11" t="s">
        <v>72</v>
      </c>
      <c r="N1" s="11" t="s">
        <v>73</v>
      </c>
      <c r="O1" s="11" t="s">
        <v>74</v>
      </c>
      <c r="P1" s="11" t="s">
        <v>75</v>
      </c>
      <c r="Q1" s="11" t="s">
        <v>76</v>
      </c>
      <c r="R1" s="11" t="s">
        <v>77</v>
      </c>
      <c r="S1" s="11" t="s">
        <v>78</v>
      </c>
      <c r="T1" s="11" t="s">
        <v>79</v>
      </c>
      <c r="U1" s="11" t="s">
        <v>80</v>
      </c>
      <c r="V1" s="11" t="s">
        <v>81</v>
      </c>
      <c r="W1" s="11" t="s">
        <v>14</v>
      </c>
      <c r="X1" s="11" t="s">
        <v>158</v>
      </c>
      <c r="Y1" s="11" t="s">
        <v>159</v>
      </c>
      <c r="Z1" s="17" t="s">
        <v>83</v>
      </c>
      <c r="AA1" s="17" t="s">
        <v>84</v>
      </c>
      <c r="AB1" s="17" t="s">
        <v>85</v>
      </c>
      <c r="AC1" s="2" t="s">
        <v>15</v>
      </c>
      <c r="AD1" s="2" t="s">
        <v>16</v>
      </c>
      <c r="AE1" s="2" t="s">
        <v>17</v>
      </c>
      <c r="AF1" s="2" t="s">
        <v>18</v>
      </c>
      <c r="AG1" s="2" t="s">
        <v>19</v>
      </c>
      <c r="AH1" s="2" t="s">
        <v>38</v>
      </c>
      <c r="AI1" s="2" t="s">
        <v>39</v>
      </c>
      <c r="AJ1" s="2" t="s">
        <v>40</v>
      </c>
      <c r="AK1" s="2" t="s">
        <v>41</v>
      </c>
      <c r="AL1" s="2" t="s">
        <v>42</v>
      </c>
      <c r="AM1" s="2" t="s">
        <v>43</v>
      </c>
      <c r="AN1" s="2" t="s">
        <v>44</v>
      </c>
      <c r="AO1" s="2" t="s">
        <v>45</v>
      </c>
      <c r="AP1" s="2" t="s">
        <v>46</v>
      </c>
      <c r="AQ1" s="2" t="s">
        <v>47</v>
      </c>
      <c r="AR1" s="2" t="s">
        <v>48</v>
      </c>
      <c r="AS1" s="2" t="s">
        <v>49</v>
      </c>
      <c r="AT1" s="2" t="s">
        <v>50</v>
      </c>
      <c r="AU1" s="2" t="s">
        <v>51</v>
      </c>
      <c r="AV1" s="2" t="s">
        <v>52</v>
      </c>
      <c r="AW1" s="2" t="s">
        <v>53</v>
      </c>
      <c r="AX1" s="2" t="s">
        <v>54</v>
      </c>
      <c r="AY1" s="2" t="s">
        <v>55</v>
      </c>
      <c r="AZ1" s="17" t="s">
        <v>20</v>
      </c>
      <c r="BA1" s="17" t="s">
        <v>21</v>
      </c>
      <c r="BB1" s="17" t="s">
        <v>22</v>
      </c>
      <c r="BC1" s="17" t="s">
        <v>23</v>
      </c>
      <c r="BD1" s="17" t="s">
        <v>24</v>
      </c>
      <c r="BE1" s="17" t="s">
        <v>82</v>
      </c>
      <c r="BF1" s="17" t="s">
        <v>177</v>
      </c>
      <c r="BG1" s="17" t="s">
        <v>25</v>
      </c>
      <c r="BH1" s="17" t="s">
        <v>26</v>
      </c>
      <c r="BI1" s="17" t="s">
        <v>27</v>
      </c>
      <c r="BJ1" s="17" t="s">
        <v>28</v>
      </c>
      <c r="BK1" s="17" t="s">
        <v>29</v>
      </c>
      <c r="BL1" s="17" t="s">
        <v>30</v>
      </c>
      <c r="BM1" s="17" t="s">
        <v>31</v>
      </c>
      <c r="BN1" s="16" t="s">
        <v>63</v>
      </c>
    </row>
    <row r="2" spans="1:66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11"/>
    </row>
    <row r="3" spans="1:66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11"/>
    </row>
    <row r="4" spans="1:66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11"/>
    </row>
    <row r="5" spans="1:66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11"/>
    </row>
    <row r="6" spans="1:66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11"/>
    </row>
    <row r="7" spans="1:66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11"/>
    </row>
    <row r="8" spans="1:66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11"/>
    </row>
    <row r="9" spans="1:66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11"/>
    </row>
    <row r="10" spans="1:66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11"/>
    </row>
    <row r="11" spans="1:66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11"/>
    </row>
    <row r="12" spans="1:66">
      <c r="A12" s="1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11"/>
    </row>
    <row r="13" spans="1:66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11"/>
    </row>
    <row r="14" spans="1:66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11"/>
    </row>
    <row r="15" spans="1:66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11"/>
    </row>
    <row r="16" spans="1:66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11"/>
    </row>
    <row r="17" spans="1:66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11"/>
    </row>
    <row r="18" spans="1:66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11"/>
    </row>
    <row r="19" spans="1:66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11"/>
    </row>
    <row r="20" spans="1:66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11"/>
    </row>
    <row r="21" spans="1:66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11"/>
    </row>
    <row r="22" spans="1:66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11"/>
    </row>
    <row r="23" spans="1:66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11"/>
    </row>
    <row r="24" spans="1:66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11"/>
    </row>
    <row r="25" spans="1:66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11"/>
    </row>
    <row r="26" spans="1:66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11"/>
    </row>
    <row r="27" spans="1:66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11"/>
    </row>
    <row r="28" spans="1:66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11"/>
    </row>
    <row r="29" spans="1:66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11"/>
    </row>
    <row r="30" spans="1:66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11"/>
    </row>
    <row r="31" spans="1:66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11"/>
    </row>
    <row r="32" spans="1:66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11"/>
    </row>
    <row r="33" spans="1:66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11"/>
    </row>
    <row r="34" spans="1:66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11"/>
    </row>
    <row r="35" spans="1:66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11"/>
    </row>
    <row r="36" spans="1:66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11"/>
    </row>
    <row r="37" spans="1:66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11"/>
    </row>
    <row r="38" spans="1:66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11"/>
    </row>
    <row r="39" spans="1:66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11"/>
    </row>
    <row r="40" spans="1:66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11"/>
    </row>
    <row r="41" spans="1:66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11"/>
    </row>
    <row r="42" spans="1:66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11"/>
    </row>
    <row r="43" spans="1:66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11"/>
    </row>
    <row r="44" spans="1:66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11"/>
    </row>
    <row r="45" spans="1:66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11"/>
    </row>
    <row r="46" spans="1:66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11"/>
    </row>
    <row r="47" spans="1:66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11"/>
    </row>
    <row r="48" spans="1:66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11"/>
    </row>
    <row r="49" spans="1:66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11"/>
    </row>
    <row r="50" spans="1:66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11"/>
    </row>
    <row r="51" spans="1:66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11"/>
    </row>
    <row r="52" spans="1:66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11"/>
    </row>
    <row r="53" spans="1:66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11"/>
    </row>
    <row r="54" spans="1:66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11"/>
    </row>
    <row r="55" spans="1:66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11"/>
    </row>
    <row r="56" spans="1:66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11"/>
    </row>
    <row r="57" spans="1:66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11"/>
    </row>
    <row r="58" spans="1:66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11"/>
    </row>
    <row r="59" spans="1:66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11"/>
    </row>
    <row r="60" spans="1:66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11"/>
    </row>
    <row r="61" spans="1:66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11"/>
    </row>
    <row r="62" spans="1:66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11"/>
    </row>
    <row r="63" spans="1:66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11"/>
    </row>
    <row r="64" spans="1:66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11"/>
    </row>
    <row r="65" spans="1:66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11"/>
    </row>
    <row r="66" spans="1:66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11"/>
    </row>
    <row r="67" spans="1:66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11"/>
    </row>
    <row r="68" spans="1:66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11"/>
    </row>
    <row r="69" spans="1:66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11"/>
    </row>
    <row r="70" spans="1:66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11"/>
    </row>
    <row r="71" spans="1:66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11"/>
    </row>
    <row r="72" spans="1:66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11"/>
    </row>
    <row r="73" spans="1:66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11"/>
    </row>
    <row r="74" spans="1:66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11"/>
    </row>
    <row r="75" spans="1:66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11"/>
    </row>
    <row r="76" spans="1:66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11"/>
    </row>
    <row r="77" spans="1:66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11"/>
    </row>
    <row r="78" spans="1:66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11"/>
    </row>
    <row r="79" spans="1:66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11"/>
    </row>
    <row r="80" spans="1:66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11"/>
    </row>
    <row r="81" spans="1:66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11"/>
    </row>
    <row r="82" spans="1:66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11"/>
    </row>
    <row r="83" spans="1:66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11"/>
    </row>
    <row r="84" spans="1:66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11"/>
    </row>
    <row r="85" spans="1:66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11"/>
    </row>
    <row r="86" spans="1:66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11"/>
    </row>
    <row r="87" spans="1:66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11"/>
    </row>
    <row r="88" spans="1:66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11"/>
    </row>
    <row r="89" spans="1:66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11"/>
    </row>
    <row r="90" spans="1:66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11"/>
    </row>
    <row r="91" spans="1:66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11"/>
    </row>
    <row r="92" spans="1:66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11"/>
    </row>
    <row r="93" spans="1:66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11"/>
    </row>
    <row r="94" spans="1:66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11"/>
    </row>
    <row r="95" spans="1:66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11"/>
    </row>
    <row r="96" spans="1:66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11"/>
    </row>
    <row r="97" spans="1:66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11"/>
    </row>
    <row r="98" spans="1:66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11"/>
    </row>
    <row r="99" spans="1:66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11"/>
    </row>
    <row r="100" spans="1:66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  <c r="BK100" s="11"/>
      <c r="BL100" s="11"/>
      <c r="BM100" s="11"/>
      <c r="BN100" s="11"/>
    </row>
    <row r="101" spans="1:66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L101" s="11"/>
      <c r="BM101" s="11"/>
      <c r="BN101" s="11"/>
    </row>
    <row r="102" spans="1:66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L102" s="11"/>
      <c r="BM102" s="11"/>
      <c r="BN102" s="11"/>
    </row>
    <row r="103" spans="1:66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L103" s="11"/>
      <c r="BM103" s="11"/>
      <c r="BN103" s="11"/>
    </row>
    <row r="104" spans="1:66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L104" s="11"/>
      <c r="BM104" s="11"/>
      <c r="BN104" s="11"/>
    </row>
    <row r="105" spans="1:66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  <c r="BL105" s="11"/>
      <c r="BM105" s="11"/>
      <c r="BN105" s="11"/>
    </row>
    <row r="106" spans="1:66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  <c r="BL106" s="11"/>
      <c r="BM106" s="11"/>
      <c r="BN106" s="11"/>
    </row>
    <row r="107" spans="1:66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  <c r="BL107" s="11"/>
      <c r="BM107" s="11"/>
      <c r="BN107" s="11"/>
    </row>
    <row r="108" spans="1:66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  <c r="BL108" s="11"/>
      <c r="BM108" s="11"/>
      <c r="BN108" s="11"/>
    </row>
    <row r="109" spans="1:66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  <c r="BL109" s="11"/>
      <c r="BM109" s="11"/>
      <c r="BN109" s="11"/>
    </row>
    <row r="110" spans="1:66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L110" s="11"/>
      <c r="BM110" s="11"/>
      <c r="BN110" s="11"/>
    </row>
    <row r="111" spans="1:66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L111" s="11"/>
      <c r="BM111" s="11"/>
      <c r="BN111" s="11"/>
    </row>
    <row r="112" spans="1:66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  <c r="BL112" s="11"/>
      <c r="BM112" s="11"/>
      <c r="BN112" s="11"/>
    </row>
    <row r="113" spans="1:66">
      <c r="A113" s="11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  <c r="BL113" s="11"/>
      <c r="BM113" s="11"/>
      <c r="BN113" s="11"/>
    </row>
    <row r="114" spans="1:66">
      <c r="A114" s="11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  <c r="BL114" s="11"/>
      <c r="BM114" s="11"/>
      <c r="BN114" s="11"/>
    </row>
    <row r="115" spans="1:66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  <c r="BL115" s="11"/>
      <c r="BM115" s="11"/>
      <c r="BN115" s="11"/>
    </row>
    <row r="116" spans="1:66">
      <c r="A116" s="11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  <c r="BL116" s="11"/>
      <c r="BM116" s="11"/>
      <c r="BN116" s="11"/>
    </row>
    <row r="117" spans="1:66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  <c r="BL117" s="11"/>
      <c r="BM117" s="11"/>
      <c r="BN117" s="11"/>
    </row>
    <row r="118" spans="1:66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  <c r="BL118" s="11"/>
      <c r="BM118" s="11"/>
      <c r="BN118" s="11"/>
    </row>
    <row r="119" spans="1:66">
      <c r="A119" s="11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  <c r="BL119" s="11"/>
      <c r="BM119" s="11"/>
      <c r="BN119" s="11"/>
    </row>
    <row r="120" spans="1:66">
      <c r="A120" s="11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  <c r="AQ120" s="11"/>
      <c r="AR120" s="11"/>
      <c r="AS120" s="11"/>
      <c r="AT120" s="11"/>
      <c r="AU120" s="11"/>
      <c r="AV120" s="11"/>
      <c r="AW120" s="11"/>
      <c r="AX120" s="11"/>
      <c r="AY120" s="11"/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  <c r="BL120" s="11"/>
      <c r="BM120" s="11"/>
      <c r="BN120" s="11"/>
    </row>
    <row r="121" spans="1:66">
      <c r="A121" s="11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  <c r="BL121" s="11"/>
      <c r="BM121" s="11"/>
      <c r="BN121" s="11"/>
    </row>
    <row r="122" spans="1:66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  <c r="BL122" s="11"/>
      <c r="BM122" s="11"/>
      <c r="BN122" s="11"/>
    </row>
    <row r="123" spans="1:66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  <c r="BL123" s="11"/>
      <c r="BM123" s="11"/>
      <c r="BN123" s="11"/>
    </row>
    <row r="124" spans="1:66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  <c r="BL124" s="11"/>
      <c r="BM124" s="11"/>
      <c r="BN124" s="11"/>
    </row>
    <row r="125" spans="1:66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  <c r="BL125" s="11"/>
      <c r="BM125" s="11"/>
      <c r="BN125" s="11"/>
    </row>
    <row r="126" spans="1:66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  <c r="BL126" s="11"/>
      <c r="BM126" s="11"/>
      <c r="BN126" s="11"/>
    </row>
    <row r="127" spans="1:66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  <c r="BL127" s="11"/>
      <c r="BM127" s="11"/>
      <c r="BN127" s="11"/>
    </row>
    <row r="128" spans="1:66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  <c r="BL128" s="11"/>
      <c r="BM128" s="11"/>
      <c r="BN128" s="11"/>
    </row>
    <row r="129" spans="1:66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  <c r="BL129" s="11"/>
      <c r="BM129" s="11"/>
      <c r="BN129" s="11"/>
    </row>
    <row r="130" spans="1:66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  <c r="BL130" s="11"/>
      <c r="BM130" s="11"/>
      <c r="BN130" s="11"/>
    </row>
    <row r="131" spans="1:66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  <c r="AP131" s="11"/>
      <c r="AQ131" s="11"/>
      <c r="AR131" s="11"/>
      <c r="AS131" s="11"/>
      <c r="AT131" s="11"/>
      <c r="AU131" s="11"/>
      <c r="AV131" s="11"/>
      <c r="AW131" s="11"/>
      <c r="AX131" s="11"/>
      <c r="AY131" s="11"/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  <c r="BL131" s="11"/>
      <c r="BM131" s="11"/>
      <c r="BN131" s="11"/>
    </row>
    <row r="132" spans="1:66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11"/>
      <c r="AR132" s="11"/>
      <c r="AS132" s="11"/>
      <c r="AT132" s="11"/>
      <c r="AU132" s="11"/>
      <c r="AV132" s="11"/>
      <c r="AW132" s="11"/>
      <c r="AX132" s="11"/>
      <c r="AY132" s="11"/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  <c r="BL132" s="11"/>
      <c r="BM132" s="11"/>
      <c r="BN132" s="11"/>
    </row>
    <row r="133" spans="1:66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  <c r="AP133" s="11"/>
      <c r="AQ133" s="11"/>
      <c r="AR133" s="11"/>
      <c r="AS133" s="11"/>
      <c r="AT133" s="11"/>
      <c r="AU133" s="11"/>
      <c r="AV133" s="11"/>
      <c r="AW133" s="11"/>
      <c r="AX133" s="11"/>
      <c r="AY133" s="11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  <c r="BL133" s="11"/>
      <c r="BM133" s="11"/>
      <c r="BN133" s="11"/>
    </row>
    <row r="134" spans="1:66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11"/>
      <c r="AR134" s="11"/>
      <c r="AS134" s="11"/>
      <c r="AT134" s="11"/>
      <c r="AU134" s="11"/>
      <c r="AV134" s="11"/>
      <c r="AW134" s="11"/>
      <c r="AX134" s="11"/>
      <c r="AY134" s="11"/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  <c r="BL134" s="11"/>
      <c r="BM134" s="11"/>
      <c r="BN134" s="11"/>
    </row>
    <row r="135" spans="1:66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  <c r="BL135" s="11"/>
      <c r="BM135" s="11"/>
      <c r="BN135" s="11"/>
    </row>
    <row r="136" spans="1:66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11"/>
      <c r="AR136" s="11"/>
      <c r="AS136" s="11"/>
      <c r="AT136" s="11"/>
      <c r="AU136" s="11"/>
      <c r="AV136" s="11"/>
      <c r="AW136" s="11"/>
      <c r="AX136" s="11"/>
      <c r="AY136" s="11"/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  <c r="BL136" s="11"/>
      <c r="BM136" s="11"/>
      <c r="BN136" s="11"/>
    </row>
    <row r="137" spans="1:66">
      <c r="A137" s="11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  <c r="AQ137" s="11"/>
      <c r="AR137" s="11"/>
      <c r="AS137" s="11"/>
      <c r="AT137" s="11"/>
      <c r="AU137" s="11"/>
      <c r="AV137" s="11"/>
      <c r="AW137" s="11"/>
      <c r="AX137" s="11"/>
      <c r="AY137" s="11"/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  <c r="BL137" s="11"/>
      <c r="BM137" s="11"/>
      <c r="BN137" s="11"/>
    </row>
    <row r="138" spans="1:66">
      <c r="A138" s="11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  <c r="AQ138" s="11"/>
      <c r="AR138" s="11"/>
      <c r="AS138" s="11"/>
      <c r="AT138" s="11"/>
      <c r="AU138" s="11"/>
      <c r="AV138" s="11"/>
      <c r="AW138" s="11"/>
      <c r="AX138" s="11"/>
      <c r="AY138" s="11"/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  <c r="BL138" s="11"/>
      <c r="BM138" s="11"/>
      <c r="BN138" s="11"/>
    </row>
    <row r="139" spans="1:66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  <c r="AQ139" s="11"/>
      <c r="AR139" s="11"/>
      <c r="AS139" s="11"/>
      <c r="AT139" s="11"/>
      <c r="AU139" s="11"/>
      <c r="AV139" s="11"/>
      <c r="AW139" s="11"/>
      <c r="AX139" s="11"/>
      <c r="AY139" s="11"/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  <c r="BL139" s="11"/>
      <c r="BM139" s="11"/>
      <c r="BN139" s="11"/>
    </row>
    <row r="140" spans="1:66">
      <c r="A140" s="11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  <c r="BK140" s="11"/>
      <c r="BL140" s="11"/>
      <c r="BM140" s="11"/>
      <c r="BN140" s="11"/>
    </row>
    <row r="141" spans="1:66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  <c r="BK141" s="11"/>
      <c r="BL141" s="11"/>
      <c r="BM141" s="11"/>
      <c r="BN141" s="11"/>
    </row>
    <row r="142" spans="1:66">
      <c r="A142" s="11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  <c r="AP142" s="11"/>
      <c r="AQ142" s="11"/>
      <c r="AR142" s="11"/>
      <c r="AS142" s="11"/>
      <c r="AT142" s="11"/>
      <c r="AU142" s="11"/>
      <c r="AV142" s="11"/>
      <c r="AW142" s="11"/>
      <c r="AX142" s="11"/>
      <c r="AY142" s="11"/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  <c r="BK142" s="11"/>
      <c r="BL142" s="11"/>
      <c r="BM142" s="11"/>
      <c r="BN142" s="11"/>
    </row>
    <row r="143" spans="1:66">
      <c r="A143" s="11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  <c r="AP143" s="11"/>
      <c r="AQ143" s="11"/>
      <c r="AR143" s="11"/>
      <c r="AS143" s="11"/>
      <c r="AT143" s="11"/>
      <c r="AU143" s="11"/>
      <c r="AV143" s="11"/>
      <c r="AW143" s="11"/>
      <c r="AX143" s="11"/>
      <c r="AY143" s="11"/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  <c r="BL143" s="11"/>
      <c r="BM143" s="11"/>
      <c r="BN143" s="11"/>
    </row>
    <row r="144" spans="1:66">
      <c r="A144" s="11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  <c r="AP144" s="11"/>
      <c r="AQ144" s="11"/>
      <c r="AR144" s="11"/>
      <c r="AS144" s="11"/>
      <c r="AT144" s="11"/>
      <c r="AU144" s="11"/>
      <c r="AV144" s="11"/>
      <c r="AW144" s="11"/>
      <c r="AX144" s="11"/>
      <c r="AY144" s="11"/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  <c r="BK144" s="11"/>
      <c r="BL144" s="11"/>
      <c r="BM144" s="11"/>
      <c r="BN144" s="11"/>
    </row>
    <row r="145" spans="1:66">
      <c r="A145" s="11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  <c r="AP145" s="11"/>
      <c r="AQ145" s="11"/>
      <c r="AR145" s="11"/>
      <c r="AS145" s="11"/>
      <c r="AT145" s="11"/>
      <c r="AU145" s="11"/>
      <c r="AV145" s="11"/>
      <c r="AW145" s="11"/>
      <c r="AX145" s="11"/>
      <c r="AY145" s="11"/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  <c r="BK145" s="11"/>
      <c r="BL145" s="11"/>
      <c r="BM145" s="11"/>
      <c r="BN145" s="11"/>
    </row>
    <row r="146" spans="1:66">
      <c r="A146" s="11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  <c r="AP146" s="11"/>
      <c r="AQ146" s="11"/>
      <c r="AR146" s="11"/>
      <c r="AS146" s="11"/>
      <c r="AT146" s="11"/>
      <c r="AU146" s="11"/>
      <c r="AV146" s="11"/>
      <c r="AW146" s="11"/>
      <c r="AX146" s="11"/>
      <c r="AY146" s="11"/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  <c r="BK146" s="11"/>
      <c r="BL146" s="11"/>
      <c r="BM146" s="11"/>
      <c r="BN146" s="11"/>
    </row>
    <row r="147" spans="1:66">
      <c r="A147" s="11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  <c r="AP147" s="11"/>
      <c r="AQ147" s="11"/>
      <c r="AR147" s="11"/>
      <c r="AS147" s="11"/>
      <c r="AT147" s="11"/>
      <c r="AU147" s="11"/>
      <c r="AV147" s="11"/>
      <c r="AW147" s="11"/>
      <c r="AX147" s="11"/>
      <c r="AY147" s="11"/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  <c r="BL147" s="11"/>
      <c r="BM147" s="11"/>
      <c r="BN147" s="11"/>
    </row>
    <row r="148" spans="1:66">
      <c r="A148" s="11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  <c r="AP148" s="11"/>
      <c r="AQ148" s="11"/>
      <c r="AR148" s="11"/>
      <c r="AS148" s="11"/>
      <c r="AT148" s="11"/>
      <c r="AU148" s="11"/>
      <c r="AV148" s="11"/>
      <c r="AW148" s="11"/>
      <c r="AX148" s="11"/>
      <c r="AY148" s="11"/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  <c r="BL148" s="11"/>
      <c r="BM148" s="11"/>
      <c r="BN148" s="11"/>
    </row>
    <row r="149" spans="1:66">
      <c r="A149" s="11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  <c r="AP149" s="11"/>
      <c r="AQ149" s="11"/>
      <c r="AR149" s="11"/>
      <c r="AS149" s="11"/>
      <c r="AT149" s="11"/>
      <c r="AU149" s="11"/>
      <c r="AV149" s="11"/>
      <c r="AW149" s="11"/>
      <c r="AX149" s="11"/>
      <c r="AY149" s="11"/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  <c r="BK149" s="11"/>
      <c r="BL149" s="11"/>
      <c r="BM149" s="11"/>
      <c r="BN149" s="11"/>
    </row>
    <row r="150" spans="1:66">
      <c r="A150" s="11"/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  <c r="AP150" s="11"/>
      <c r="AQ150" s="11"/>
      <c r="AR150" s="11"/>
      <c r="AS150" s="11"/>
      <c r="AT150" s="11"/>
      <c r="AU150" s="11"/>
      <c r="AV150" s="11"/>
      <c r="AW150" s="11"/>
      <c r="AX150" s="11"/>
      <c r="AY150" s="11"/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  <c r="BK150" s="11"/>
      <c r="BL150" s="11"/>
      <c r="BM150" s="11"/>
      <c r="BN150" s="11"/>
    </row>
    <row r="151" spans="1:66">
      <c r="A151" s="11"/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  <c r="AP151" s="11"/>
      <c r="AQ151" s="11"/>
      <c r="AR151" s="11"/>
      <c r="AS151" s="11"/>
      <c r="AT151" s="11"/>
      <c r="AU151" s="11"/>
      <c r="AV151" s="11"/>
      <c r="AW151" s="11"/>
      <c r="AX151" s="11"/>
      <c r="AY151" s="11"/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  <c r="BK151" s="11"/>
      <c r="BL151" s="11"/>
      <c r="BM151" s="11"/>
      <c r="BN151" s="11"/>
    </row>
    <row r="152" spans="1:66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  <c r="AP152" s="11"/>
      <c r="AQ152" s="11"/>
      <c r="AR152" s="11"/>
      <c r="AS152" s="11"/>
      <c r="AT152" s="11"/>
      <c r="AU152" s="11"/>
      <c r="AV152" s="11"/>
      <c r="AW152" s="11"/>
      <c r="AX152" s="11"/>
      <c r="AY152" s="11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  <c r="BK152" s="11"/>
      <c r="BL152" s="11"/>
      <c r="BM152" s="11"/>
      <c r="BN152" s="11"/>
    </row>
    <row r="153" spans="1:66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  <c r="AP153" s="11"/>
      <c r="AQ153" s="11"/>
      <c r="AR153" s="11"/>
      <c r="AS153" s="11"/>
      <c r="AT153" s="11"/>
      <c r="AU153" s="11"/>
      <c r="AV153" s="11"/>
      <c r="AW153" s="11"/>
      <c r="AX153" s="11"/>
      <c r="AY153" s="11"/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  <c r="BK153" s="11"/>
      <c r="BL153" s="11"/>
      <c r="BM153" s="11"/>
      <c r="BN153" s="11"/>
    </row>
    <row r="154" spans="1:66">
      <c r="A154" s="11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  <c r="AP154" s="11"/>
      <c r="AQ154" s="11"/>
      <c r="AR154" s="11"/>
      <c r="AS154" s="11"/>
      <c r="AT154" s="11"/>
      <c r="AU154" s="11"/>
      <c r="AV154" s="11"/>
      <c r="AW154" s="11"/>
      <c r="AX154" s="11"/>
      <c r="AY154" s="11"/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  <c r="BK154" s="11"/>
      <c r="BL154" s="11"/>
      <c r="BM154" s="11"/>
      <c r="BN154" s="11"/>
    </row>
    <row r="155" spans="1:66">
      <c r="A155" s="11"/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  <c r="AP155" s="11"/>
      <c r="AQ155" s="11"/>
      <c r="AR155" s="11"/>
      <c r="AS155" s="11"/>
      <c r="AT155" s="11"/>
      <c r="AU155" s="11"/>
      <c r="AV155" s="11"/>
      <c r="AW155" s="11"/>
      <c r="AX155" s="11"/>
      <c r="AY155" s="11"/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  <c r="BK155" s="11"/>
      <c r="BL155" s="11"/>
      <c r="BM155" s="11"/>
      <c r="BN155" s="11"/>
    </row>
    <row r="156" spans="1:66">
      <c r="A156" s="11"/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  <c r="AP156" s="11"/>
      <c r="AQ156" s="11"/>
      <c r="AR156" s="11"/>
      <c r="AS156" s="11"/>
      <c r="AT156" s="11"/>
      <c r="AU156" s="11"/>
      <c r="AV156" s="11"/>
      <c r="AW156" s="11"/>
      <c r="AX156" s="11"/>
      <c r="AY156" s="11"/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  <c r="BK156" s="11"/>
      <c r="BL156" s="11"/>
      <c r="BM156" s="11"/>
      <c r="BN156" s="11"/>
    </row>
    <row r="157" spans="1:66">
      <c r="A157" s="11"/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  <c r="AP157" s="11"/>
      <c r="AQ157" s="11"/>
      <c r="AR157" s="11"/>
      <c r="AS157" s="11"/>
      <c r="AT157" s="11"/>
      <c r="AU157" s="11"/>
      <c r="AV157" s="11"/>
      <c r="AW157" s="11"/>
      <c r="AX157" s="11"/>
      <c r="AY157" s="11"/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  <c r="BK157" s="11"/>
      <c r="BL157" s="11"/>
      <c r="BM157" s="11"/>
      <c r="BN157" s="11"/>
    </row>
    <row r="158" spans="1:66">
      <c r="A158" s="11"/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  <c r="BK158" s="11"/>
      <c r="BL158" s="11"/>
      <c r="BM158" s="11"/>
      <c r="BN158" s="11"/>
    </row>
    <row r="159" spans="1:66">
      <c r="A159" s="11"/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  <c r="AP159" s="11"/>
      <c r="AQ159" s="11"/>
      <c r="AR159" s="11"/>
      <c r="AS159" s="11"/>
      <c r="AT159" s="11"/>
      <c r="AU159" s="11"/>
      <c r="AV159" s="11"/>
      <c r="AW159" s="11"/>
      <c r="AX159" s="11"/>
      <c r="AY159" s="11"/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  <c r="BK159" s="11"/>
      <c r="BL159" s="11"/>
      <c r="BM159" s="11"/>
      <c r="BN159" s="11"/>
    </row>
    <row r="160" spans="1:66">
      <c r="A160" s="11"/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  <c r="AY160" s="11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  <c r="BK160" s="11"/>
      <c r="BL160" s="11"/>
      <c r="BM160" s="11"/>
      <c r="BN160" s="11"/>
    </row>
    <row r="161" spans="1:66">
      <c r="A161" s="11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  <c r="BK161" s="11"/>
      <c r="BL161" s="11"/>
      <c r="BM161" s="11"/>
      <c r="BN161" s="11"/>
    </row>
    <row r="162" spans="1:66">
      <c r="A162" s="11"/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11"/>
      <c r="AO162" s="11"/>
      <c r="AP162" s="11"/>
      <c r="AQ162" s="11"/>
      <c r="AR162" s="11"/>
      <c r="AS162" s="11"/>
      <c r="AT162" s="11"/>
      <c r="AU162" s="11"/>
      <c r="AV162" s="11"/>
      <c r="AW162" s="11"/>
      <c r="AX162" s="11"/>
      <c r="AY162" s="11"/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  <c r="BK162" s="11"/>
      <c r="BL162" s="11"/>
      <c r="BM162" s="11"/>
      <c r="BN162" s="11"/>
    </row>
    <row r="163" spans="1:66">
      <c r="A163" s="11"/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11"/>
      <c r="AO163" s="11"/>
      <c r="AP163" s="11"/>
      <c r="AQ163" s="11"/>
      <c r="AR163" s="11"/>
      <c r="AS163" s="11"/>
      <c r="AT163" s="11"/>
      <c r="AU163" s="11"/>
      <c r="AV163" s="11"/>
      <c r="AW163" s="11"/>
      <c r="AX163" s="11"/>
      <c r="AY163" s="11"/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  <c r="BK163" s="11"/>
      <c r="BL163" s="11"/>
      <c r="BM163" s="11"/>
      <c r="BN163" s="11"/>
    </row>
    <row r="164" spans="1:66">
      <c r="A164" s="11"/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  <c r="AP164" s="11"/>
      <c r="AQ164" s="11"/>
      <c r="AR164" s="11"/>
      <c r="AS164" s="11"/>
      <c r="AT164" s="11"/>
      <c r="AU164" s="11"/>
      <c r="AV164" s="11"/>
      <c r="AW164" s="11"/>
      <c r="AX164" s="11"/>
      <c r="AY164" s="11"/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  <c r="BK164" s="11"/>
      <c r="BL164" s="11"/>
      <c r="BM164" s="11"/>
      <c r="BN164" s="11"/>
    </row>
    <row r="165" spans="1:66">
      <c r="A165" s="11"/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  <c r="AP165" s="11"/>
      <c r="AQ165" s="11"/>
      <c r="AR165" s="11"/>
      <c r="AS165" s="11"/>
      <c r="AT165" s="11"/>
      <c r="AU165" s="11"/>
      <c r="AV165" s="11"/>
      <c r="AW165" s="11"/>
      <c r="AX165" s="11"/>
      <c r="AY165" s="11"/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  <c r="BK165" s="11"/>
      <c r="BL165" s="11"/>
      <c r="BM165" s="11"/>
      <c r="BN165" s="11"/>
    </row>
    <row r="166" spans="1:66">
      <c r="A166" s="11"/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  <c r="AP166" s="11"/>
      <c r="AQ166" s="11"/>
      <c r="AR166" s="11"/>
      <c r="AS166" s="11"/>
      <c r="AT166" s="11"/>
      <c r="AU166" s="11"/>
      <c r="AV166" s="11"/>
      <c r="AW166" s="11"/>
      <c r="AX166" s="11"/>
      <c r="AY166" s="11"/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  <c r="BL166" s="11"/>
      <c r="BM166" s="11"/>
      <c r="BN166" s="11"/>
    </row>
    <row r="167" spans="1:66">
      <c r="A167" s="11"/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  <c r="AP167" s="11"/>
      <c r="AQ167" s="11"/>
      <c r="AR167" s="11"/>
      <c r="AS167" s="11"/>
      <c r="AT167" s="11"/>
      <c r="AU167" s="11"/>
      <c r="AV167" s="11"/>
      <c r="AW167" s="11"/>
      <c r="AX167" s="11"/>
      <c r="AY167" s="11"/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  <c r="BL167" s="11"/>
      <c r="BM167" s="11"/>
      <c r="BN167" s="11"/>
    </row>
    <row r="168" spans="1:66">
      <c r="A168" s="11"/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  <c r="AP168" s="11"/>
      <c r="AQ168" s="11"/>
      <c r="AR168" s="11"/>
      <c r="AS168" s="11"/>
      <c r="AT168" s="11"/>
      <c r="AU168" s="11"/>
      <c r="AV168" s="11"/>
      <c r="AW168" s="11"/>
      <c r="AX168" s="11"/>
      <c r="AY168" s="11"/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  <c r="BK168" s="11"/>
      <c r="BL168" s="11"/>
      <c r="BM168" s="11"/>
      <c r="BN168" s="11"/>
    </row>
    <row r="169" spans="1:66">
      <c r="A169" s="11"/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  <c r="AP169" s="11"/>
      <c r="AQ169" s="11"/>
      <c r="AR169" s="11"/>
      <c r="AS169" s="11"/>
      <c r="AT169" s="11"/>
      <c r="AU169" s="11"/>
      <c r="AV169" s="11"/>
      <c r="AW169" s="11"/>
      <c r="AX169" s="11"/>
      <c r="AY169" s="11"/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  <c r="BK169" s="11"/>
      <c r="BL169" s="11"/>
      <c r="BM169" s="11"/>
      <c r="BN169" s="11"/>
    </row>
    <row r="170" spans="1:66">
      <c r="A170" s="11"/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  <c r="BK170" s="11"/>
      <c r="BL170" s="11"/>
      <c r="BM170" s="11"/>
      <c r="BN170" s="11"/>
    </row>
    <row r="171" spans="1:66">
      <c r="A171" s="11"/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  <c r="BL171" s="11"/>
      <c r="BM171" s="11"/>
      <c r="BN171" s="11"/>
    </row>
    <row r="172" spans="1:66">
      <c r="A172" s="11"/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  <c r="BK172" s="11"/>
      <c r="BL172" s="11"/>
      <c r="BM172" s="11"/>
      <c r="BN172" s="11"/>
    </row>
    <row r="173" spans="1:66">
      <c r="A173" s="11"/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  <c r="BK173" s="11"/>
      <c r="BL173" s="11"/>
      <c r="BM173" s="11"/>
      <c r="BN173" s="11"/>
    </row>
    <row r="174" spans="1:66">
      <c r="A174" s="11"/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  <c r="BK174" s="11"/>
      <c r="BL174" s="11"/>
      <c r="BM174" s="11"/>
      <c r="BN174" s="11"/>
    </row>
    <row r="175" spans="1:66">
      <c r="A175" s="11"/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11"/>
      <c r="AT175" s="11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  <c r="BK175" s="11"/>
      <c r="BL175" s="11"/>
      <c r="BM175" s="11"/>
      <c r="BN175" s="11"/>
    </row>
    <row r="176" spans="1:66">
      <c r="A176" s="11"/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11"/>
      <c r="AT176" s="11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  <c r="BK176" s="11"/>
      <c r="BL176" s="11"/>
      <c r="BM176" s="11"/>
      <c r="BN176" s="11"/>
    </row>
    <row r="177" spans="1:66">
      <c r="A177" s="11"/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11"/>
      <c r="AT177" s="11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  <c r="BK177" s="11"/>
      <c r="BL177" s="11"/>
      <c r="BM177" s="11"/>
      <c r="BN177" s="11"/>
    </row>
    <row r="178" spans="1:66">
      <c r="A178" s="11"/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11"/>
      <c r="AT178" s="11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  <c r="BK178" s="11"/>
      <c r="BL178" s="11"/>
      <c r="BM178" s="11"/>
      <c r="BN178" s="11"/>
    </row>
    <row r="179" spans="1:66">
      <c r="A179" s="11"/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11"/>
      <c r="AT179" s="11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1"/>
      <c r="BL179" s="11"/>
      <c r="BM179" s="11"/>
      <c r="BN179" s="11"/>
    </row>
    <row r="180" spans="1:66">
      <c r="A180" s="11"/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11"/>
      <c r="AT180" s="11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  <c r="BK180" s="11"/>
      <c r="BL180" s="11"/>
      <c r="BM180" s="11"/>
      <c r="BN180" s="11"/>
    </row>
    <row r="181" spans="1:66">
      <c r="A181" s="11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  <c r="BK181" s="11"/>
      <c r="BL181" s="11"/>
      <c r="BM181" s="11"/>
      <c r="BN181" s="11"/>
    </row>
    <row r="182" spans="1:66">
      <c r="A182" s="11"/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11"/>
      <c r="AT182" s="11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  <c r="BK182" s="11"/>
      <c r="BL182" s="11"/>
      <c r="BM182" s="11"/>
      <c r="BN182" s="11"/>
    </row>
    <row r="183" spans="1:66">
      <c r="A183" s="11"/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11"/>
      <c r="AT183" s="11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  <c r="BK183" s="11"/>
      <c r="BL183" s="11"/>
      <c r="BM183" s="11"/>
      <c r="BN183" s="11"/>
    </row>
    <row r="184" spans="1:66">
      <c r="A184" s="11"/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11"/>
      <c r="AT184" s="11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  <c r="BK184" s="11"/>
      <c r="BL184" s="11"/>
      <c r="BM184" s="11"/>
      <c r="BN184" s="11"/>
    </row>
    <row r="185" spans="1:66">
      <c r="A185" s="11"/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11"/>
      <c r="AT185" s="11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  <c r="BL185" s="11"/>
      <c r="BM185" s="11"/>
      <c r="BN185" s="11"/>
    </row>
    <row r="186" spans="1:66">
      <c r="A186" s="11"/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11"/>
      <c r="AT186" s="11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  <c r="BL186" s="11"/>
      <c r="BM186" s="11"/>
      <c r="BN186" s="11"/>
    </row>
    <row r="187" spans="1:66">
      <c r="A187" s="11"/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11"/>
      <c r="AT187" s="11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  <c r="BK187" s="11"/>
      <c r="BL187" s="11"/>
      <c r="BM187" s="11"/>
      <c r="BN187" s="11"/>
    </row>
    <row r="188" spans="1:66">
      <c r="A188" s="11"/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11"/>
      <c r="AT188" s="11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  <c r="BK188" s="11"/>
      <c r="BL188" s="11"/>
      <c r="BM188" s="11"/>
      <c r="BN188" s="11"/>
    </row>
    <row r="189" spans="1:66">
      <c r="A189" s="11"/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11"/>
      <c r="AT189" s="11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  <c r="BK189" s="11"/>
      <c r="BL189" s="11"/>
      <c r="BM189" s="11"/>
      <c r="BN189" s="11"/>
    </row>
    <row r="190" spans="1:66">
      <c r="A190" s="11"/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11"/>
      <c r="AT190" s="11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  <c r="BK190" s="11"/>
      <c r="BL190" s="11"/>
      <c r="BM190" s="11"/>
      <c r="BN190" s="11"/>
    </row>
    <row r="191" spans="1:66">
      <c r="A191" s="11"/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11"/>
      <c r="AT191" s="11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  <c r="BK191" s="11"/>
      <c r="BL191" s="11"/>
      <c r="BM191" s="11"/>
      <c r="BN191" s="11"/>
    </row>
    <row r="192" spans="1:66">
      <c r="A192" s="11"/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11"/>
      <c r="AT192" s="11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  <c r="BL192" s="11"/>
      <c r="BM192" s="11"/>
      <c r="BN192" s="11"/>
    </row>
    <row r="193" spans="1:66">
      <c r="A193" s="11"/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11"/>
      <c r="AT193" s="11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  <c r="BL193" s="11"/>
      <c r="BM193" s="11"/>
      <c r="BN193" s="11"/>
    </row>
    <row r="194" spans="1:66">
      <c r="A194" s="11"/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11"/>
      <c r="AT194" s="11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  <c r="BL194" s="11"/>
      <c r="BM194" s="11"/>
      <c r="BN194" s="11"/>
    </row>
    <row r="195" spans="1:66">
      <c r="A195" s="11"/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11"/>
      <c r="AT195" s="11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  <c r="BL195" s="11"/>
      <c r="BM195" s="11"/>
      <c r="BN195" s="11"/>
    </row>
    <row r="196" spans="1:66">
      <c r="A196" s="11"/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11"/>
      <c r="AT196" s="11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  <c r="BK196" s="11"/>
      <c r="BL196" s="11"/>
      <c r="BM196" s="11"/>
      <c r="BN196" s="11"/>
    </row>
    <row r="197" spans="1:66">
      <c r="A197" s="11"/>
      <c r="B197" s="11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11"/>
      <c r="AT197" s="11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  <c r="BK197" s="11"/>
      <c r="BL197" s="11"/>
      <c r="BM197" s="11"/>
      <c r="BN197" s="11"/>
    </row>
    <row r="198" spans="1:66">
      <c r="A198" s="11"/>
      <c r="B198" s="11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  <c r="AN198" s="11"/>
      <c r="AO198" s="11"/>
      <c r="AP198" s="11"/>
      <c r="AQ198" s="11"/>
      <c r="AR198" s="11"/>
      <c r="AS198" s="11"/>
      <c r="AT198" s="11"/>
      <c r="AU198" s="11"/>
      <c r="AV198" s="11"/>
      <c r="AW198" s="11"/>
      <c r="AX198" s="11"/>
      <c r="AY198" s="11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  <c r="BK198" s="11"/>
      <c r="BL198" s="11"/>
      <c r="BM198" s="11"/>
      <c r="BN198" s="11"/>
    </row>
    <row r="199" spans="1:66">
      <c r="A199" s="11"/>
      <c r="B199" s="11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  <c r="AL199" s="11"/>
      <c r="AM199" s="11"/>
      <c r="AN199" s="11"/>
      <c r="AO199" s="11"/>
      <c r="AP199" s="11"/>
      <c r="AQ199" s="11"/>
      <c r="AR199" s="11"/>
      <c r="AS199" s="11"/>
      <c r="AT199" s="11"/>
      <c r="AU199" s="11"/>
      <c r="AV199" s="11"/>
      <c r="AW199" s="11"/>
      <c r="AX199" s="11"/>
      <c r="AY199" s="11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  <c r="BK199" s="11"/>
      <c r="BL199" s="11"/>
      <c r="BM199" s="11"/>
      <c r="BN199" s="11"/>
    </row>
    <row r="200" spans="1:66">
      <c r="A200" s="11"/>
      <c r="B200" s="11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  <c r="AL200" s="11"/>
      <c r="AM200" s="11"/>
      <c r="AN200" s="11"/>
      <c r="AO200" s="11"/>
      <c r="AP200" s="11"/>
      <c r="AQ200" s="11"/>
      <c r="AR200" s="11"/>
      <c r="AS200" s="11"/>
      <c r="AT200" s="11"/>
      <c r="AU200" s="11"/>
      <c r="AV200" s="11"/>
      <c r="AW200" s="11"/>
      <c r="AX200" s="11"/>
      <c r="AY200" s="11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  <c r="BK200" s="11"/>
      <c r="BL200" s="11"/>
      <c r="BM200" s="11"/>
      <c r="BN200" s="11"/>
    </row>
    <row r="201" spans="1:66">
      <c r="A201" s="11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  <c r="BK201" s="11"/>
      <c r="BL201" s="11"/>
      <c r="BM201" s="11"/>
      <c r="BN201" s="11"/>
    </row>
    <row r="202" spans="1:66">
      <c r="A202" s="11"/>
      <c r="B202" s="11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  <c r="AL202" s="11"/>
      <c r="AM202" s="11"/>
      <c r="AN202" s="11"/>
      <c r="AO202" s="11"/>
      <c r="AP202" s="11"/>
      <c r="AQ202" s="11"/>
      <c r="AR202" s="11"/>
      <c r="AS202" s="11"/>
      <c r="AT202" s="11"/>
      <c r="AU202" s="11"/>
      <c r="AV202" s="11"/>
      <c r="AW202" s="11"/>
      <c r="AX202" s="11"/>
      <c r="AY202" s="11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  <c r="BK202" s="11"/>
      <c r="BL202" s="11"/>
      <c r="BM202" s="11"/>
      <c r="BN202" s="11"/>
    </row>
    <row r="203" spans="1:66">
      <c r="A203" s="11"/>
      <c r="B203" s="11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  <c r="AL203" s="11"/>
      <c r="AM203" s="11"/>
      <c r="AN203" s="11"/>
      <c r="AO203" s="11"/>
      <c r="AP203" s="11"/>
      <c r="AQ203" s="11"/>
      <c r="AR203" s="11"/>
      <c r="AS203" s="11"/>
      <c r="AT203" s="11"/>
      <c r="AU203" s="11"/>
      <c r="AV203" s="11"/>
      <c r="AW203" s="11"/>
      <c r="AX203" s="11"/>
      <c r="AY203" s="11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  <c r="BL203" s="11"/>
      <c r="BM203" s="11"/>
      <c r="BN203" s="11"/>
    </row>
    <row r="204" spans="1:66">
      <c r="A204" s="11"/>
      <c r="B204" s="11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  <c r="AL204" s="11"/>
      <c r="AM204" s="11"/>
      <c r="AN204" s="11"/>
      <c r="AO204" s="11"/>
      <c r="AP204" s="11"/>
      <c r="AQ204" s="11"/>
      <c r="AR204" s="11"/>
      <c r="AS204" s="11"/>
      <c r="AT204" s="11"/>
      <c r="AU204" s="11"/>
      <c r="AV204" s="11"/>
      <c r="AW204" s="11"/>
      <c r="AX204" s="11"/>
      <c r="AY204" s="11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  <c r="BK204" s="11"/>
      <c r="BL204" s="11"/>
      <c r="BM204" s="11"/>
      <c r="BN204" s="11"/>
    </row>
    <row r="205" spans="1:66">
      <c r="A205" s="11"/>
      <c r="B205" s="11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  <c r="AL205" s="11"/>
      <c r="AM205" s="11"/>
      <c r="AN205" s="11"/>
      <c r="AO205" s="11"/>
      <c r="AP205" s="11"/>
      <c r="AQ205" s="11"/>
      <c r="AR205" s="11"/>
      <c r="AS205" s="11"/>
      <c r="AT205" s="11"/>
      <c r="AU205" s="11"/>
      <c r="AV205" s="11"/>
      <c r="AW205" s="11"/>
      <c r="AX205" s="11"/>
      <c r="AY205" s="11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  <c r="BK205" s="11"/>
      <c r="BL205" s="11"/>
      <c r="BM205" s="11"/>
      <c r="BN205" s="11"/>
    </row>
    <row r="206" spans="1:66">
      <c r="A206" s="11"/>
      <c r="B206" s="11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  <c r="AL206" s="11"/>
      <c r="AM206" s="11"/>
      <c r="AN206" s="11"/>
      <c r="AO206" s="11"/>
      <c r="AP206" s="11"/>
      <c r="AQ206" s="11"/>
      <c r="AR206" s="11"/>
      <c r="AS206" s="11"/>
      <c r="AT206" s="11"/>
      <c r="AU206" s="11"/>
      <c r="AV206" s="11"/>
      <c r="AW206" s="11"/>
      <c r="AX206" s="11"/>
      <c r="AY206" s="11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  <c r="BK206" s="11"/>
      <c r="BL206" s="11"/>
      <c r="BM206" s="11"/>
      <c r="BN206" s="11"/>
    </row>
    <row r="207" spans="1:66">
      <c r="A207" s="11"/>
      <c r="B207" s="11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  <c r="AL207" s="11"/>
      <c r="AM207" s="11"/>
      <c r="AN207" s="11"/>
      <c r="AO207" s="11"/>
      <c r="AP207" s="11"/>
      <c r="AQ207" s="11"/>
      <c r="AR207" s="11"/>
      <c r="AS207" s="11"/>
      <c r="AT207" s="11"/>
      <c r="AU207" s="11"/>
      <c r="AV207" s="11"/>
      <c r="AW207" s="11"/>
      <c r="AX207" s="11"/>
      <c r="AY207" s="11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  <c r="BK207" s="11"/>
      <c r="BL207" s="11"/>
      <c r="BM207" s="11"/>
      <c r="BN207" s="11"/>
    </row>
    <row r="208" spans="1:66">
      <c r="A208" s="11"/>
      <c r="B208" s="11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  <c r="AL208" s="11"/>
      <c r="AM208" s="11"/>
      <c r="AN208" s="11"/>
      <c r="AO208" s="11"/>
      <c r="AP208" s="11"/>
      <c r="AQ208" s="11"/>
      <c r="AR208" s="11"/>
      <c r="AS208" s="11"/>
      <c r="AT208" s="11"/>
      <c r="AU208" s="11"/>
      <c r="AV208" s="11"/>
      <c r="AW208" s="11"/>
      <c r="AX208" s="11"/>
      <c r="AY208" s="11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  <c r="BK208" s="11"/>
      <c r="BL208" s="11"/>
      <c r="BM208" s="11"/>
      <c r="BN208" s="11"/>
    </row>
    <row r="209" spans="1:66">
      <c r="A209" s="11"/>
      <c r="B209" s="11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  <c r="AL209" s="11"/>
      <c r="AM209" s="11"/>
      <c r="AN209" s="11"/>
      <c r="AO209" s="11"/>
      <c r="AP209" s="11"/>
      <c r="AQ209" s="11"/>
      <c r="AR209" s="11"/>
      <c r="AS209" s="11"/>
      <c r="AT209" s="11"/>
      <c r="AU209" s="11"/>
      <c r="AV209" s="11"/>
      <c r="AW209" s="11"/>
      <c r="AX209" s="11"/>
      <c r="AY209" s="11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  <c r="BK209" s="11"/>
      <c r="BL209" s="11"/>
      <c r="BM209" s="11"/>
      <c r="BN209" s="11"/>
    </row>
    <row r="210" spans="1:66">
      <c r="A210" s="11"/>
      <c r="B210" s="11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  <c r="BK210" s="11"/>
      <c r="BL210" s="11"/>
      <c r="BM210" s="11"/>
      <c r="BN210" s="11"/>
    </row>
    <row r="211" spans="1:66">
      <c r="A211" s="11"/>
      <c r="B211" s="11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  <c r="BK211" s="11"/>
      <c r="BL211" s="11"/>
      <c r="BM211" s="11"/>
      <c r="BN211" s="11"/>
    </row>
    <row r="212" spans="1:66">
      <c r="A212" s="11"/>
      <c r="B212" s="11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  <c r="BK212" s="11"/>
      <c r="BL212" s="11"/>
      <c r="BM212" s="11"/>
      <c r="BN212" s="11"/>
    </row>
    <row r="213" spans="1:66">
      <c r="A213" s="11"/>
      <c r="B213" s="11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11"/>
      <c r="AT213" s="11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  <c r="BK213" s="11"/>
      <c r="BL213" s="11"/>
      <c r="BM213" s="11"/>
      <c r="BN213" s="11"/>
    </row>
    <row r="214" spans="1:66">
      <c r="A214" s="11"/>
      <c r="B214" s="11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11"/>
      <c r="AT214" s="11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  <c r="BK214" s="11"/>
      <c r="BL214" s="11"/>
      <c r="BM214" s="11"/>
      <c r="BN214" s="11"/>
    </row>
    <row r="215" spans="1:66">
      <c r="A215" s="11"/>
      <c r="B215" s="11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11"/>
      <c r="AT215" s="11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  <c r="BK215" s="11"/>
      <c r="BL215" s="11"/>
      <c r="BM215" s="11"/>
      <c r="BN215" s="11"/>
    </row>
    <row r="216" spans="1:66">
      <c r="A216" s="11"/>
      <c r="B216" s="11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11"/>
      <c r="AT216" s="11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  <c r="BK216" s="11"/>
      <c r="BL216" s="11"/>
      <c r="BM216" s="11"/>
      <c r="BN216" s="11"/>
    </row>
    <row r="217" spans="1:66">
      <c r="A217" s="11"/>
      <c r="B217" s="11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11"/>
      <c r="AT217" s="11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  <c r="BK217" s="11"/>
      <c r="BL217" s="11"/>
      <c r="BM217" s="11"/>
      <c r="BN217" s="11"/>
    </row>
    <row r="218" spans="1:66">
      <c r="A218" s="11"/>
      <c r="B218" s="11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11"/>
      <c r="AT218" s="11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  <c r="BK218" s="11"/>
      <c r="BL218" s="11"/>
      <c r="BM218" s="11"/>
      <c r="BN218" s="11"/>
    </row>
    <row r="219" spans="1:66">
      <c r="A219" s="11"/>
      <c r="B219" s="11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11"/>
      <c r="AT219" s="11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  <c r="BK219" s="11"/>
      <c r="BL219" s="11"/>
      <c r="BM219" s="11"/>
      <c r="BN219" s="11"/>
    </row>
    <row r="220" spans="1:66">
      <c r="A220" s="11"/>
      <c r="B220" s="11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11"/>
      <c r="AT220" s="11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  <c r="BL220" s="11"/>
      <c r="BM220" s="11"/>
      <c r="BN220" s="11"/>
    </row>
    <row r="221" spans="1:66">
      <c r="A221" s="11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  <c r="BL221" s="11"/>
      <c r="BM221" s="11"/>
      <c r="BN221" s="11"/>
    </row>
    <row r="222" spans="1:66">
      <c r="A222" s="11"/>
      <c r="B222" s="11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11"/>
      <c r="AT222" s="11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  <c r="BK222" s="11"/>
      <c r="BL222" s="11"/>
      <c r="BM222" s="11"/>
      <c r="BN222" s="11"/>
    </row>
    <row r="223" spans="1:66">
      <c r="A223" s="11"/>
      <c r="B223" s="11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11"/>
      <c r="AT223" s="11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  <c r="BK223" s="11"/>
      <c r="BL223" s="11"/>
      <c r="BM223" s="11"/>
      <c r="BN223" s="11"/>
    </row>
    <row r="224" spans="1:66">
      <c r="A224" s="11"/>
      <c r="B224" s="11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11"/>
      <c r="AT224" s="11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  <c r="BK224" s="11"/>
      <c r="BL224" s="11"/>
      <c r="BM224" s="11"/>
      <c r="BN224" s="11"/>
    </row>
    <row r="225" spans="1:66">
      <c r="A225" s="11"/>
      <c r="B225" s="11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11"/>
      <c r="AT225" s="11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  <c r="BK225" s="11"/>
      <c r="BL225" s="11"/>
      <c r="BM225" s="11"/>
      <c r="BN225" s="11"/>
    </row>
    <row r="226" spans="1:66">
      <c r="A226" s="11"/>
      <c r="B226" s="11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11"/>
      <c r="AT226" s="11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  <c r="BK226" s="11"/>
      <c r="BL226" s="11"/>
      <c r="BM226" s="11"/>
      <c r="BN226" s="11"/>
    </row>
    <row r="227" spans="1:66">
      <c r="A227" s="11"/>
      <c r="B227" s="11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11"/>
      <c r="AT227" s="11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  <c r="BK227" s="11"/>
      <c r="BL227" s="11"/>
      <c r="BM227" s="11"/>
      <c r="BN227" s="11"/>
    </row>
    <row r="228" spans="1:66">
      <c r="A228" s="11"/>
      <c r="B228" s="11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11"/>
      <c r="AT228" s="11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  <c r="BK228" s="11"/>
      <c r="BL228" s="11"/>
      <c r="BM228" s="11"/>
      <c r="BN228" s="11"/>
    </row>
    <row r="229" spans="1:66">
      <c r="A229" s="11"/>
      <c r="B229" s="11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11"/>
      <c r="AT229" s="11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  <c r="BK229" s="11"/>
      <c r="BL229" s="11"/>
      <c r="BM229" s="11"/>
      <c r="BN229" s="11"/>
    </row>
    <row r="230" spans="1:66">
      <c r="A230" s="11"/>
      <c r="B230" s="11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11"/>
      <c r="AT230" s="11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  <c r="BK230" s="11"/>
      <c r="BL230" s="11"/>
      <c r="BM230" s="11"/>
      <c r="BN230" s="11"/>
    </row>
    <row r="231" spans="1:66">
      <c r="A231" s="11"/>
      <c r="B231" s="11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11"/>
      <c r="AT231" s="11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  <c r="BK231" s="11"/>
      <c r="BL231" s="11"/>
      <c r="BM231" s="11"/>
      <c r="BN231" s="11"/>
    </row>
    <row r="232" spans="1:66">
      <c r="A232" s="11"/>
      <c r="B232" s="11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11"/>
      <c r="AT232" s="11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  <c r="BK232" s="11"/>
      <c r="BL232" s="11"/>
      <c r="BM232" s="11"/>
      <c r="BN232" s="11"/>
    </row>
    <row r="233" spans="1:66">
      <c r="A233" s="11"/>
      <c r="B233" s="11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11"/>
      <c r="AT233" s="11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  <c r="BK233" s="11"/>
      <c r="BL233" s="11"/>
      <c r="BM233" s="11"/>
      <c r="BN233" s="11"/>
    </row>
    <row r="234" spans="1:66">
      <c r="A234" s="11"/>
      <c r="B234" s="11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11"/>
      <c r="AT234" s="11"/>
      <c r="AU234" s="11"/>
      <c r="AV234" s="11"/>
      <c r="AW234" s="11"/>
      <c r="AX234" s="11"/>
      <c r="AY234" s="11"/>
      <c r="AZ234" s="11"/>
      <c r="BA234" s="11"/>
      <c r="BB234" s="11"/>
      <c r="BC234" s="11"/>
      <c r="BD234" s="11"/>
      <c r="BE234" s="11"/>
      <c r="BF234" s="11"/>
      <c r="BG234" s="11"/>
      <c r="BH234" s="11"/>
      <c r="BI234" s="11"/>
      <c r="BJ234" s="11"/>
      <c r="BK234" s="11"/>
      <c r="BL234" s="11"/>
      <c r="BM234" s="11"/>
      <c r="BN234" s="11"/>
    </row>
    <row r="235" spans="1:66">
      <c r="A235" s="11"/>
      <c r="B235" s="11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11"/>
      <c r="AT235" s="11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  <c r="BK235" s="11"/>
      <c r="BL235" s="11"/>
      <c r="BM235" s="11"/>
      <c r="BN235" s="11"/>
    </row>
    <row r="236" spans="1:66">
      <c r="A236" s="11"/>
      <c r="B236" s="11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  <c r="BL236" s="11"/>
      <c r="BM236" s="11"/>
      <c r="BN236" s="11"/>
    </row>
    <row r="237" spans="1:66">
      <c r="A237" s="11"/>
      <c r="B237" s="11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11"/>
      <c r="AT237" s="11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  <c r="BL237" s="11"/>
      <c r="BM237" s="11"/>
      <c r="BN237" s="11"/>
    </row>
    <row r="238" spans="1:66">
      <c r="A238" s="11"/>
      <c r="B238" s="11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11"/>
      <c r="AT238" s="11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  <c r="BL238" s="11"/>
      <c r="BM238" s="11"/>
      <c r="BN238" s="11"/>
    </row>
    <row r="239" spans="1:66">
      <c r="A239" s="11"/>
      <c r="B239" s="11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11"/>
      <c r="AT239" s="11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  <c r="BL239" s="11"/>
      <c r="BM239" s="11"/>
      <c r="BN239" s="11"/>
    </row>
    <row r="240" spans="1:66">
      <c r="A240" s="11"/>
      <c r="B240" s="11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11"/>
      <c r="AT240" s="11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  <c r="BL240" s="11"/>
      <c r="BM240" s="11"/>
      <c r="BN240" s="11"/>
    </row>
    <row r="241" spans="1:66">
      <c r="A241" s="11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  <c r="BK241" s="11"/>
      <c r="BL241" s="11"/>
      <c r="BM241" s="11"/>
      <c r="BN241" s="11"/>
    </row>
    <row r="242" spans="1:66">
      <c r="A242" s="11"/>
      <c r="B242" s="11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11"/>
      <c r="AT242" s="11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  <c r="BL242" s="11"/>
      <c r="BM242" s="11"/>
      <c r="BN242" s="11"/>
    </row>
    <row r="243" spans="1:66">
      <c r="A243" s="11"/>
      <c r="B243" s="11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11"/>
      <c r="AT243" s="11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  <c r="BL243" s="11"/>
      <c r="BM243" s="11"/>
      <c r="BN243" s="11"/>
    </row>
    <row r="244" spans="1:66">
      <c r="A244" s="11"/>
      <c r="B244" s="11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11"/>
      <c r="AT244" s="11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  <c r="BL244" s="11"/>
      <c r="BM244" s="11"/>
      <c r="BN244" s="11"/>
    </row>
    <row r="245" spans="1:66">
      <c r="A245" s="11"/>
      <c r="B245" s="11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11"/>
      <c r="AT245" s="11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  <c r="BL245" s="11"/>
      <c r="BM245" s="11"/>
      <c r="BN245" s="11"/>
    </row>
    <row r="246" spans="1:66">
      <c r="A246" s="11"/>
      <c r="B246" s="11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11"/>
      <c r="AT246" s="11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  <c r="BL246" s="11"/>
      <c r="BM246" s="11"/>
      <c r="BN246" s="11"/>
    </row>
    <row r="247" spans="1:66">
      <c r="A247" s="11"/>
      <c r="B247" s="11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11"/>
      <c r="AT247" s="11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  <c r="BL247" s="11"/>
      <c r="BM247" s="11"/>
      <c r="BN247" s="11"/>
    </row>
    <row r="248" spans="1:66">
      <c r="A248" s="11"/>
      <c r="B248" s="11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11"/>
      <c r="AT248" s="11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  <c r="BL248" s="11"/>
      <c r="BM248" s="11"/>
      <c r="BN248" s="11"/>
    </row>
    <row r="249" spans="1:66">
      <c r="A249" s="11"/>
      <c r="B249" s="11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11"/>
      <c r="AT249" s="11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  <c r="BL249" s="11"/>
      <c r="BM249" s="11"/>
      <c r="BN249" s="11"/>
    </row>
    <row r="250" spans="1:66">
      <c r="A250" s="11"/>
      <c r="B250" s="11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11"/>
      <c r="AT250" s="11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  <c r="BL250" s="11"/>
      <c r="BM250" s="11"/>
      <c r="BN250" s="11"/>
    </row>
    <row r="251" spans="1:66">
      <c r="A251" s="11"/>
      <c r="B251" s="11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11"/>
      <c r="AT251" s="11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  <c r="BL251" s="11"/>
      <c r="BM251" s="11"/>
      <c r="BN251" s="11"/>
    </row>
    <row r="252" spans="1:66">
      <c r="A252" s="11"/>
      <c r="B252" s="11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11"/>
      <c r="AT252" s="11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  <c r="BL252" s="11"/>
      <c r="BM252" s="11"/>
      <c r="BN252" s="11"/>
    </row>
    <row r="253" spans="1:66">
      <c r="A253" s="11"/>
      <c r="B253" s="11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11"/>
      <c r="AT253" s="11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  <c r="BL253" s="11"/>
      <c r="BM253" s="11"/>
      <c r="BN253" s="11"/>
    </row>
    <row r="254" spans="1:66">
      <c r="A254" s="11"/>
      <c r="B254" s="11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11"/>
      <c r="AT254" s="11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  <c r="BL254" s="11"/>
      <c r="BM254" s="11"/>
      <c r="BN254" s="11"/>
    </row>
    <row r="255" spans="1:66">
      <c r="A255" s="11"/>
      <c r="B255" s="11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11"/>
      <c r="AT255" s="11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  <c r="BL255" s="11"/>
      <c r="BM255" s="11"/>
      <c r="BN255" s="11"/>
    </row>
    <row r="256" spans="1:66">
      <c r="A256" s="11"/>
      <c r="B256" s="11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11"/>
      <c r="AT256" s="11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  <c r="BL256" s="11"/>
      <c r="BM256" s="11"/>
      <c r="BN256" s="11"/>
    </row>
    <row r="257" spans="1:66">
      <c r="A257" s="11"/>
      <c r="B257" s="11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  <c r="AL257" s="11"/>
      <c r="AM257" s="11"/>
      <c r="AN257" s="11"/>
      <c r="AO257" s="11"/>
      <c r="AP257" s="11"/>
      <c r="AQ257" s="11"/>
      <c r="AR257" s="11"/>
      <c r="AS257" s="11"/>
      <c r="AT257" s="11"/>
      <c r="AU257" s="11"/>
      <c r="AV257" s="11"/>
      <c r="AW257" s="11"/>
      <c r="AX257" s="11"/>
      <c r="AY257" s="11"/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  <c r="BL257" s="11"/>
      <c r="BM257" s="11"/>
      <c r="BN257" s="11"/>
    </row>
    <row r="258" spans="1:66">
      <c r="A258" s="11"/>
      <c r="B258" s="11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  <c r="AL258" s="11"/>
      <c r="AM258" s="11"/>
      <c r="AN258" s="11"/>
      <c r="AO258" s="11"/>
      <c r="AP258" s="11"/>
      <c r="AQ258" s="11"/>
      <c r="AR258" s="11"/>
      <c r="AS258" s="11"/>
      <c r="AT258" s="11"/>
      <c r="AU258" s="11"/>
      <c r="AV258" s="11"/>
      <c r="AW258" s="11"/>
      <c r="AX258" s="11"/>
      <c r="AY258" s="11"/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  <c r="BL258" s="11"/>
      <c r="BM258" s="11"/>
      <c r="BN258" s="11"/>
    </row>
    <row r="259" spans="1:66">
      <c r="A259" s="11"/>
      <c r="B259" s="11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  <c r="AL259" s="11"/>
      <c r="AM259" s="11"/>
      <c r="AN259" s="11"/>
      <c r="AO259" s="11"/>
      <c r="AP259" s="11"/>
      <c r="AQ259" s="11"/>
      <c r="AR259" s="11"/>
      <c r="AS259" s="11"/>
      <c r="AT259" s="11"/>
      <c r="AU259" s="11"/>
      <c r="AV259" s="11"/>
      <c r="AW259" s="11"/>
      <c r="AX259" s="11"/>
      <c r="AY259" s="11"/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  <c r="BL259" s="11"/>
      <c r="BM259" s="11"/>
      <c r="BN259" s="11"/>
    </row>
    <row r="260" spans="1:66">
      <c r="A260" s="11"/>
      <c r="B260" s="11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  <c r="AL260" s="11"/>
      <c r="AM260" s="11"/>
      <c r="AN260" s="11"/>
      <c r="AO260" s="11"/>
      <c r="AP260" s="11"/>
      <c r="AQ260" s="11"/>
      <c r="AR260" s="11"/>
      <c r="AS260" s="11"/>
      <c r="AT260" s="11"/>
      <c r="AU260" s="11"/>
      <c r="AV260" s="11"/>
      <c r="AW260" s="11"/>
      <c r="AX260" s="11"/>
      <c r="AY260" s="11"/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  <c r="BL260" s="11"/>
      <c r="BM260" s="11"/>
      <c r="BN260" s="11"/>
    </row>
    <row r="261" spans="1:66">
      <c r="A261" s="11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  <c r="BL261" s="11"/>
      <c r="BM261" s="11"/>
      <c r="BN261" s="11"/>
    </row>
    <row r="262" spans="1:66">
      <c r="A262" s="11"/>
      <c r="B262" s="11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  <c r="AL262" s="11"/>
      <c r="AM262" s="11"/>
      <c r="AN262" s="11"/>
      <c r="AO262" s="11"/>
      <c r="AP262" s="11"/>
      <c r="AQ262" s="11"/>
      <c r="AR262" s="11"/>
      <c r="AS262" s="11"/>
      <c r="AT262" s="11"/>
      <c r="AU262" s="11"/>
      <c r="AV262" s="11"/>
      <c r="AW262" s="11"/>
      <c r="AX262" s="11"/>
      <c r="AY262" s="11"/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  <c r="BL262" s="11"/>
      <c r="BM262" s="11"/>
      <c r="BN262" s="11"/>
    </row>
    <row r="263" spans="1:66">
      <c r="A263" s="11"/>
      <c r="B263" s="11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  <c r="AN263" s="11"/>
      <c r="AO263" s="11"/>
      <c r="AP263" s="11"/>
      <c r="AQ263" s="11"/>
      <c r="AR263" s="11"/>
      <c r="AS263" s="11"/>
      <c r="AT263" s="11"/>
      <c r="AU263" s="11"/>
      <c r="AV263" s="11"/>
      <c r="AW263" s="11"/>
      <c r="AX263" s="11"/>
      <c r="AY263" s="11"/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  <c r="BL263" s="11"/>
      <c r="BM263" s="11"/>
      <c r="BN263" s="11"/>
    </row>
    <row r="264" spans="1:66">
      <c r="A264" s="11"/>
      <c r="B264" s="11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  <c r="AL264" s="11"/>
      <c r="AM264" s="11"/>
      <c r="AN264" s="11"/>
      <c r="AO264" s="11"/>
      <c r="AP264" s="11"/>
      <c r="AQ264" s="11"/>
      <c r="AR264" s="11"/>
      <c r="AS264" s="11"/>
      <c r="AT264" s="11"/>
      <c r="AU264" s="11"/>
      <c r="AV264" s="11"/>
      <c r="AW264" s="11"/>
      <c r="AX264" s="11"/>
      <c r="AY264" s="11"/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  <c r="BL264" s="11"/>
      <c r="BM264" s="11"/>
      <c r="BN264" s="11"/>
    </row>
    <row r="265" spans="1:66">
      <c r="A265" s="11"/>
      <c r="B265" s="11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11"/>
      <c r="AO265" s="11"/>
      <c r="AP265" s="11"/>
      <c r="AQ265" s="11"/>
      <c r="AR265" s="11"/>
      <c r="AS265" s="11"/>
      <c r="AT265" s="11"/>
      <c r="AU265" s="11"/>
      <c r="AV265" s="11"/>
      <c r="AW265" s="11"/>
      <c r="AX265" s="11"/>
      <c r="AY265" s="11"/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  <c r="BL265" s="11"/>
      <c r="BM265" s="11"/>
      <c r="BN265" s="11"/>
    </row>
    <row r="266" spans="1:66">
      <c r="A266" s="11"/>
      <c r="B266" s="11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  <c r="AL266" s="11"/>
      <c r="AM266" s="11"/>
      <c r="AN266" s="11"/>
      <c r="AO266" s="11"/>
      <c r="AP266" s="11"/>
      <c r="AQ266" s="11"/>
      <c r="AR266" s="11"/>
      <c r="AS266" s="11"/>
      <c r="AT266" s="11"/>
      <c r="AU266" s="11"/>
      <c r="AV266" s="11"/>
      <c r="AW266" s="11"/>
      <c r="AX266" s="11"/>
      <c r="AY266" s="11"/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  <c r="BL266" s="11"/>
      <c r="BM266" s="11"/>
      <c r="BN266" s="11"/>
    </row>
    <row r="267" spans="1:66">
      <c r="A267" s="11"/>
      <c r="B267" s="11"/>
      <c r="C267" s="11"/>
      <c r="D267" s="11"/>
      <c r="E267" s="11"/>
      <c r="F267" s="11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  <c r="AL267" s="11"/>
      <c r="AM267" s="11"/>
      <c r="AN267" s="11"/>
      <c r="AO267" s="11"/>
      <c r="AP267" s="11"/>
      <c r="AQ267" s="11"/>
      <c r="AR267" s="11"/>
      <c r="AS267" s="11"/>
      <c r="AT267" s="11"/>
      <c r="AU267" s="11"/>
      <c r="AV267" s="11"/>
      <c r="AW267" s="11"/>
      <c r="AX267" s="11"/>
      <c r="AY267" s="11"/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  <c r="BL267" s="11"/>
      <c r="BM267" s="11"/>
      <c r="BN267" s="11"/>
    </row>
    <row r="268" spans="1:66">
      <c r="A268" s="11"/>
      <c r="B268" s="11"/>
      <c r="C268" s="11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  <c r="AL268" s="11"/>
      <c r="AM268" s="11"/>
      <c r="AN268" s="11"/>
      <c r="AO268" s="11"/>
      <c r="AP268" s="11"/>
      <c r="AQ268" s="11"/>
      <c r="AR268" s="11"/>
      <c r="AS268" s="11"/>
      <c r="AT268" s="11"/>
      <c r="AU268" s="11"/>
      <c r="AV268" s="11"/>
      <c r="AW268" s="11"/>
      <c r="AX268" s="11"/>
      <c r="AY268" s="11"/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  <c r="BL268" s="11"/>
      <c r="BM268" s="11"/>
      <c r="BN268" s="11"/>
    </row>
    <row r="269" spans="1:66">
      <c r="A269" s="11"/>
      <c r="B269" s="11"/>
      <c r="C269" s="11"/>
      <c r="D269" s="11"/>
      <c r="E269" s="11"/>
      <c r="F269" s="11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  <c r="AL269" s="11"/>
      <c r="AM269" s="11"/>
      <c r="AN269" s="11"/>
      <c r="AO269" s="11"/>
      <c r="AP269" s="11"/>
      <c r="AQ269" s="11"/>
      <c r="AR269" s="11"/>
      <c r="AS269" s="11"/>
      <c r="AT269" s="11"/>
      <c r="AU269" s="11"/>
      <c r="AV269" s="11"/>
      <c r="AW269" s="11"/>
      <c r="AX269" s="11"/>
      <c r="AY269" s="11"/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  <c r="BL269" s="11"/>
      <c r="BM269" s="11"/>
      <c r="BN269" s="11"/>
    </row>
    <row r="270" spans="1:66">
      <c r="A270" s="11"/>
      <c r="B270" s="11"/>
      <c r="C270" s="11"/>
      <c r="D270" s="11"/>
      <c r="E270" s="11"/>
      <c r="F270" s="11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  <c r="AL270" s="11"/>
      <c r="AM270" s="11"/>
      <c r="AN270" s="11"/>
      <c r="AO270" s="11"/>
      <c r="AP270" s="11"/>
      <c r="AQ270" s="11"/>
      <c r="AR270" s="11"/>
      <c r="AS270" s="11"/>
      <c r="AT270" s="11"/>
      <c r="AU270" s="11"/>
      <c r="AV270" s="11"/>
      <c r="AW270" s="11"/>
      <c r="AX270" s="11"/>
      <c r="AY270" s="11"/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  <c r="BL270" s="11"/>
      <c r="BM270" s="11"/>
      <c r="BN270" s="11"/>
    </row>
    <row r="271" spans="1:66">
      <c r="A271" s="11"/>
      <c r="B271" s="11"/>
      <c r="C271" s="11"/>
      <c r="D271" s="11"/>
      <c r="E271" s="11"/>
      <c r="F271" s="11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  <c r="AL271" s="11"/>
      <c r="AM271" s="11"/>
      <c r="AN271" s="11"/>
      <c r="AO271" s="11"/>
      <c r="AP271" s="11"/>
      <c r="AQ271" s="11"/>
      <c r="AR271" s="11"/>
      <c r="AS271" s="11"/>
      <c r="AT271" s="11"/>
      <c r="AU271" s="11"/>
      <c r="AV271" s="11"/>
      <c r="AW271" s="11"/>
      <c r="AX271" s="11"/>
      <c r="AY271" s="11"/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  <c r="BL271" s="11"/>
      <c r="BM271" s="11"/>
      <c r="BN271" s="11"/>
    </row>
    <row r="272" spans="1:66">
      <c r="A272" s="11"/>
      <c r="B272" s="11"/>
      <c r="C272" s="11"/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  <c r="AL272" s="11"/>
      <c r="AM272" s="11"/>
      <c r="AN272" s="11"/>
      <c r="AO272" s="11"/>
      <c r="AP272" s="11"/>
      <c r="AQ272" s="11"/>
      <c r="AR272" s="11"/>
      <c r="AS272" s="11"/>
      <c r="AT272" s="11"/>
      <c r="AU272" s="11"/>
      <c r="AV272" s="11"/>
      <c r="AW272" s="11"/>
      <c r="AX272" s="11"/>
      <c r="AY272" s="11"/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  <c r="BL272" s="11"/>
      <c r="BM272" s="11"/>
      <c r="BN272" s="11"/>
    </row>
    <row r="273" spans="1:66">
      <c r="A273" s="11"/>
      <c r="B273" s="11"/>
      <c r="C273" s="11"/>
      <c r="D273" s="11"/>
      <c r="E273" s="11"/>
      <c r="F273" s="11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  <c r="AL273" s="11"/>
      <c r="AM273" s="11"/>
      <c r="AN273" s="11"/>
      <c r="AO273" s="11"/>
      <c r="AP273" s="11"/>
      <c r="AQ273" s="11"/>
      <c r="AR273" s="11"/>
      <c r="AS273" s="11"/>
      <c r="AT273" s="11"/>
      <c r="AU273" s="11"/>
      <c r="AV273" s="11"/>
      <c r="AW273" s="11"/>
      <c r="AX273" s="11"/>
      <c r="AY273" s="11"/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  <c r="BL273" s="11"/>
      <c r="BM273" s="11"/>
      <c r="BN273" s="11"/>
    </row>
    <row r="274" spans="1:66">
      <c r="A274" s="11"/>
      <c r="B274" s="11"/>
      <c r="C274" s="11"/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  <c r="AL274" s="11"/>
      <c r="AM274" s="11"/>
      <c r="AN274" s="11"/>
      <c r="AO274" s="11"/>
      <c r="AP274" s="11"/>
      <c r="AQ274" s="11"/>
      <c r="AR274" s="11"/>
      <c r="AS274" s="11"/>
      <c r="AT274" s="11"/>
      <c r="AU274" s="11"/>
      <c r="AV274" s="11"/>
      <c r="AW274" s="11"/>
      <c r="AX274" s="11"/>
      <c r="AY274" s="11"/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  <c r="BL274" s="11"/>
      <c r="BM274" s="11"/>
      <c r="BN274" s="11"/>
    </row>
    <row r="275" spans="1:66">
      <c r="A275" s="11"/>
      <c r="B275" s="11"/>
      <c r="C275" s="11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  <c r="AL275" s="11"/>
      <c r="AM275" s="11"/>
      <c r="AN275" s="11"/>
      <c r="AO275" s="11"/>
      <c r="AP275" s="11"/>
      <c r="AQ275" s="11"/>
      <c r="AR275" s="11"/>
      <c r="AS275" s="11"/>
      <c r="AT275" s="11"/>
      <c r="AU275" s="11"/>
      <c r="AV275" s="11"/>
      <c r="AW275" s="11"/>
      <c r="AX275" s="11"/>
      <c r="AY275" s="11"/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  <c r="BL275" s="11"/>
      <c r="BM275" s="11"/>
      <c r="BN275" s="11"/>
    </row>
    <row r="276" spans="1:66">
      <c r="A276" s="11"/>
      <c r="B276" s="11"/>
      <c r="C276" s="11"/>
      <c r="D276" s="11"/>
      <c r="E276" s="11"/>
      <c r="F276" s="11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  <c r="AL276" s="11"/>
      <c r="AM276" s="11"/>
      <c r="AN276" s="11"/>
      <c r="AO276" s="11"/>
      <c r="AP276" s="11"/>
      <c r="AQ276" s="11"/>
      <c r="AR276" s="11"/>
      <c r="AS276" s="11"/>
      <c r="AT276" s="11"/>
      <c r="AU276" s="11"/>
      <c r="AV276" s="11"/>
      <c r="AW276" s="11"/>
      <c r="AX276" s="11"/>
      <c r="AY276" s="11"/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  <c r="BL276" s="11"/>
      <c r="BM276" s="11"/>
      <c r="BN276" s="11"/>
    </row>
    <row r="277" spans="1:66">
      <c r="A277" s="11"/>
      <c r="B277" s="11"/>
      <c r="C277" s="11"/>
      <c r="D277" s="11"/>
      <c r="E277" s="11"/>
      <c r="F277" s="11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  <c r="AL277" s="11"/>
      <c r="AM277" s="11"/>
      <c r="AN277" s="11"/>
      <c r="AO277" s="11"/>
      <c r="AP277" s="11"/>
      <c r="AQ277" s="11"/>
      <c r="AR277" s="11"/>
      <c r="AS277" s="11"/>
      <c r="AT277" s="11"/>
      <c r="AU277" s="11"/>
      <c r="AV277" s="11"/>
      <c r="AW277" s="11"/>
      <c r="AX277" s="11"/>
      <c r="AY277" s="11"/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  <c r="BL277" s="11"/>
      <c r="BM277" s="11"/>
      <c r="BN277" s="11"/>
    </row>
    <row r="278" spans="1:66">
      <c r="A278" s="11"/>
      <c r="B278" s="11"/>
      <c r="C278" s="11"/>
      <c r="D278" s="11"/>
      <c r="E278" s="11"/>
      <c r="F278" s="11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  <c r="AL278" s="11"/>
      <c r="AM278" s="11"/>
      <c r="AN278" s="11"/>
      <c r="AO278" s="11"/>
      <c r="AP278" s="11"/>
      <c r="AQ278" s="11"/>
      <c r="AR278" s="11"/>
      <c r="AS278" s="11"/>
      <c r="AT278" s="11"/>
      <c r="AU278" s="11"/>
      <c r="AV278" s="11"/>
      <c r="AW278" s="11"/>
      <c r="AX278" s="11"/>
      <c r="AY278" s="11"/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  <c r="BL278" s="11"/>
      <c r="BM278" s="11"/>
      <c r="BN278" s="11"/>
    </row>
    <row r="279" spans="1:66">
      <c r="A279" s="11"/>
      <c r="B279" s="11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  <c r="AN279" s="11"/>
      <c r="AO279" s="11"/>
      <c r="AP279" s="11"/>
      <c r="AQ279" s="11"/>
      <c r="AR279" s="11"/>
      <c r="AS279" s="11"/>
      <c r="AT279" s="11"/>
      <c r="AU279" s="11"/>
      <c r="AV279" s="11"/>
      <c r="AW279" s="11"/>
      <c r="AX279" s="11"/>
      <c r="AY279" s="11"/>
      <c r="AZ279" s="11"/>
      <c r="BA279" s="11"/>
      <c r="BB279" s="11"/>
      <c r="BC279" s="11"/>
      <c r="BD279" s="11"/>
      <c r="BE279" s="11"/>
      <c r="BF279" s="11"/>
      <c r="BG279" s="11"/>
      <c r="BH279" s="11"/>
      <c r="BI279" s="11"/>
      <c r="BJ279" s="11"/>
      <c r="BK279" s="11"/>
      <c r="BL279" s="11"/>
      <c r="BM279" s="11"/>
      <c r="BN279" s="11"/>
    </row>
    <row r="280" spans="1:66">
      <c r="A280" s="11"/>
      <c r="B280" s="11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  <c r="BC280" s="11"/>
      <c r="BD280" s="11"/>
      <c r="BE280" s="11"/>
      <c r="BF280" s="11"/>
      <c r="BG280" s="11"/>
      <c r="BH280" s="11"/>
      <c r="BI280" s="11"/>
      <c r="BJ280" s="11"/>
      <c r="BK280" s="11"/>
      <c r="BL280" s="11"/>
      <c r="BM280" s="11"/>
      <c r="BN280" s="11"/>
    </row>
    <row r="281" spans="1:66">
      <c r="A281" s="11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  <c r="AR281" s="11"/>
      <c r="AS281" s="11"/>
      <c r="AT281" s="11"/>
      <c r="AU281" s="11"/>
      <c r="AV281" s="11"/>
      <c r="AW281" s="11"/>
      <c r="AX281" s="11"/>
      <c r="AY281" s="11"/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11"/>
      <c r="BK281" s="11"/>
      <c r="BL281" s="11"/>
      <c r="BM281" s="11"/>
      <c r="BN281" s="11"/>
    </row>
    <row r="282" spans="1:66">
      <c r="A282" s="11"/>
      <c r="B282" s="11"/>
      <c r="C282" s="11"/>
      <c r="D282" s="11"/>
      <c r="E282" s="11"/>
      <c r="F282" s="11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11"/>
      <c r="AO282" s="11"/>
      <c r="AP282" s="11"/>
      <c r="AQ282" s="11"/>
      <c r="AR282" s="11"/>
      <c r="AS282" s="11"/>
      <c r="AT282" s="11"/>
      <c r="AU282" s="11"/>
      <c r="AV282" s="11"/>
      <c r="AW282" s="11"/>
      <c r="AX282" s="11"/>
      <c r="AY282" s="11"/>
      <c r="AZ282" s="11"/>
      <c r="BA282" s="11"/>
      <c r="BB282" s="11"/>
      <c r="BC282" s="11"/>
      <c r="BD282" s="11"/>
      <c r="BE282" s="11"/>
      <c r="BF282" s="11"/>
      <c r="BG282" s="11"/>
      <c r="BH282" s="11"/>
      <c r="BI282" s="11"/>
      <c r="BJ282" s="11"/>
      <c r="BK282" s="11"/>
      <c r="BL282" s="11"/>
      <c r="BM282" s="11"/>
      <c r="BN282" s="11"/>
    </row>
    <row r="283" spans="1:66">
      <c r="A283" s="11"/>
      <c r="B283" s="11"/>
      <c r="C283" s="11"/>
      <c r="D283" s="11"/>
      <c r="E283" s="11"/>
      <c r="F283" s="11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  <c r="AL283" s="11"/>
      <c r="AM283" s="11"/>
      <c r="AN283" s="11"/>
      <c r="AO283" s="11"/>
      <c r="AP283" s="11"/>
      <c r="AQ283" s="11"/>
      <c r="AR283" s="11"/>
      <c r="AS283" s="11"/>
      <c r="AT283" s="11"/>
      <c r="AU283" s="11"/>
      <c r="AV283" s="11"/>
      <c r="AW283" s="11"/>
      <c r="AX283" s="11"/>
      <c r="AY283" s="11"/>
      <c r="AZ283" s="11"/>
      <c r="BA283" s="11"/>
      <c r="BB283" s="11"/>
      <c r="BC283" s="11"/>
      <c r="BD283" s="11"/>
      <c r="BE283" s="11"/>
      <c r="BF283" s="11"/>
      <c r="BG283" s="11"/>
      <c r="BH283" s="11"/>
      <c r="BI283" s="11"/>
      <c r="BJ283" s="11"/>
      <c r="BK283" s="11"/>
      <c r="BL283" s="11"/>
      <c r="BM283" s="11"/>
      <c r="BN283" s="11"/>
    </row>
    <row r="284" spans="1:66">
      <c r="A284" s="11"/>
      <c r="B284" s="11"/>
      <c r="C284" s="11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11"/>
      <c r="AO284" s="11"/>
      <c r="AP284" s="11"/>
      <c r="AQ284" s="11"/>
      <c r="AR284" s="11"/>
      <c r="AS284" s="11"/>
      <c r="AT284" s="11"/>
      <c r="AU284" s="11"/>
      <c r="AV284" s="11"/>
      <c r="AW284" s="11"/>
      <c r="AX284" s="11"/>
      <c r="AY284" s="11"/>
      <c r="AZ284" s="11"/>
      <c r="BA284" s="11"/>
      <c r="BB284" s="11"/>
      <c r="BC284" s="11"/>
      <c r="BD284" s="11"/>
      <c r="BE284" s="11"/>
      <c r="BF284" s="11"/>
      <c r="BG284" s="11"/>
      <c r="BH284" s="11"/>
      <c r="BI284" s="11"/>
      <c r="BJ284" s="11"/>
      <c r="BK284" s="11"/>
      <c r="BL284" s="11"/>
      <c r="BM284" s="11"/>
      <c r="BN284" s="11"/>
    </row>
    <row r="285" spans="1:66">
      <c r="A285" s="11"/>
      <c r="B285" s="11"/>
      <c r="C285" s="11"/>
      <c r="D285" s="11"/>
      <c r="E285" s="11"/>
      <c r="F285" s="11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11"/>
      <c r="AO285" s="11"/>
      <c r="AP285" s="11"/>
      <c r="AQ285" s="11"/>
      <c r="AR285" s="11"/>
      <c r="AS285" s="11"/>
      <c r="AT285" s="11"/>
      <c r="AU285" s="11"/>
      <c r="AV285" s="11"/>
      <c r="AW285" s="11"/>
      <c r="AX285" s="11"/>
      <c r="AY285" s="11"/>
      <c r="AZ285" s="11"/>
      <c r="BA285" s="11"/>
      <c r="BB285" s="11"/>
      <c r="BC285" s="11"/>
      <c r="BD285" s="11"/>
      <c r="BE285" s="11"/>
      <c r="BF285" s="11"/>
      <c r="BG285" s="11"/>
      <c r="BH285" s="11"/>
      <c r="BI285" s="11"/>
      <c r="BJ285" s="11"/>
      <c r="BK285" s="11"/>
      <c r="BL285" s="11"/>
      <c r="BM285" s="11"/>
      <c r="BN285" s="11"/>
    </row>
    <row r="286" spans="1:66">
      <c r="A286" s="11"/>
      <c r="B286" s="11"/>
      <c r="C286" s="11"/>
      <c r="D286" s="11"/>
      <c r="E286" s="11"/>
      <c r="F286" s="11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11"/>
      <c r="AO286" s="11"/>
      <c r="AP286" s="11"/>
      <c r="AQ286" s="11"/>
      <c r="AR286" s="11"/>
      <c r="AS286" s="11"/>
      <c r="AT286" s="11"/>
      <c r="AU286" s="11"/>
      <c r="AV286" s="11"/>
      <c r="AW286" s="11"/>
      <c r="AX286" s="11"/>
      <c r="AY286" s="11"/>
      <c r="AZ286" s="11"/>
      <c r="BA286" s="11"/>
      <c r="BB286" s="11"/>
      <c r="BC286" s="11"/>
      <c r="BD286" s="11"/>
      <c r="BE286" s="11"/>
      <c r="BF286" s="11"/>
      <c r="BG286" s="11"/>
      <c r="BH286" s="11"/>
      <c r="BI286" s="11"/>
      <c r="BJ286" s="11"/>
      <c r="BK286" s="11"/>
      <c r="BL286" s="11"/>
      <c r="BM286" s="11"/>
      <c r="BN286" s="11"/>
    </row>
    <row r="287" spans="1:66">
      <c r="A287" s="11"/>
      <c r="B287" s="11"/>
      <c r="C287" s="11"/>
      <c r="D287" s="11"/>
      <c r="E287" s="11"/>
      <c r="F287" s="11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11"/>
      <c r="AO287" s="11"/>
      <c r="AP287" s="11"/>
      <c r="AQ287" s="11"/>
      <c r="AR287" s="11"/>
      <c r="AS287" s="11"/>
      <c r="AT287" s="11"/>
      <c r="AU287" s="11"/>
      <c r="AV287" s="11"/>
      <c r="AW287" s="11"/>
      <c r="AX287" s="11"/>
      <c r="AY287" s="11"/>
      <c r="AZ287" s="11"/>
      <c r="BA287" s="11"/>
      <c r="BB287" s="11"/>
      <c r="BC287" s="11"/>
      <c r="BD287" s="11"/>
      <c r="BE287" s="11"/>
      <c r="BF287" s="11"/>
      <c r="BG287" s="11"/>
      <c r="BH287" s="11"/>
      <c r="BI287" s="11"/>
      <c r="BJ287" s="11"/>
      <c r="BK287" s="11"/>
      <c r="BL287" s="11"/>
      <c r="BM287" s="11"/>
      <c r="BN287" s="11"/>
    </row>
    <row r="288" spans="1:66">
      <c r="A288" s="11"/>
      <c r="B288" s="11"/>
      <c r="C288" s="11"/>
      <c r="D288" s="11"/>
      <c r="E288" s="11"/>
      <c r="F288" s="11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11"/>
      <c r="AO288" s="11"/>
      <c r="AP288" s="11"/>
      <c r="AQ288" s="11"/>
      <c r="AR288" s="11"/>
      <c r="AS288" s="11"/>
      <c r="AT288" s="11"/>
      <c r="AU288" s="11"/>
      <c r="AV288" s="11"/>
      <c r="AW288" s="11"/>
      <c r="AX288" s="11"/>
      <c r="AY288" s="11"/>
      <c r="AZ288" s="11"/>
      <c r="BA288" s="11"/>
      <c r="BB288" s="11"/>
      <c r="BC288" s="11"/>
      <c r="BD288" s="11"/>
      <c r="BE288" s="11"/>
      <c r="BF288" s="11"/>
      <c r="BG288" s="11"/>
      <c r="BH288" s="11"/>
      <c r="BI288" s="11"/>
      <c r="BJ288" s="11"/>
      <c r="BK288" s="11"/>
      <c r="BL288" s="11"/>
      <c r="BM288" s="11"/>
      <c r="BN288" s="11"/>
    </row>
    <row r="289" spans="1:66">
      <c r="A289" s="11"/>
      <c r="B289" s="11"/>
      <c r="C289" s="11"/>
      <c r="D289" s="11"/>
      <c r="E289" s="11"/>
      <c r="F289" s="11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11"/>
      <c r="AO289" s="11"/>
      <c r="AP289" s="11"/>
      <c r="AQ289" s="11"/>
      <c r="AR289" s="11"/>
      <c r="AS289" s="11"/>
      <c r="AT289" s="11"/>
      <c r="AU289" s="11"/>
      <c r="AV289" s="11"/>
      <c r="AW289" s="11"/>
      <c r="AX289" s="11"/>
      <c r="AY289" s="11"/>
      <c r="AZ289" s="11"/>
      <c r="BA289" s="11"/>
      <c r="BB289" s="11"/>
      <c r="BC289" s="11"/>
      <c r="BD289" s="11"/>
      <c r="BE289" s="11"/>
      <c r="BF289" s="11"/>
      <c r="BG289" s="11"/>
      <c r="BH289" s="11"/>
      <c r="BI289" s="11"/>
      <c r="BJ289" s="11"/>
      <c r="BK289" s="11"/>
      <c r="BL289" s="11"/>
      <c r="BM289" s="11"/>
      <c r="BN289" s="11"/>
    </row>
    <row r="290" spans="1:66">
      <c r="A290" s="11"/>
      <c r="B290" s="11"/>
      <c r="C290" s="11"/>
      <c r="D290" s="11"/>
      <c r="E290" s="11"/>
      <c r="F290" s="11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11"/>
      <c r="AO290" s="11"/>
      <c r="AP290" s="11"/>
      <c r="AQ290" s="11"/>
      <c r="AR290" s="11"/>
      <c r="AS290" s="11"/>
      <c r="AT290" s="11"/>
      <c r="AU290" s="11"/>
      <c r="AV290" s="11"/>
      <c r="AW290" s="11"/>
      <c r="AX290" s="11"/>
      <c r="AY290" s="11"/>
      <c r="AZ290" s="11"/>
      <c r="BA290" s="11"/>
      <c r="BB290" s="11"/>
      <c r="BC290" s="11"/>
      <c r="BD290" s="11"/>
      <c r="BE290" s="11"/>
      <c r="BF290" s="11"/>
      <c r="BG290" s="11"/>
      <c r="BH290" s="11"/>
      <c r="BI290" s="11"/>
      <c r="BJ290" s="11"/>
      <c r="BK290" s="11"/>
      <c r="BL290" s="11"/>
      <c r="BM290" s="11"/>
      <c r="BN290" s="11"/>
    </row>
    <row r="291" spans="1:66">
      <c r="A291" s="11"/>
      <c r="B291" s="11"/>
      <c r="C291" s="11"/>
      <c r="D291" s="11"/>
      <c r="E291" s="11"/>
      <c r="F291" s="11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  <c r="AL291" s="11"/>
      <c r="AM291" s="11"/>
      <c r="AN291" s="11"/>
      <c r="AO291" s="11"/>
      <c r="AP291" s="11"/>
      <c r="AQ291" s="11"/>
      <c r="AR291" s="11"/>
      <c r="AS291" s="11"/>
      <c r="AT291" s="11"/>
      <c r="AU291" s="11"/>
      <c r="AV291" s="11"/>
      <c r="AW291" s="11"/>
      <c r="AX291" s="11"/>
      <c r="AY291" s="11"/>
      <c r="AZ291" s="11"/>
      <c r="BA291" s="11"/>
      <c r="BB291" s="11"/>
      <c r="BC291" s="11"/>
      <c r="BD291" s="11"/>
      <c r="BE291" s="11"/>
      <c r="BF291" s="11"/>
      <c r="BG291" s="11"/>
      <c r="BH291" s="11"/>
      <c r="BI291" s="11"/>
      <c r="BJ291" s="11"/>
      <c r="BK291" s="11"/>
      <c r="BL291" s="11"/>
      <c r="BM291" s="11"/>
      <c r="BN291" s="11"/>
    </row>
    <row r="292" spans="1:66">
      <c r="A292" s="11"/>
      <c r="B292" s="11"/>
      <c r="C292" s="11"/>
      <c r="D292" s="11"/>
      <c r="E292" s="11"/>
      <c r="F292" s="11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  <c r="AN292" s="11"/>
      <c r="AO292" s="11"/>
      <c r="AP292" s="11"/>
      <c r="AQ292" s="11"/>
      <c r="AR292" s="11"/>
      <c r="AS292" s="11"/>
      <c r="AT292" s="11"/>
      <c r="AU292" s="11"/>
      <c r="AV292" s="11"/>
      <c r="AW292" s="11"/>
      <c r="AX292" s="11"/>
      <c r="AY292" s="11"/>
      <c r="AZ292" s="11"/>
      <c r="BA292" s="11"/>
      <c r="BB292" s="11"/>
      <c r="BC292" s="11"/>
      <c r="BD292" s="11"/>
      <c r="BE292" s="11"/>
      <c r="BF292" s="11"/>
      <c r="BG292" s="11"/>
      <c r="BH292" s="11"/>
      <c r="BI292" s="11"/>
      <c r="BJ292" s="11"/>
      <c r="BK292" s="11"/>
      <c r="BL292" s="11"/>
      <c r="BM292" s="11"/>
      <c r="BN292" s="11"/>
    </row>
    <row r="293" spans="1:66">
      <c r="A293" s="11"/>
      <c r="B293" s="11"/>
      <c r="C293" s="11"/>
      <c r="D293" s="11"/>
      <c r="E293" s="11"/>
      <c r="F293" s="11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  <c r="AN293" s="11"/>
      <c r="AO293" s="11"/>
      <c r="AP293" s="11"/>
      <c r="AQ293" s="11"/>
      <c r="AR293" s="11"/>
      <c r="AS293" s="11"/>
      <c r="AT293" s="11"/>
      <c r="AU293" s="11"/>
      <c r="AV293" s="11"/>
      <c r="AW293" s="11"/>
      <c r="AX293" s="11"/>
      <c r="AY293" s="11"/>
      <c r="AZ293" s="11"/>
      <c r="BA293" s="11"/>
      <c r="BB293" s="11"/>
      <c r="BC293" s="11"/>
      <c r="BD293" s="11"/>
      <c r="BE293" s="11"/>
      <c r="BF293" s="11"/>
      <c r="BG293" s="11"/>
      <c r="BH293" s="11"/>
      <c r="BI293" s="11"/>
      <c r="BJ293" s="11"/>
      <c r="BK293" s="11"/>
      <c r="BL293" s="11"/>
      <c r="BM293" s="11"/>
      <c r="BN293" s="11"/>
    </row>
    <row r="294" spans="1:66">
      <c r="A294" s="11"/>
      <c r="B294" s="11"/>
      <c r="C294" s="11"/>
      <c r="D294" s="11"/>
      <c r="E294" s="11"/>
      <c r="F294" s="11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  <c r="AL294" s="11"/>
      <c r="AM294" s="11"/>
      <c r="AN294" s="11"/>
      <c r="AO294" s="11"/>
      <c r="AP294" s="11"/>
      <c r="AQ294" s="11"/>
      <c r="AR294" s="11"/>
      <c r="AS294" s="11"/>
      <c r="AT294" s="11"/>
      <c r="AU294" s="11"/>
      <c r="AV294" s="11"/>
      <c r="AW294" s="11"/>
      <c r="AX294" s="11"/>
      <c r="AY294" s="11"/>
      <c r="AZ294" s="11"/>
      <c r="BA294" s="11"/>
      <c r="BB294" s="11"/>
      <c r="BC294" s="11"/>
      <c r="BD294" s="11"/>
      <c r="BE294" s="11"/>
      <c r="BF294" s="11"/>
      <c r="BG294" s="11"/>
      <c r="BH294" s="11"/>
      <c r="BI294" s="11"/>
      <c r="BJ294" s="11"/>
      <c r="BK294" s="11"/>
      <c r="BL294" s="11"/>
      <c r="BM294" s="11"/>
      <c r="BN294" s="11"/>
    </row>
    <row r="295" spans="1:66">
      <c r="A295" s="11"/>
      <c r="B295" s="11"/>
      <c r="C295" s="11"/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1"/>
      <c r="BE295" s="11"/>
      <c r="BF295" s="11"/>
      <c r="BG295" s="11"/>
      <c r="BH295" s="11"/>
      <c r="BI295" s="11"/>
      <c r="BJ295" s="11"/>
      <c r="BK295" s="11"/>
      <c r="BL295" s="11"/>
      <c r="BM295" s="11"/>
      <c r="BN295" s="11"/>
    </row>
    <row r="296" spans="1:66">
      <c r="A296" s="11"/>
      <c r="B296" s="11"/>
      <c r="C296" s="11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1"/>
      <c r="BE296" s="11"/>
      <c r="BF296" s="11"/>
      <c r="BG296" s="11"/>
      <c r="BH296" s="11"/>
      <c r="BI296" s="11"/>
      <c r="BJ296" s="11"/>
      <c r="BK296" s="11"/>
      <c r="BL296" s="11"/>
      <c r="BM296" s="11"/>
      <c r="BN296" s="11"/>
    </row>
    <row r="297" spans="1:66">
      <c r="A297" s="11"/>
      <c r="B297" s="11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1"/>
      <c r="BE297" s="11"/>
      <c r="BF297" s="11"/>
      <c r="BG297" s="11"/>
      <c r="BH297" s="11"/>
      <c r="BI297" s="11"/>
      <c r="BJ297" s="11"/>
      <c r="BK297" s="11"/>
      <c r="BL297" s="11"/>
      <c r="BM297" s="11"/>
      <c r="BN297" s="11"/>
    </row>
    <row r="298" spans="1:66">
      <c r="A298" s="11"/>
      <c r="B298" s="11"/>
      <c r="C298" s="11"/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1"/>
      <c r="BE298" s="11"/>
      <c r="BF298" s="11"/>
      <c r="BG298" s="11"/>
      <c r="BH298" s="11"/>
      <c r="BI298" s="11"/>
      <c r="BJ298" s="11"/>
      <c r="BK298" s="11"/>
      <c r="BL298" s="11"/>
      <c r="BM298" s="11"/>
      <c r="BN298" s="11"/>
    </row>
    <row r="299" spans="1:66">
      <c r="A299" s="11"/>
      <c r="B299" s="11"/>
      <c r="C299" s="11"/>
      <c r="D299" s="11"/>
      <c r="E299" s="11"/>
      <c r="F299" s="11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1"/>
      <c r="BE299" s="11"/>
      <c r="BF299" s="11"/>
      <c r="BG299" s="11"/>
      <c r="BH299" s="11"/>
      <c r="BI299" s="11"/>
      <c r="BJ299" s="11"/>
      <c r="BK299" s="11"/>
      <c r="BL299" s="11"/>
      <c r="BM299" s="11"/>
      <c r="BN299" s="11"/>
    </row>
    <row r="300" spans="1:66">
      <c r="A300" s="11"/>
      <c r="B300" s="11"/>
      <c r="C300" s="11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11"/>
      <c r="AT300" s="11"/>
      <c r="AU300" s="11"/>
      <c r="AV300" s="11"/>
      <c r="AW300" s="11"/>
      <c r="AX300" s="11"/>
      <c r="AY300" s="11"/>
      <c r="AZ300" s="11"/>
      <c r="BA300" s="11"/>
      <c r="BB300" s="11"/>
      <c r="BC300" s="11"/>
      <c r="BD300" s="11"/>
      <c r="BE300" s="11"/>
      <c r="BF300" s="11"/>
      <c r="BG300" s="11"/>
      <c r="BH300" s="11"/>
      <c r="BI300" s="11"/>
      <c r="BJ300" s="11"/>
      <c r="BK300" s="11"/>
      <c r="BL300" s="11"/>
      <c r="BM300" s="11"/>
      <c r="BN300" s="11"/>
    </row>
    <row r="301" spans="1:66">
      <c r="A301" s="11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11"/>
      <c r="BK301" s="11"/>
      <c r="BL301" s="11"/>
      <c r="BM301" s="11"/>
      <c r="BN301" s="11"/>
    </row>
    <row r="302" spans="1:66">
      <c r="A302" s="11"/>
      <c r="B302" s="11"/>
      <c r="C302" s="11"/>
      <c r="D302" s="11"/>
      <c r="E302" s="11"/>
      <c r="F302" s="11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  <c r="AR302" s="11"/>
      <c r="AS302" s="11"/>
      <c r="AT302" s="11"/>
      <c r="AU302" s="11"/>
      <c r="AV302" s="11"/>
      <c r="AW302" s="11"/>
      <c r="AX302" s="11"/>
      <c r="AY302" s="11"/>
      <c r="AZ302" s="11"/>
      <c r="BA302" s="11"/>
      <c r="BB302" s="11"/>
      <c r="BC302" s="11"/>
      <c r="BD302" s="11"/>
      <c r="BE302" s="11"/>
      <c r="BF302" s="11"/>
      <c r="BG302" s="11"/>
      <c r="BH302" s="11"/>
      <c r="BI302" s="11"/>
      <c r="BJ302" s="11"/>
      <c r="BK302" s="11"/>
      <c r="BL302" s="11"/>
      <c r="BM302" s="11"/>
      <c r="BN302" s="11"/>
    </row>
    <row r="303" spans="1:66">
      <c r="A303" s="11"/>
      <c r="B303" s="11"/>
      <c r="C303" s="11"/>
      <c r="D303" s="11"/>
      <c r="E303" s="11"/>
      <c r="F303" s="11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  <c r="AR303" s="11"/>
      <c r="AS303" s="11"/>
      <c r="AT303" s="11"/>
      <c r="AU303" s="11"/>
      <c r="AV303" s="11"/>
      <c r="AW303" s="11"/>
      <c r="AX303" s="11"/>
      <c r="AY303" s="11"/>
      <c r="AZ303" s="11"/>
      <c r="BA303" s="11"/>
      <c r="BB303" s="11"/>
      <c r="BC303" s="11"/>
      <c r="BD303" s="11"/>
      <c r="BE303" s="11"/>
      <c r="BF303" s="11"/>
      <c r="BG303" s="11"/>
      <c r="BH303" s="11"/>
      <c r="BI303" s="11"/>
      <c r="BJ303" s="11"/>
      <c r="BK303" s="11"/>
      <c r="BL303" s="11"/>
      <c r="BM303" s="11"/>
      <c r="BN303" s="11"/>
    </row>
    <row r="304" spans="1:66">
      <c r="A304" s="11"/>
      <c r="B304" s="11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11"/>
      <c r="AT304" s="11"/>
      <c r="AU304" s="11"/>
      <c r="AV304" s="11"/>
      <c r="AW304" s="11"/>
      <c r="AX304" s="11"/>
      <c r="AY304" s="11"/>
      <c r="AZ304" s="11"/>
      <c r="BA304" s="11"/>
      <c r="BB304" s="11"/>
      <c r="BC304" s="11"/>
      <c r="BD304" s="11"/>
      <c r="BE304" s="11"/>
      <c r="BF304" s="11"/>
      <c r="BG304" s="11"/>
      <c r="BH304" s="11"/>
      <c r="BI304" s="11"/>
      <c r="BJ304" s="11"/>
      <c r="BK304" s="11"/>
      <c r="BL304" s="11"/>
      <c r="BM304" s="11"/>
      <c r="BN304" s="11"/>
    </row>
    <row r="305" spans="1:66">
      <c r="A305" s="11"/>
      <c r="B305" s="11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11"/>
      <c r="AT305" s="11"/>
      <c r="AU305" s="11"/>
      <c r="AV305" s="11"/>
      <c r="AW305" s="11"/>
      <c r="AX305" s="11"/>
      <c r="AY305" s="11"/>
      <c r="AZ305" s="11"/>
      <c r="BA305" s="11"/>
      <c r="BB305" s="11"/>
      <c r="BC305" s="11"/>
      <c r="BD305" s="11"/>
      <c r="BE305" s="11"/>
      <c r="BF305" s="11"/>
      <c r="BG305" s="11"/>
      <c r="BH305" s="11"/>
      <c r="BI305" s="11"/>
      <c r="BJ305" s="11"/>
      <c r="BK305" s="11"/>
      <c r="BL305" s="11"/>
      <c r="BM305" s="11"/>
      <c r="BN305" s="11"/>
    </row>
    <row r="306" spans="1:66">
      <c r="A306" s="11"/>
      <c r="B306" s="11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11"/>
      <c r="AT306" s="11"/>
      <c r="AU306" s="11"/>
      <c r="AV306" s="11"/>
      <c r="AW306" s="11"/>
      <c r="AX306" s="11"/>
      <c r="AY306" s="11"/>
      <c r="AZ306" s="11"/>
      <c r="BA306" s="11"/>
      <c r="BB306" s="11"/>
      <c r="BC306" s="11"/>
      <c r="BD306" s="11"/>
      <c r="BE306" s="11"/>
      <c r="BF306" s="11"/>
      <c r="BG306" s="11"/>
      <c r="BH306" s="11"/>
      <c r="BI306" s="11"/>
      <c r="BJ306" s="11"/>
      <c r="BK306" s="11"/>
      <c r="BL306" s="11"/>
      <c r="BM306" s="11"/>
      <c r="BN306" s="11"/>
    </row>
    <row r="307" spans="1:66">
      <c r="A307" s="11"/>
      <c r="B307" s="11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11"/>
      <c r="AT307" s="11"/>
      <c r="AU307" s="11"/>
      <c r="AV307" s="11"/>
      <c r="AW307" s="11"/>
      <c r="AX307" s="11"/>
      <c r="AY307" s="11"/>
      <c r="AZ307" s="11"/>
      <c r="BA307" s="11"/>
      <c r="BB307" s="11"/>
      <c r="BC307" s="11"/>
      <c r="BD307" s="11"/>
      <c r="BE307" s="11"/>
      <c r="BF307" s="11"/>
      <c r="BG307" s="11"/>
      <c r="BH307" s="11"/>
      <c r="BI307" s="11"/>
      <c r="BJ307" s="11"/>
      <c r="BK307" s="11"/>
      <c r="BL307" s="11"/>
      <c r="BM307" s="11"/>
      <c r="BN307" s="11"/>
    </row>
    <row r="308" spans="1:66">
      <c r="A308" s="11"/>
      <c r="B308" s="11"/>
      <c r="C308" s="11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11"/>
      <c r="AR308" s="11"/>
      <c r="AS308" s="11"/>
      <c r="AT308" s="11"/>
      <c r="AU308" s="11"/>
      <c r="AV308" s="11"/>
      <c r="AW308" s="11"/>
      <c r="AX308" s="11"/>
      <c r="AY308" s="11"/>
      <c r="AZ308" s="11"/>
      <c r="BA308" s="11"/>
      <c r="BB308" s="11"/>
      <c r="BC308" s="11"/>
      <c r="BD308" s="11"/>
      <c r="BE308" s="11"/>
      <c r="BF308" s="11"/>
      <c r="BG308" s="11"/>
      <c r="BH308" s="11"/>
      <c r="BI308" s="11"/>
      <c r="BJ308" s="11"/>
      <c r="BK308" s="11"/>
      <c r="BL308" s="11"/>
      <c r="BM308" s="11"/>
      <c r="BN308" s="11"/>
    </row>
    <row r="309" spans="1:66">
      <c r="A309" s="11"/>
      <c r="B309" s="11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11"/>
      <c r="AT309" s="11"/>
      <c r="AU309" s="11"/>
      <c r="AV309" s="11"/>
      <c r="AW309" s="11"/>
      <c r="AX309" s="11"/>
      <c r="AY309" s="11"/>
      <c r="AZ309" s="11"/>
      <c r="BA309" s="11"/>
      <c r="BB309" s="11"/>
      <c r="BC309" s="11"/>
      <c r="BD309" s="11"/>
      <c r="BE309" s="11"/>
      <c r="BF309" s="11"/>
      <c r="BG309" s="11"/>
      <c r="BH309" s="11"/>
      <c r="BI309" s="11"/>
      <c r="BJ309" s="11"/>
      <c r="BK309" s="11"/>
      <c r="BL309" s="11"/>
      <c r="BM309" s="11"/>
      <c r="BN309" s="11"/>
    </row>
    <row r="310" spans="1:66">
      <c r="A310" s="11"/>
      <c r="B310" s="11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  <c r="AR310" s="11"/>
      <c r="AS310" s="11"/>
      <c r="AT310" s="11"/>
      <c r="AU310" s="11"/>
      <c r="AV310" s="11"/>
      <c r="AW310" s="11"/>
      <c r="AX310" s="11"/>
      <c r="AY310" s="11"/>
      <c r="AZ310" s="11"/>
      <c r="BA310" s="11"/>
      <c r="BB310" s="11"/>
      <c r="BC310" s="11"/>
      <c r="BD310" s="11"/>
      <c r="BE310" s="11"/>
      <c r="BF310" s="11"/>
      <c r="BG310" s="11"/>
      <c r="BH310" s="11"/>
      <c r="BI310" s="11"/>
      <c r="BJ310" s="11"/>
      <c r="BK310" s="11"/>
      <c r="BL310" s="11"/>
      <c r="BM310" s="11"/>
      <c r="BN310" s="11"/>
    </row>
    <row r="311" spans="1:66">
      <c r="A311" s="11"/>
      <c r="B311" s="11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11"/>
      <c r="AR311" s="11"/>
      <c r="AS311" s="11"/>
      <c r="AT311" s="11"/>
      <c r="AU311" s="11"/>
      <c r="AV311" s="11"/>
      <c r="AW311" s="11"/>
      <c r="AX311" s="11"/>
      <c r="AY311" s="11"/>
      <c r="AZ311" s="11"/>
      <c r="BA311" s="11"/>
      <c r="BB311" s="11"/>
      <c r="BC311" s="11"/>
      <c r="BD311" s="11"/>
      <c r="BE311" s="11"/>
      <c r="BF311" s="11"/>
      <c r="BG311" s="11"/>
      <c r="BH311" s="11"/>
      <c r="BI311" s="11"/>
      <c r="BJ311" s="11"/>
      <c r="BK311" s="11"/>
      <c r="BL311" s="11"/>
      <c r="BM311" s="11"/>
      <c r="BN311" s="11"/>
    </row>
    <row r="312" spans="1:66">
      <c r="A312" s="11"/>
      <c r="B312" s="11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11"/>
      <c r="AT312" s="11"/>
      <c r="AU312" s="11"/>
      <c r="AV312" s="11"/>
      <c r="AW312" s="11"/>
      <c r="AX312" s="11"/>
      <c r="AY312" s="11"/>
      <c r="AZ312" s="11"/>
      <c r="BA312" s="11"/>
      <c r="BB312" s="11"/>
      <c r="BC312" s="11"/>
      <c r="BD312" s="11"/>
      <c r="BE312" s="11"/>
      <c r="BF312" s="11"/>
      <c r="BG312" s="11"/>
      <c r="BH312" s="11"/>
      <c r="BI312" s="11"/>
      <c r="BJ312" s="11"/>
      <c r="BK312" s="11"/>
      <c r="BL312" s="11"/>
      <c r="BM312" s="11"/>
      <c r="BN312" s="11"/>
    </row>
    <row r="313" spans="1:66">
      <c r="A313" s="11"/>
      <c r="B313" s="11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11"/>
      <c r="AR313" s="11"/>
      <c r="AS313" s="11"/>
      <c r="AT313" s="11"/>
      <c r="AU313" s="11"/>
      <c r="AV313" s="11"/>
      <c r="AW313" s="11"/>
      <c r="AX313" s="11"/>
      <c r="AY313" s="11"/>
      <c r="AZ313" s="11"/>
      <c r="BA313" s="11"/>
      <c r="BB313" s="11"/>
      <c r="BC313" s="11"/>
      <c r="BD313" s="11"/>
      <c r="BE313" s="11"/>
      <c r="BF313" s="11"/>
      <c r="BG313" s="11"/>
      <c r="BH313" s="11"/>
      <c r="BI313" s="11"/>
      <c r="BJ313" s="11"/>
      <c r="BK313" s="11"/>
      <c r="BL313" s="11"/>
      <c r="BM313" s="11"/>
      <c r="BN313" s="11"/>
    </row>
    <row r="314" spans="1:66">
      <c r="A314" s="11"/>
      <c r="B314" s="11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11"/>
      <c r="AT314" s="11"/>
      <c r="AU314" s="11"/>
      <c r="AV314" s="11"/>
      <c r="AW314" s="11"/>
      <c r="AX314" s="11"/>
      <c r="AY314" s="11"/>
      <c r="AZ314" s="11"/>
      <c r="BA314" s="11"/>
      <c r="BB314" s="11"/>
      <c r="BC314" s="11"/>
      <c r="BD314" s="11"/>
      <c r="BE314" s="11"/>
      <c r="BF314" s="11"/>
      <c r="BG314" s="11"/>
      <c r="BH314" s="11"/>
      <c r="BI314" s="11"/>
      <c r="BJ314" s="11"/>
      <c r="BK314" s="11"/>
      <c r="BL314" s="11"/>
      <c r="BM314" s="11"/>
      <c r="BN314" s="11"/>
    </row>
    <row r="315" spans="1:66">
      <c r="A315" s="11"/>
      <c r="B315" s="11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11"/>
      <c r="AT315" s="11"/>
      <c r="AU315" s="11"/>
      <c r="AV315" s="11"/>
      <c r="AW315" s="11"/>
      <c r="AX315" s="11"/>
      <c r="AY315" s="11"/>
      <c r="AZ315" s="11"/>
      <c r="BA315" s="11"/>
      <c r="BB315" s="11"/>
      <c r="BC315" s="11"/>
      <c r="BD315" s="11"/>
      <c r="BE315" s="11"/>
      <c r="BF315" s="11"/>
      <c r="BG315" s="11"/>
      <c r="BH315" s="11"/>
      <c r="BI315" s="11"/>
      <c r="BJ315" s="11"/>
      <c r="BK315" s="11"/>
      <c r="BL315" s="11"/>
      <c r="BM315" s="11"/>
      <c r="BN315" s="11"/>
    </row>
    <row r="316" spans="1:66">
      <c r="A316" s="11"/>
      <c r="B316" s="11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11"/>
      <c r="AT316" s="11"/>
      <c r="AU316" s="11"/>
      <c r="AV316" s="11"/>
      <c r="AW316" s="11"/>
      <c r="AX316" s="11"/>
      <c r="AY316" s="11"/>
      <c r="AZ316" s="11"/>
      <c r="BA316" s="11"/>
      <c r="BB316" s="11"/>
      <c r="BC316" s="11"/>
      <c r="BD316" s="11"/>
      <c r="BE316" s="11"/>
      <c r="BF316" s="11"/>
      <c r="BG316" s="11"/>
      <c r="BH316" s="11"/>
      <c r="BI316" s="11"/>
      <c r="BJ316" s="11"/>
      <c r="BK316" s="11"/>
      <c r="BL316" s="11"/>
      <c r="BM316" s="11"/>
      <c r="BN316" s="11"/>
    </row>
    <row r="317" spans="1:66">
      <c r="A317" s="11"/>
      <c r="B317" s="11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11"/>
      <c r="AT317" s="11"/>
      <c r="AU317" s="11"/>
      <c r="AV317" s="11"/>
      <c r="AW317" s="11"/>
      <c r="AX317" s="11"/>
      <c r="AY317" s="11"/>
      <c r="AZ317" s="11"/>
      <c r="BA317" s="11"/>
      <c r="BB317" s="11"/>
      <c r="BC317" s="11"/>
      <c r="BD317" s="11"/>
      <c r="BE317" s="11"/>
      <c r="BF317" s="11"/>
      <c r="BG317" s="11"/>
      <c r="BH317" s="11"/>
      <c r="BI317" s="11"/>
      <c r="BJ317" s="11"/>
      <c r="BK317" s="11"/>
      <c r="BL317" s="11"/>
      <c r="BM317" s="11"/>
      <c r="BN317" s="11"/>
    </row>
    <row r="318" spans="1:66">
      <c r="A318" s="11"/>
      <c r="B318" s="11"/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11"/>
      <c r="AR318" s="11"/>
      <c r="AS318" s="11"/>
      <c r="AT318" s="11"/>
      <c r="AU318" s="11"/>
      <c r="AV318" s="11"/>
      <c r="AW318" s="11"/>
      <c r="AX318" s="11"/>
      <c r="AY318" s="11"/>
      <c r="AZ318" s="11"/>
      <c r="BA318" s="11"/>
      <c r="BB318" s="11"/>
      <c r="BC318" s="11"/>
      <c r="BD318" s="11"/>
      <c r="BE318" s="11"/>
      <c r="BF318" s="11"/>
      <c r="BG318" s="11"/>
      <c r="BH318" s="11"/>
      <c r="BI318" s="11"/>
      <c r="BJ318" s="11"/>
      <c r="BK318" s="11"/>
      <c r="BL318" s="11"/>
      <c r="BM318" s="11"/>
      <c r="BN318" s="11"/>
    </row>
    <row r="319" spans="1:66">
      <c r="A319" s="11"/>
      <c r="B319" s="11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11"/>
      <c r="AT319" s="11"/>
      <c r="AU319" s="11"/>
      <c r="AV319" s="11"/>
      <c r="AW319" s="11"/>
      <c r="AX319" s="11"/>
      <c r="AY319" s="11"/>
      <c r="AZ319" s="11"/>
      <c r="BA319" s="11"/>
      <c r="BB319" s="11"/>
      <c r="BC319" s="11"/>
      <c r="BD319" s="11"/>
      <c r="BE319" s="11"/>
      <c r="BF319" s="11"/>
      <c r="BG319" s="11"/>
      <c r="BH319" s="11"/>
      <c r="BI319" s="11"/>
      <c r="BJ319" s="11"/>
      <c r="BK319" s="11"/>
      <c r="BL319" s="11"/>
      <c r="BM319" s="11"/>
      <c r="BN319" s="11"/>
    </row>
    <row r="320" spans="1:66">
      <c r="A320" s="11"/>
      <c r="B320" s="11"/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11"/>
      <c r="AR320" s="11"/>
      <c r="AS320" s="11"/>
      <c r="AT320" s="11"/>
      <c r="AU320" s="11"/>
      <c r="AV320" s="11"/>
      <c r="AW320" s="11"/>
      <c r="AX320" s="11"/>
      <c r="AY320" s="11"/>
      <c r="AZ320" s="11"/>
      <c r="BA320" s="11"/>
      <c r="BB320" s="11"/>
      <c r="BC320" s="11"/>
      <c r="BD320" s="11"/>
      <c r="BE320" s="11"/>
      <c r="BF320" s="11"/>
      <c r="BG320" s="11"/>
      <c r="BH320" s="11"/>
      <c r="BI320" s="11"/>
      <c r="BJ320" s="11"/>
      <c r="BK320" s="11"/>
      <c r="BL320" s="11"/>
      <c r="BM320" s="11"/>
      <c r="BN320" s="11"/>
    </row>
    <row r="321" spans="1:66">
      <c r="A321" s="11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11"/>
      <c r="AT321" s="11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11"/>
      <c r="BK321" s="11"/>
      <c r="BL321" s="11"/>
      <c r="BM321" s="11"/>
      <c r="BN321" s="11"/>
    </row>
    <row r="322" spans="1:66">
      <c r="A322" s="11"/>
      <c r="B322" s="11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11"/>
      <c r="AT322" s="11"/>
      <c r="AU322" s="11"/>
      <c r="AV322" s="11"/>
      <c r="AW322" s="11"/>
      <c r="AX322" s="11"/>
      <c r="AY322" s="11"/>
      <c r="AZ322" s="11"/>
      <c r="BA322" s="11"/>
      <c r="BB322" s="11"/>
      <c r="BC322" s="11"/>
      <c r="BD322" s="11"/>
      <c r="BE322" s="11"/>
      <c r="BF322" s="11"/>
      <c r="BG322" s="11"/>
      <c r="BH322" s="11"/>
      <c r="BI322" s="11"/>
      <c r="BJ322" s="11"/>
      <c r="BK322" s="11"/>
      <c r="BL322" s="11"/>
      <c r="BM322" s="11"/>
      <c r="BN322" s="11"/>
    </row>
    <row r="323" spans="1:66">
      <c r="A323" s="11"/>
      <c r="B323" s="11"/>
      <c r="C323" s="11"/>
      <c r="D323" s="11"/>
      <c r="E323" s="11"/>
      <c r="F323" s="11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  <c r="AA323" s="11"/>
      <c r="AB323" s="11"/>
      <c r="AC323" s="11"/>
      <c r="AD323" s="11"/>
      <c r="AE323" s="11"/>
      <c r="AF323" s="11"/>
      <c r="AG323" s="11"/>
      <c r="AH323" s="11"/>
      <c r="AI323" s="11"/>
      <c r="AJ323" s="11"/>
      <c r="AK323" s="11"/>
      <c r="AL323" s="11"/>
      <c r="AM323" s="11"/>
      <c r="AN323" s="11"/>
      <c r="AO323" s="11"/>
      <c r="AP323" s="11"/>
      <c r="AQ323" s="11"/>
      <c r="AR323" s="11"/>
      <c r="AS323" s="11"/>
      <c r="AT323" s="11"/>
      <c r="AU323" s="11"/>
      <c r="AV323" s="11"/>
      <c r="AW323" s="11"/>
      <c r="AX323" s="11"/>
      <c r="AY323" s="11"/>
      <c r="AZ323" s="11"/>
      <c r="BA323" s="11"/>
      <c r="BB323" s="11"/>
      <c r="BC323" s="11"/>
      <c r="BD323" s="11"/>
      <c r="BE323" s="11"/>
      <c r="BF323" s="11"/>
      <c r="BG323" s="11"/>
      <c r="BH323" s="11"/>
      <c r="BI323" s="11"/>
      <c r="BJ323" s="11"/>
      <c r="BK323" s="11"/>
      <c r="BL323" s="11"/>
      <c r="BM323" s="11"/>
      <c r="BN323" s="11"/>
    </row>
    <row r="324" spans="1:66">
      <c r="A324" s="11"/>
      <c r="B324" s="11"/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  <c r="AA324" s="11"/>
      <c r="AB324" s="11"/>
      <c r="AC324" s="11"/>
      <c r="AD324" s="11"/>
      <c r="AE324" s="11"/>
      <c r="AF324" s="11"/>
      <c r="AG324" s="11"/>
      <c r="AH324" s="11"/>
      <c r="AI324" s="11"/>
      <c r="AJ324" s="11"/>
      <c r="AK324" s="11"/>
      <c r="AL324" s="11"/>
      <c r="AM324" s="11"/>
      <c r="AN324" s="11"/>
      <c r="AO324" s="11"/>
      <c r="AP324" s="11"/>
      <c r="AQ324" s="11"/>
      <c r="AR324" s="11"/>
      <c r="AS324" s="11"/>
      <c r="AT324" s="11"/>
      <c r="AU324" s="11"/>
      <c r="AV324" s="11"/>
      <c r="AW324" s="11"/>
      <c r="AX324" s="11"/>
      <c r="AY324" s="11"/>
      <c r="AZ324" s="11"/>
      <c r="BA324" s="11"/>
      <c r="BB324" s="11"/>
      <c r="BC324" s="11"/>
      <c r="BD324" s="11"/>
      <c r="BE324" s="11"/>
      <c r="BF324" s="11"/>
      <c r="BG324" s="11"/>
      <c r="BH324" s="11"/>
      <c r="BI324" s="11"/>
      <c r="BJ324" s="11"/>
      <c r="BK324" s="11"/>
      <c r="BL324" s="11"/>
      <c r="BM324" s="11"/>
      <c r="BN324" s="11"/>
    </row>
    <row r="325" spans="1:66">
      <c r="A325" s="11"/>
      <c r="B325" s="11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  <c r="AA325" s="11"/>
      <c r="AB325" s="11"/>
      <c r="AC325" s="11"/>
      <c r="AD325" s="11"/>
      <c r="AE325" s="11"/>
      <c r="AF325" s="11"/>
      <c r="AG325" s="11"/>
      <c r="AH325" s="11"/>
      <c r="AI325" s="11"/>
      <c r="AJ325" s="11"/>
      <c r="AK325" s="11"/>
      <c r="AL325" s="11"/>
      <c r="AM325" s="11"/>
      <c r="AN325" s="11"/>
      <c r="AO325" s="11"/>
      <c r="AP325" s="11"/>
      <c r="AQ325" s="11"/>
      <c r="AR325" s="11"/>
      <c r="AS325" s="11"/>
      <c r="AT325" s="11"/>
      <c r="AU325" s="11"/>
      <c r="AV325" s="11"/>
      <c r="AW325" s="11"/>
      <c r="AX325" s="11"/>
      <c r="AY325" s="11"/>
      <c r="AZ325" s="11"/>
      <c r="BA325" s="11"/>
      <c r="BB325" s="11"/>
      <c r="BC325" s="11"/>
      <c r="BD325" s="11"/>
      <c r="BE325" s="11"/>
      <c r="BF325" s="11"/>
      <c r="BG325" s="11"/>
      <c r="BH325" s="11"/>
      <c r="BI325" s="11"/>
      <c r="BJ325" s="11"/>
      <c r="BK325" s="11"/>
      <c r="BL325" s="11"/>
      <c r="BM325" s="11"/>
      <c r="BN325" s="11"/>
    </row>
    <row r="326" spans="1:66">
      <c r="A326" s="11"/>
      <c r="B326" s="11"/>
      <c r="C326" s="11"/>
      <c r="D326" s="11"/>
      <c r="E326" s="11"/>
      <c r="F326" s="11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  <c r="AA326" s="11"/>
      <c r="AB326" s="11"/>
      <c r="AC326" s="11"/>
      <c r="AD326" s="11"/>
      <c r="AE326" s="11"/>
      <c r="AF326" s="11"/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  <c r="AY326" s="11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11"/>
      <c r="BL326" s="11"/>
      <c r="BM326" s="11"/>
      <c r="BN326" s="11"/>
    </row>
    <row r="327" spans="1:66">
      <c r="A327" s="11"/>
      <c r="B327" s="11"/>
      <c r="C327" s="11"/>
      <c r="D327" s="11"/>
      <c r="E327" s="11"/>
      <c r="F327" s="11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  <c r="AA327" s="11"/>
      <c r="AB327" s="11"/>
      <c r="AC327" s="11"/>
      <c r="AD327" s="11"/>
      <c r="AE327" s="11"/>
      <c r="AF327" s="11"/>
      <c r="AG327" s="11"/>
      <c r="AH327" s="11"/>
      <c r="AI327" s="11"/>
      <c r="AJ327" s="11"/>
      <c r="AK327" s="11"/>
      <c r="AL327" s="11"/>
      <c r="AM327" s="11"/>
      <c r="AN327" s="11"/>
      <c r="AO327" s="11"/>
      <c r="AP327" s="11"/>
      <c r="AQ327" s="11"/>
      <c r="AR327" s="11"/>
      <c r="AS327" s="11"/>
      <c r="AT327" s="11"/>
      <c r="AU327" s="11"/>
      <c r="AV327" s="11"/>
      <c r="AW327" s="11"/>
      <c r="AX327" s="11"/>
      <c r="AY327" s="11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11"/>
      <c r="BL327" s="11"/>
      <c r="BM327" s="11"/>
      <c r="BN327" s="11"/>
    </row>
    <row r="328" spans="1:66">
      <c r="A328" s="11"/>
      <c r="B328" s="11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  <c r="AA328" s="11"/>
      <c r="AB328" s="11"/>
      <c r="AC328" s="11"/>
      <c r="AD328" s="11"/>
      <c r="AE328" s="11"/>
      <c r="AF328" s="11"/>
      <c r="AG328" s="11"/>
      <c r="AH328" s="11"/>
      <c r="AI328" s="11"/>
      <c r="AJ328" s="11"/>
      <c r="AK328" s="11"/>
      <c r="AL328" s="11"/>
      <c r="AM328" s="11"/>
      <c r="AN328" s="11"/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  <c r="AY328" s="11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11"/>
      <c r="BL328" s="11"/>
      <c r="BM328" s="11"/>
      <c r="BN328" s="11"/>
    </row>
    <row r="329" spans="1:66">
      <c r="A329" s="11"/>
      <c r="B329" s="11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  <c r="AA329" s="11"/>
      <c r="AB329" s="11"/>
      <c r="AC329" s="11"/>
      <c r="AD329" s="11"/>
      <c r="AE329" s="11"/>
      <c r="AF329" s="11"/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  <c r="AR329" s="11"/>
      <c r="AS329" s="11"/>
      <c r="AT329" s="11"/>
      <c r="AU329" s="11"/>
      <c r="AV329" s="11"/>
      <c r="AW329" s="11"/>
      <c r="AX329" s="11"/>
      <c r="AY329" s="11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11"/>
      <c r="BL329" s="11"/>
      <c r="BM329" s="11"/>
      <c r="BN329" s="11"/>
    </row>
    <row r="330" spans="1:66">
      <c r="A330" s="11"/>
      <c r="B330" s="11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  <c r="AA330" s="11"/>
      <c r="AB330" s="11"/>
      <c r="AC330" s="11"/>
      <c r="AD330" s="11"/>
      <c r="AE330" s="11"/>
      <c r="AF330" s="11"/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  <c r="AY330" s="11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11"/>
      <c r="BL330" s="11"/>
      <c r="BM330" s="11"/>
      <c r="BN330" s="11"/>
    </row>
    <row r="331" spans="1:66">
      <c r="A331" s="11"/>
      <c r="B331" s="11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  <c r="AA331" s="11"/>
      <c r="AB331" s="11"/>
      <c r="AC331" s="11"/>
      <c r="AD331" s="11"/>
      <c r="AE331" s="11"/>
      <c r="AF331" s="11"/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11"/>
      <c r="BL331" s="11"/>
      <c r="BM331" s="11"/>
      <c r="BN331" s="11"/>
    </row>
    <row r="332" spans="1:66">
      <c r="A332" s="11"/>
      <c r="B332" s="11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11"/>
      <c r="BL332" s="11"/>
      <c r="BM332" s="11"/>
      <c r="BN332" s="11"/>
    </row>
    <row r="333" spans="1:66">
      <c r="A333" s="11"/>
      <c r="B333" s="11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  <c r="AA333" s="11"/>
      <c r="AB333" s="11"/>
      <c r="AC333" s="11"/>
      <c r="AD333" s="11"/>
      <c r="AE333" s="11"/>
      <c r="AF333" s="11"/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  <c r="AY333" s="11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11"/>
      <c r="BL333" s="11"/>
      <c r="BM333" s="11"/>
      <c r="BN333" s="11"/>
    </row>
    <row r="334" spans="1:66">
      <c r="A334" s="11"/>
      <c r="B334" s="11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11"/>
      <c r="AO334" s="11"/>
      <c r="AP334" s="11"/>
      <c r="AQ334" s="11"/>
      <c r="AR334" s="11"/>
      <c r="AS334" s="11"/>
      <c r="AT334" s="11"/>
      <c r="AU334" s="11"/>
      <c r="AV334" s="11"/>
      <c r="AW334" s="11"/>
      <c r="AX334" s="11"/>
      <c r="AY334" s="11"/>
      <c r="AZ334" s="11"/>
      <c r="BA334" s="11"/>
      <c r="BB334" s="11"/>
      <c r="BC334" s="11"/>
      <c r="BD334" s="11"/>
      <c r="BE334" s="11"/>
      <c r="BF334" s="11"/>
      <c r="BG334" s="11"/>
      <c r="BH334" s="11"/>
      <c r="BI334" s="11"/>
      <c r="BJ334" s="11"/>
      <c r="BK334" s="11"/>
      <c r="BL334" s="11"/>
      <c r="BM334" s="11"/>
      <c r="BN334" s="11"/>
    </row>
    <row r="335" spans="1:66">
      <c r="A335" s="11"/>
      <c r="B335" s="11"/>
      <c r="C335" s="11"/>
      <c r="D335" s="11"/>
      <c r="E335" s="11"/>
      <c r="F335" s="11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11"/>
      <c r="AO335" s="11"/>
      <c r="AP335" s="11"/>
      <c r="AQ335" s="11"/>
      <c r="AR335" s="11"/>
      <c r="AS335" s="11"/>
      <c r="AT335" s="11"/>
      <c r="AU335" s="11"/>
      <c r="AV335" s="11"/>
      <c r="AW335" s="11"/>
      <c r="AX335" s="11"/>
      <c r="AY335" s="11"/>
      <c r="AZ335" s="11"/>
      <c r="BA335" s="11"/>
      <c r="BB335" s="11"/>
      <c r="BC335" s="11"/>
      <c r="BD335" s="11"/>
      <c r="BE335" s="11"/>
      <c r="BF335" s="11"/>
      <c r="BG335" s="11"/>
      <c r="BH335" s="11"/>
      <c r="BI335" s="11"/>
      <c r="BJ335" s="11"/>
      <c r="BK335" s="11"/>
      <c r="BL335" s="11"/>
      <c r="BM335" s="11"/>
      <c r="BN335" s="11"/>
    </row>
    <row r="336" spans="1:66">
      <c r="A336" s="11"/>
      <c r="B336" s="11"/>
      <c r="C336" s="11"/>
      <c r="D336" s="11"/>
      <c r="E336" s="11"/>
      <c r="F336" s="11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11"/>
      <c r="AB336" s="11"/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  <c r="AN336" s="11"/>
      <c r="AO336" s="11"/>
      <c r="AP336" s="11"/>
      <c r="AQ336" s="11"/>
      <c r="AR336" s="11"/>
      <c r="AS336" s="11"/>
      <c r="AT336" s="11"/>
      <c r="AU336" s="11"/>
      <c r="AV336" s="11"/>
      <c r="AW336" s="11"/>
      <c r="AX336" s="11"/>
      <c r="AY336" s="11"/>
      <c r="AZ336" s="11"/>
      <c r="BA336" s="11"/>
      <c r="BB336" s="11"/>
      <c r="BC336" s="11"/>
      <c r="BD336" s="11"/>
      <c r="BE336" s="11"/>
      <c r="BF336" s="11"/>
      <c r="BG336" s="11"/>
      <c r="BH336" s="11"/>
      <c r="BI336" s="11"/>
      <c r="BJ336" s="11"/>
      <c r="BK336" s="11"/>
      <c r="BL336" s="11"/>
      <c r="BM336" s="11"/>
      <c r="BN336" s="11"/>
    </row>
    <row r="337" spans="1:66">
      <c r="A337" s="11"/>
      <c r="B337" s="11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11"/>
      <c r="AT337" s="11"/>
      <c r="AU337" s="11"/>
      <c r="AV337" s="11"/>
      <c r="AW337" s="11"/>
      <c r="AX337" s="11"/>
      <c r="AY337" s="11"/>
      <c r="AZ337" s="11"/>
      <c r="BA337" s="11"/>
      <c r="BB337" s="11"/>
      <c r="BC337" s="11"/>
      <c r="BD337" s="11"/>
      <c r="BE337" s="11"/>
      <c r="BF337" s="11"/>
      <c r="BG337" s="11"/>
      <c r="BH337" s="11"/>
      <c r="BI337" s="11"/>
      <c r="BJ337" s="11"/>
      <c r="BK337" s="11"/>
      <c r="BL337" s="11"/>
      <c r="BM337" s="11"/>
      <c r="BN337" s="11"/>
    </row>
    <row r="338" spans="1:66">
      <c r="A338" s="11"/>
      <c r="B338" s="11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11"/>
      <c r="AT338" s="11"/>
      <c r="AU338" s="11"/>
      <c r="AV338" s="11"/>
      <c r="AW338" s="11"/>
      <c r="AX338" s="11"/>
      <c r="AY338" s="11"/>
      <c r="AZ338" s="11"/>
      <c r="BA338" s="11"/>
      <c r="BB338" s="11"/>
      <c r="BC338" s="11"/>
      <c r="BD338" s="11"/>
      <c r="BE338" s="11"/>
      <c r="BF338" s="11"/>
      <c r="BG338" s="11"/>
      <c r="BH338" s="11"/>
      <c r="BI338" s="11"/>
      <c r="BJ338" s="11"/>
      <c r="BK338" s="11"/>
      <c r="BL338" s="11"/>
      <c r="BM338" s="11"/>
      <c r="BN338" s="11"/>
    </row>
    <row r="339" spans="1:66">
      <c r="A339" s="11"/>
      <c r="B339" s="11"/>
      <c r="C339" s="11"/>
      <c r="D339" s="11"/>
      <c r="E339" s="11"/>
      <c r="F339" s="11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  <c r="AR339" s="11"/>
      <c r="AS339" s="11"/>
      <c r="AT339" s="11"/>
      <c r="AU339" s="11"/>
      <c r="AV339" s="11"/>
      <c r="AW339" s="11"/>
      <c r="AX339" s="11"/>
      <c r="AY339" s="11"/>
      <c r="AZ339" s="11"/>
      <c r="BA339" s="11"/>
      <c r="BB339" s="11"/>
      <c r="BC339" s="11"/>
      <c r="BD339" s="11"/>
      <c r="BE339" s="11"/>
      <c r="BF339" s="11"/>
      <c r="BG339" s="11"/>
      <c r="BH339" s="11"/>
      <c r="BI339" s="11"/>
      <c r="BJ339" s="11"/>
      <c r="BK339" s="11"/>
      <c r="BL339" s="11"/>
      <c r="BM339" s="11"/>
      <c r="BN339" s="11"/>
    </row>
    <row r="340" spans="1:66">
      <c r="A340" s="11"/>
      <c r="B340" s="11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11"/>
      <c r="AT340" s="11"/>
      <c r="AU340" s="11"/>
      <c r="AV340" s="11"/>
      <c r="AW340" s="11"/>
      <c r="AX340" s="11"/>
      <c r="AY340" s="11"/>
      <c r="AZ340" s="11"/>
      <c r="BA340" s="11"/>
      <c r="BB340" s="11"/>
      <c r="BC340" s="11"/>
      <c r="BD340" s="11"/>
      <c r="BE340" s="11"/>
      <c r="BF340" s="11"/>
      <c r="BG340" s="11"/>
      <c r="BH340" s="11"/>
      <c r="BI340" s="11"/>
      <c r="BJ340" s="11"/>
      <c r="BK340" s="11"/>
      <c r="BL340" s="11"/>
      <c r="BM340" s="11"/>
      <c r="BN340" s="11"/>
    </row>
    <row r="341" spans="1:66">
      <c r="A341" s="11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11"/>
      <c r="AT341" s="11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11"/>
      <c r="BK341" s="11"/>
      <c r="BL341" s="11"/>
      <c r="BM341" s="11"/>
      <c r="BN341" s="11"/>
    </row>
    <row r="342" spans="1:66">
      <c r="A342" s="11"/>
      <c r="B342" s="11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11"/>
      <c r="AT342" s="11"/>
      <c r="AU342" s="11"/>
      <c r="AV342" s="11"/>
      <c r="AW342" s="11"/>
      <c r="AX342" s="11"/>
      <c r="AY342" s="11"/>
      <c r="AZ342" s="11"/>
      <c r="BA342" s="11"/>
      <c r="BB342" s="11"/>
      <c r="BC342" s="11"/>
      <c r="BD342" s="11"/>
      <c r="BE342" s="11"/>
      <c r="BF342" s="11"/>
      <c r="BG342" s="11"/>
      <c r="BH342" s="11"/>
      <c r="BI342" s="11"/>
      <c r="BJ342" s="11"/>
      <c r="BK342" s="11"/>
      <c r="BL342" s="11"/>
      <c r="BM342" s="11"/>
      <c r="BN342" s="11"/>
    </row>
    <row r="343" spans="1:66">
      <c r="A343" s="11"/>
      <c r="B343" s="11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11"/>
      <c r="AT343" s="11"/>
      <c r="AU343" s="11"/>
      <c r="AV343" s="11"/>
      <c r="AW343" s="11"/>
      <c r="AX343" s="11"/>
      <c r="AY343" s="11"/>
      <c r="AZ343" s="11"/>
      <c r="BA343" s="11"/>
      <c r="BB343" s="11"/>
      <c r="BC343" s="11"/>
      <c r="BD343" s="11"/>
      <c r="BE343" s="11"/>
      <c r="BF343" s="11"/>
      <c r="BG343" s="11"/>
      <c r="BH343" s="11"/>
      <c r="BI343" s="11"/>
      <c r="BJ343" s="11"/>
      <c r="BK343" s="11"/>
      <c r="BL343" s="11"/>
      <c r="BM343" s="11"/>
      <c r="BN343" s="11"/>
    </row>
    <row r="344" spans="1:66">
      <c r="A344" s="11"/>
      <c r="B344" s="11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  <c r="AR344" s="11"/>
      <c r="AS344" s="11"/>
      <c r="AT344" s="11"/>
      <c r="AU344" s="11"/>
      <c r="AV344" s="11"/>
      <c r="AW344" s="11"/>
      <c r="AX344" s="11"/>
      <c r="AY344" s="11"/>
      <c r="AZ344" s="11"/>
      <c r="BA344" s="11"/>
      <c r="BB344" s="11"/>
      <c r="BC344" s="11"/>
      <c r="BD344" s="11"/>
      <c r="BE344" s="11"/>
      <c r="BF344" s="11"/>
      <c r="BG344" s="11"/>
      <c r="BH344" s="11"/>
      <c r="BI344" s="11"/>
      <c r="BJ344" s="11"/>
      <c r="BK344" s="11"/>
      <c r="BL344" s="11"/>
      <c r="BM344" s="11"/>
      <c r="BN344" s="11"/>
    </row>
    <row r="345" spans="1:66">
      <c r="A345" s="11"/>
      <c r="B345" s="11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11"/>
      <c r="AT345" s="11"/>
      <c r="AU345" s="11"/>
      <c r="AV345" s="11"/>
      <c r="AW345" s="11"/>
      <c r="AX345" s="11"/>
      <c r="AY345" s="11"/>
      <c r="AZ345" s="11"/>
      <c r="BA345" s="11"/>
      <c r="BB345" s="11"/>
      <c r="BC345" s="11"/>
      <c r="BD345" s="11"/>
      <c r="BE345" s="11"/>
      <c r="BF345" s="11"/>
      <c r="BG345" s="11"/>
      <c r="BH345" s="11"/>
      <c r="BI345" s="11"/>
      <c r="BJ345" s="11"/>
      <c r="BK345" s="11"/>
      <c r="BL345" s="11"/>
      <c r="BM345" s="11"/>
      <c r="BN345" s="11"/>
    </row>
    <row r="346" spans="1:66">
      <c r="A346" s="11"/>
      <c r="B346" s="11"/>
      <c r="C346" s="11"/>
      <c r="D346" s="11"/>
      <c r="E346" s="11"/>
      <c r="F346" s="11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11"/>
      <c r="AT346" s="11"/>
      <c r="AU346" s="11"/>
      <c r="AV346" s="11"/>
      <c r="AW346" s="11"/>
      <c r="AX346" s="11"/>
      <c r="AY346" s="11"/>
      <c r="AZ346" s="11"/>
      <c r="BA346" s="11"/>
      <c r="BB346" s="11"/>
      <c r="BC346" s="11"/>
      <c r="BD346" s="11"/>
      <c r="BE346" s="11"/>
      <c r="BF346" s="11"/>
      <c r="BG346" s="11"/>
      <c r="BH346" s="11"/>
      <c r="BI346" s="11"/>
      <c r="BJ346" s="11"/>
      <c r="BK346" s="11"/>
      <c r="BL346" s="11"/>
      <c r="BM346" s="11"/>
      <c r="BN346" s="11"/>
    </row>
    <row r="347" spans="1:66">
      <c r="A347" s="11"/>
      <c r="B347" s="11"/>
      <c r="C347" s="11"/>
      <c r="D347" s="11"/>
      <c r="E347" s="11"/>
      <c r="F347" s="11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11"/>
      <c r="AT347" s="11"/>
      <c r="AU347" s="11"/>
      <c r="AV347" s="11"/>
      <c r="AW347" s="11"/>
      <c r="AX347" s="11"/>
      <c r="AY347" s="11"/>
      <c r="AZ347" s="11"/>
      <c r="BA347" s="11"/>
      <c r="BB347" s="11"/>
      <c r="BC347" s="11"/>
      <c r="BD347" s="11"/>
      <c r="BE347" s="11"/>
      <c r="BF347" s="11"/>
      <c r="BG347" s="11"/>
      <c r="BH347" s="11"/>
      <c r="BI347" s="11"/>
      <c r="BJ347" s="11"/>
      <c r="BK347" s="11"/>
      <c r="BL347" s="11"/>
      <c r="BM347" s="11"/>
      <c r="BN347" s="11"/>
    </row>
    <row r="348" spans="1:66">
      <c r="A348" s="11"/>
      <c r="B348" s="11"/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  <c r="AR348" s="11"/>
      <c r="AS348" s="11"/>
      <c r="AT348" s="11"/>
      <c r="AU348" s="11"/>
      <c r="AV348" s="11"/>
      <c r="AW348" s="11"/>
      <c r="AX348" s="11"/>
      <c r="AY348" s="11"/>
      <c r="AZ348" s="11"/>
      <c r="BA348" s="11"/>
      <c r="BB348" s="11"/>
      <c r="BC348" s="11"/>
      <c r="BD348" s="11"/>
      <c r="BE348" s="11"/>
      <c r="BF348" s="11"/>
      <c r="BG348" s="11"/>
      <c r="BH348" s="11"/>
      <c r="BI348" s="11"/>
      <c r="BJ348" s="11"/>
      <c r="BK348" s="11"/>
      <c r="BL348" s="11"/>
      <c r="BM348" s="11"/>
      <c r="BN348" s="11"/>
    </row>
    <row r="349" spans="1:66">
      <c r="A349" s="11"/>
      <c r="B349" s="11"/>
      <c r="C349" s="11"/>
      <c r="D349" s="11"/>
      <c r="E349" s="11"/>
      <c r="F349" s="11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11"/>
      <c r="AT349" s="11"/>
      <c r="AU349" s="11"/>
      <c r="AV349" s="11"/>
      <c r="AW349" s="11"/>
      <c r="AX349" s="11"/>
      <c r="AY349" s="11"/>
      <c r="AZ349" s="11"/>
      <c r="BA349" s="11"/>
      <c r="BB349" s="11"/>
      <c r="BC349" s="11"/>
      <c r="BD349" s="11"/>
      <c r="BE349" s="11"/>
      <c r="BF349" s="11"/>
      <c r="BG349" s="11"/>
      <c r="BH349" s="11"/>
      <c r="BI349" s="11"/>
      <c r="BJ349" s="11"/>
      <c r="BK349" s="11"/>
      <c r="BL349" s="11"/>
      <c r="BM349" s="11"/>
      <c r="BN349" s="11"/>
    </row>
    <row r="350" spans="1:66">
      <c r="A350" s="11"/>
      <c r="B350" s="11"/>
      <c r="C350" s="11"/>
      <c r="D350" s="11"/>
      <c r="E350" s="11"/>
      <c r="F350" s="11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11"/>
      <c r="AT350" s="11"/>
      <c r="AU350" s="11"/>
      <c r="AV350" s="11"/>
      <c r="AW350" s="11"/>
      <c r="AX350" s="11"/>
      <c r="AY350" s="11"/>
      <c r="AZ350" s="11"/>
      <c r="BA350" s="11"/>
      <c r="BB350" s="11"/>
      <c r="BC350" s="11"/>
      <c r="BD350" s="11"/>
      <c r="BE350" s="11"/>
      <c r="BF350" s="11"/>
      <c r="BG350" s="11"/>
      <c r="BH350" s="11"/>
      <c r="BI350" s="11"/>
      <c r="BJ350" s="11"/>
      <c r="BK350" s="11"/>
      <c r="BL350" s="11"/>
      <c r="BM350" s="11"/>
      <c r="BN350" s="11"/>
    </row>
    <row r="351" spans="1:66">
      <c r="A351" s="11"/>
      <c r="B351" s="11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  <c r="AR351" s="11"/>
      <c r="AS351" s="11"/>
      <c r="AT351" s="11"/>
      <c r="AU351" s="11"/>
      <c r="AV351" s="11"/>
      <c r="AW351" s="11"/>
      <c r="AX351" s="11"/>
      <c r="AY351" s="11"/>
      <c r="AZ351" s="11"/>
      <c r="BA351" s="11"/>
      <c r="BB351" s="11"/>
      <c r="BC351" s="11"/>
      <c r="BD351" s="11"/>
      <c r="BE351" s="11"/>
      <c r="BF351" s="11"/>
      <c r="BG351" s="11"/>
      <c r="BH351" s="11"/>
      <c r="BI351" s="11"/>
      <c r="BJ351" s="11"/>
      <c r="BK351" s="11"/>
      <c r="BL351" s="11"/>
      <c r="BM351" s="11"/>
      <c r="BN351" s="11"/>
    </row>
    <row r="352" spans="1:66">
      <c r="A352" s="11"/>
      <c r="B352" s="11"/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11"/>
      <c r="AT352" s="11"/>
      <c r="AU352" s="11"/>
      <c r="AV352" s="11"/>
      <c r="AW352" s="11"/>
      <c r="AX352" s="11"/>
      <c r="AY352" s="11"/>
      <c r="AZ352" s="11"/>
      <c r="BA352" s="11"/>
      <c r="BB352" s="11"/>
      <c r="BC352" s="11"/>
      <c r="BD352" s="11"/>
      <c r="BE352" s="11"/>
      <c r="BF352" s="11"/>
      <c r="BG352" s="11"/>
      <c r="BH352" s="11"/>
      <c r="BI352" s="11"/>
      <c r="BJ352" s="11"/>
      <c r="BK352" s="11"/>
      <c r="BL352" s="11"/>
      <c r="BM352" s="11"/>
      <c r="BN352" s="11"/>
    </row>
    <row r="353" spans="1:66">
      <c r="A353" s="11"/>
      <c r="B353" s="11"/>
      <c r="C353" s="11"/>
      <c r="D353" s="11"/>
      <c r="E353" s="11"/>
      <c r="F353" s="11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  <c r="BC353" s="11"/>
      <c r="BD353" s="11"/>
      <c r="BE353" s="11"/>
      <c r="BF353" s="11"/>
      <c r="BG353" s="11"/>
      <c r="BH353" s="11"/>
      <c r="BI353" s="11"/>
      <c r="BJ353" s="11"/>
      <c r="BK353" s="11"/>
      <c r="BL353" s="11"/>
      <c r="BM353" s="11"/>
      <c r="BN353" s="11"/>
    </row>
    <row r="354" spans="1:66">
      <c r="A354" s="11"/>
      <c r="B354" s="11"/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  <c r="BC354" s="11"/>
      <c r="BD354" s="11"/>
      <c r="BE354" s="11"/>
      <c r="BF354" s="11"/>
      <c r="BG354" s="11"/>
      <c r="BH354" s="11"/>
      <c r="BI354" s="11"/>
      <c r="BJ354" s="11"/>
      <c r="BK354" s="11"/>
      <c r="BL354" s="11"/>
      <c r="BM354" s="11"/>
      <c r="BN354" s="11"/>
    </row>
    <row r="355" spans="1:66">
      <c r="A355" s="11"/>
      <c r="B355" s="11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11"/>
      <c r="AT355" s="11"/>
      <c r="AU355" s="11"/>
      <c r="AV355" s="11"/>
      <c r="AW355" s="11"/>
      <c r="AX355" s="11"/>
      <c r="AY355" s="11"/>
      <c r="AZ355" s="11"/>
      <c r="BA355" s="11"/>
      <c r="BB355" s="11"/>
      <c r="BC355" s="11"/>
      <c r="BD355" s="11"/>
      <c r="BE355" s="11"/>
      <c r="BF355" s="11"/>
      <c r="BG355" s="11"/>
      <c r="BH355" s="11"/>
      <c r="BI355" s="11"/>
      <c r="BJ355" s="11"/>
      <c r="BK355" s="11"/>
      <c r="BL355" s="11"/>
      <c r="BM355" s="11"/>
      <c r="BN355" s="11"/>
    </row>
    <row r="356" spans="1:66">
      <c r="A356" s="11"/>
      <c r="B356" s="11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  <c r="AP356" s="11"/>
      <c r="AQ356" s="11"/>
      <c r="AR356" s="11"/>
      <c r="AS356" s="11"/>
      <c r="AT356" s="11"/>
      <c r="AU356" s="11"/>
      <c r="AV356" s="11"/>
      <c r="AW356" s="11"/>
      <c r="AX356" s="11"/>
      <c r="AY356" s="11"/>
      <c r="AZ356" s="11"/>
      <c r="BA356" s="11"/>
      <c r="BB356" s="11"/>
      <c r="BC356" s="11"/>
      <c r="BD356" s="11"/>
      <c r="BE356" s="11"/>
      <c r="BF356" s="11"/>
      <c r="BG356" s="11"/>
      <c r="BH356" s="11"/>
      <c r="BI356" s="11"/>
      <c r="BJ356" s="11"/>
      <c r="BK356" s="11"/>
      <c r="BL356" s="11"/>
      <c r="BM356" s="11"/>
      <c r="BN356" s="11"/>
    </row>
    <row r="357" spans="1:66">
      <c r="A357" s="11"/>
      <c r="B357" s="11"/>
      <c r="C357" s="11"/>
      <c r="D357" s="11"/>
      <c r="E357" s="11"/>
      <c r="F357" s="11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11"/>
      <c r="AT357" s="11"/>
      <c r="AU357" s="11"/>
      <c r="AV357" s="11"/>
      <c r="AW357" s="11"/>
      <c r="AX357" s="11"/>
      <c r="AY357" s="11"/>
      <c r="AZ357" s="11"/>
      <c r="BA357" s="11"/>
      <c r="BB357" s="11"/>
      <c r="BC357" s="11"/>
      <c r="BD357" s="11"/>
      <c r="BE357" s="11"/>
      <c r="BF357" s="11"/>
      <c r="BG357" s="11"/>
      <c r="BH357" s="11"/>
      <c r="BI357" s="11"/>
      <c r="BJ357" s="11"/>
      <c r="BK357" s="11"/>
      <c r="BL357" s="11"/>
      <c r="BM357" s="11"/>
      <c r="BN357" s="11"/>
    </row>
    <row r="358" spans="1:66">
      <c r="A358" s="11"/>
      <c r="B358" s="11"/>
      <c r="C358" s="11"/>
      <c r="D358" s="11"/>
      <c r="E358" s="11"/>
      <c r="F358" s="11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11"/>
      <c r="AT358" s="11"/>
      <c r="AU358" s="11"/>
      <c r="AV358" s="11"/>
      <c r="AW358" s="11"/>
      <c r="AX358" s="11"/>
      <c r="AY358" s="11"/>
      <c r="AZ358" s="11"/>
      <c r="BA358" s="11"/>
      <c r="BB358" s="11"/>
      <c r="BC358" s="11"/>
      <c r="BD358" s="11"/>
      <c r="BE358" s="11"/>
      <c r="BF358" s="11"/>
      <c r="BG358" s="11"/>
      <c r="BH358" s="11"/>
      <c r="BI358" s="11"/>
      <c r="BJ358" s="11"/>
      <c r="BK358" s="11"/>
      <c r="BL358" s="11"/>
      <c r="BM358" s="11"/>
      <c r="BN358" s="11"/>
    </row>
    <row r="359" spans="1:66">
      <c r="A359" s="11"/>
      <c r="B359" s="11"/>
      <c r="C359" s="11"/>
      <c r="D359" s="11"/>
      <c r="E359" s="11"/>
      <c r="F359" s="11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11"/>
      <c r="AT359" s="11"/>
      <c r="AU359" s="11"/>
      <c r="AV359" s="11"/>
      <c r="AW359" s="11"/>
      <c r="AX359" s="11"/>
      <c r="AY359" s="11"/>
      <c r="AZ359" s="11"/>
      <c r="BA359" s="11"/>
      <c r="BB359" s="11"/>
      <c r="BC359" s="11"/>
      <c r="BD359" s="11"/>
      <c r="BE359" s="11"/>
      <c r="BF359" s="11"/>
      <c r="BG359" s="11"/>
      <c r="BH359" s="11"/>
      <c r="BI359" s="11"/>
      <c r="BJ359" s="11"/>
      <c r="BK359" s="11"/>
      <c r="BL359" s="11"/>
      <c r="BM359" s="11"/>
      <c r="BN359" s="11"/>
    </row>
    <row r="360" spans="1:66">
      <c r="A360" s="11"/>
      <c r="B360" s="11"/>
      <c r="C360" s="11"/>
      <c r="D360" s="11"/>
      <c r="E360" s="11"/>
      <c r="F360" s="11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11"/>
      <c r="AT360" s="11"/>
      <c r="AU360" s="11"/>
      <c r="AV360" s="11"/>
      <c r="AW360" s="11"/>
      <c r="AX360" s="11"/>
      <c r="AY360" s="11"/>
      <c r="AZ360" s="11"/>
      <c r="BA360" s="11"/>
      <c r="BB360" s="11"/>
      <c r="BC360" s="11"/>
      <c r="BD360" s="11"/>
      <c r="BE360" s="11"/>
      <c r="BF360" s="11"/>
      <c r="BG360" s="11"/>
      <c r="BH360" s="11"/>
      <c r="BI360" s="11"/>
      <c r="BJ360" s="11"/>
      <c r="BK360" s="11"/>
      <c r="BL360" s="11"/>
      <c r="BM360" s="11"/>
      <c r="BN360" s="11"/>
    </row>
    <row r="361" spans="1:66">
      <c r="A361" s="11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11"/>
      <c r="AT361" s="11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11"/>
      <c r="BK361" s="11"/>
      <c r="BL361" s="11"/>
      <c r="BM361" s="11"/>
      <c r="BN361" s="11"/>
    </row>
    <row r="362" spans="1:66">
      <c r="A362" s="11"/>
      <c r="B362" s="11"/>
      <c r="C362" s="11"/>
      <c r="D362" s="11"/>
      <c r="E362" s="11"/>
      <c r="F362" s="11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  <c r="AP362" s="11"/>
      <c r="AQ362" s="11"/>
      <c r="AR362" s="11"/>
      <c r="AS362" s="11"/>
      <c r="AT362" s="11"/>
      <c r="AU362" s="11"/>
      <c r="AV362" s="11"/>
      <c r="AW362" s="11"/>
      <c r="AX362" s="11"/>
      <c r="AY362" s="11"/>
      <c r="AZ362" s="11"/>
      <c r="BA362" s="11"/>
      <c r="BB362" s="11"/>
      <c r="BC362" s="11"/>
      <c r="BD362" s="11"/>
      <c r="BE362" s="11"/>
      <c r="BF362" s="11"/>
      <c r="BG362" s="11"/>
      <c r="BH362" s="11"/>
      <c r="BI362" s="11"/>
      <c r="BJ362" s="11"/>
      <c r="BK362" s="11"/>
      <c r="BL362" s="11"/>
      <c r="BM362" s="11"/>
      <c r="BN362" s="11"/>
    </row>
    <row r="363" spans="1:66">
      <c r="A363" s="11"/>
      <c r="B363" s="11"/>
      <c r="C363" s="11"/>
      <c r="D363" s="11"/>
      <c r="E363" s="11"/>
      <c r="F363" s="11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11"/>
      <c r="AR363" s="11"/>
      <c r="AS363" s="11"/>
      <c r="AT363" s="11"/>
      <c r="AU363" s="11"/>
      <c r="AV363" s="11"/>
      <c r="AW363" s="11"/>
      <c r="AX363" s="11"/>
      <c r="AY363" s="11"/>
      <c r="AZ363" s="11"/>
      <c r="BA363" s="11"/>
      <c r="BB363" s="11"/>
      <c r="BC363" s="11"/>
      <c r="BD363" s="11"/>
      <c r="BE363" s="11"/>
      <c r="BF363" s="11"/>
      <c r="BG363" s="11"/>
      <c r="BH363" s="11"/>
      <c r="BI363" s="11"/>
      <c r="BJ363" s="11"/>
      <c r="BK363" s="11"/>
      <c r="BL363" s="11"/>
      <c r="BM363" s="11"/>
      <c r="BN363" s="11"/>
    </row>
    <row r="364" spans="1:66">
      <c r="A364" s="11"/>
      <c r="B364" s="11"/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11"/>
      <c r="AT364" s="11"/>
      <c r="AU364" s="11"/>
      <c r="AV364" s="11"/>
      <c r="AW364" s="11"/>
      <c r="AX364" s="11"/>
      <c r="AY364" s="11"/>
      <c r="AZ364" s="11"/>
      <c r="BA364" s="11"/>
      <c r="BB364" s="11"/>
      <c r="BC364" s="11"/>
      <c r="BD364" s="11"/>
      <c r="BE364" s="11"/>
      <c r="BF364" s="11"/>
      <c r="BG364" s="11"/>
      <c r="BH364" s="11"/>
      <c r="BI364" s="11"/>
      <c r="BJ364" s="11"/>
      <c r="BK364" s="11"/>
      <c r="BL364" s="11"/>
      <c r="BM364" s="11"/>
      <c r="BN364" s="11"/>
    </row>
    <row r="365" spans="1:66">
      <c r="A365" s="11"/>
      <c r="B365" s="11"/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  <c r="AP365" s="11"/>
      <c r="AQ365" s="11"/>
      <c r="AR365" s="11"/>
      <c r="AS365" s="11"/>
      <c r="AT365" s="11"/>
      <c r="AU365" s="11"/>
      <c r="AV365" s="11"/>
      <c r="AW365" s="11"/>
      <c r="AX365" s="11"/>
      <c r="AY365" s="11"/>
      <c r="AZ365" s="11"/>
      <c r="BA365" s="11"/>
      <c r="BB365" s="11"/>
      <c r="BC365" s="11"/>
      <c r="BD365" s="11"/>
      <c r="BE365" s="11"/>
      <c r="BF365" s="11"/>
      <c r="BG365" s="11"/>
      <c r="BH365" s="11"/>
      <c r="BI365" s="11"/>
      <c r="BJ365" s="11"/>
      <c r="BK365" s="11"/>
      <c r="BL365" s="11"/>
      <c r="BM365" s="11"/>
      <c r="BN365" s="11"/>
    </row>
    <row r="366" spans="1:66">
      <c r="A366" s="11"/>
      <c r="B366" s="11"/>
      <c r="C366" s="11"/>
      <c r="D366" s="11"/>
      <c r="E366" s="11"/>
      <c r="F366" s="11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  <c r="AA366" s="11"/>
      <c r="AB366" s="11"/>
      <c r="AC366" s="11"/>
      <c r="AD366" s="11"/>
      <c r="AE366" s="11"/>
      <c r="AF366" s="11"/>
      <c r="AG366" s="11"/>
      <c r="AH366" s="11"/>
      <c r="AI366" s="11"/>
      <c r="AJ366" s="11"/>
      <c r="AK366" s="11"/>
      <c r="AL366" s="11"/>
      <c r="AM366" s="11"/>
      <c r="AN366" s="11"/>
      <c r="AO366" s="11"/>
      <c r="AP366" s="11"/>
      <c r="AQ366" s="11"/>
      <c r="AR366" s="11"/>
      <c r="AS366" s="11"/>
      <c r="AT366" s="11"/>
      <c r="AU366" s="11"/>
      <c r="AV366" s="11"/>
      <c r="AW366" s="11"/>
      <c r="AX366" s="11"/>
      <c r="AY366" s="11"/>
      <c r="AZ366" s="11"/>
      <c r="BA366" s="11"/>
      <c r="BB366" s="11"/>
      <c r="BC366" s="11"/>
      <c r="BD366" s="11"/>
      <c r="BE366" s="11"/>
      <c r="BF366" s="11"/>
      <c r="BG366" s="11"/>
      <c r="BH366" s="11"/>
      <c r="BI366" s="11"/>
      <c r="BJ366" s="11"/>
      <c r="BK366" s="11"/>
      <c r="BL366" s="11"/>
      <c r="BM366" s="11"/>
      <c r="BN366" s="11"/>
    </row>
    <row r="367" spans="1:66">
      <c r="A367" s="11"/>
      <c r="B367" s="11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  <c r="AA367" s="11"/>
      <c r="AB367" s="11"/>
      <c r="AC367" s="11"/>
      <c r="AD367" s="11"/>
      <c r="AE367" s="11"/>
      <c r="AF367" s="11"/>
      <c r="AG367" s="11"/>
      <c r="AH367" s="11"/>
      <c r="AI367" s="11"/>
      <c r="AJ367" s="11"/>
      <c r="AK367" s="11"/>
      <c r="AL367" s="11"/>
      <c r="AM367" s="11"/>
      <c r="AN367" s="11"/>
      <c r="AO367" s="11"/>
      <c r="AP367" s="11"/>
      <c r="AQ367" s="11"/>
      <c r="AR367" s="11"/>
      <c r="AS367" s="11"/>
      <c r="AT367" s="11"/>
      <c r="AU367" s="11"/>
      <c r="AV367" s="11"/>
      <c r="AW367" s="11"/>
      <c r="AX367" s="11"/>
      <c r="AY367" s="11"/>
      <c r="AZ367" s="11"/>
      <c r="BA367" s="11"/>
      <c r="BB367" s="11"/>
      <c r="BC367" s="11"/>
      <c r="BD367" s="11"/>
      <c r="BE367" s="11"/>
      <c r="BF367" s="11"/>
      <c r="BG367" s="11"/>
      <c r="BH367" s="11"/>
      <c r="BI367" s="11"/>
      <c r="BJ367" s="11"/>
      <c r="BK367" s="11"/>
      <c r="BL367" s="11"/>
      <c r="BM367" s="11"/>
      <c r="BN367" s="11"/>
    </row>
    <row r="368" spans="1:66">
      <c r="A368" s="11"/>
      <c r="B368" s="11"/>
      <c r="C368" s="11"/>
      <c r="D368" s="11"/>
      <c r="E368" s="11"/>
      <c r="F368" s="11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  <c r="AA368" s="11"/>
      <c r="AB368" s="11"/>
      <c r="AC368" s="11"/>
      <c r="AD368" s="11"/>
      <c r="AE368" s="11"/>
      <c r="AF368" s="11"/>
      <c r="AG368" s="11"/>
      <c r="AH368" s="11"/>
      <c r="AI368" s="11"/>
      <c r="AJ368" s="11"/>
      <c r="AK368" s="11"/>
      <c r="AL368" s="11"/>
      <c r="AM368" s="11"/>
      <c r="AN368" s="11"/>
      <c r="AO368" s="11"/>
      <c r="AP368" s="11"/>
      <c r="AQ368" s="11"/>
      <c r="AR368" s="11"/>
      <c r="AS368" s="11"/>
      <c r="AT368" s="11"/>
      <c r="AU368" s="11"/>
      <c r="AV368" s="11"/>
      <c r="AW368" s="11"/>
      <c r="AX368" s="11"/>
      <c r="AY368" s="11"/>
      <c r="AZ368" s="11"/>
      <c r="BA368" s="11"/>
      <c r="BB368" s="11"/>
      <c r="BC368" s="11"/>
      <c r="BD368" s="11"/>
      <c r="BE368" s="11"/>
      <c r="BF368" s="11"/>
      <c r="BG368" s="11"/>
      <c r="BH368" s="11"/>
      <c r="BI368" s="11"/>
      <c r="BJ368" s="11"/>
      <c r="BK368" s="11"/>
      <c r="BL368" s="11"/>
      <c r="BM368" s="11"/>
      <c r="BN368" s="11"/>
    </row>
    <row r="369" spans="1:66">
      <c r="A369" s="11"/>
      <c r="B369" s="11"/>
      <c r="C369" s="11"/>
      <c r="D369" s="11"/>
      <c r="E369" s="11"/>
      <c r="F369" s="11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1"/>
      <c r="AB369" s="11"/>
      <c r="AC369" s="11"/>
      <c r="AD369" s="11"/>
      <c r="AE369" s="11"/>
      <c r="AF369" s="11"/>
      <c r="AG369" s="11"/>
      <c r="AH369" s="11"/>
      <c r="AI369" s="11"/>
      <c r="AJ369" s="11"/>
      <c r="AK369" s="11"/>
      <c r="AL369" s="11"/>
      <c r="AM369" s="11"/>
      <c r="AN369" s="11"/>
      <c r="AO369" s="11"/>
      <c r="AP369" s="11"/>
      <c r="AQ369" s="11"/>
      <c r="AR369" s="11"/>
      <c r="AS369" s="11"/>
      <c r="AT369" s="11"/>
      <c r="AU369" s="11"/>
      <c r="AV369" s="11"/>
      <c r="AW369" s="11"/>
      <c r="AX369" s="11"/>
      <c r="AY369" s="11"/>
      <c r="AZ369" s="11"/>
      <c r="BA369" s="11"/>
      <c r="BB369" s="11"/>
      <c r="BC369" s="11"/>
      <c r="BD369" s="11"/>
      <c r="BE369" s="11"/>
      <c r="BF369" s="11"/>
      <c r="BG369" s="11"/>
      <c r="BH369" s="11"/>
      <c r="BI369" s="11"/>
      <c r="BJ369" s="11"/>
      <c r="BK369" s="11"/>
      <c r="BL369" s="11"/>
      <c r="BM369" s="11"/>
      <c r="BN369" s="11"/>
    </row>
    <row r="370" spans="1:66">
      <c r="A370" s="11"/>
      <c r="B370" s="11"/>
      <c r="C370" s="11"/>
      <c r="D370" s="11"/>
      <c r="E370" s="11"/>
      <c r="F370" s="11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  <c r="AA370" s="11"/>
      <c r="AB370" s="11"/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  <c r="AN370" s="11"/>
      <c r="AO370" s="11"/>
      <c r="AP370" s="11"/>
      <c r="AQ370" s="11"/>
      <c r="AR370" s="11"/>
      <c r="AS370" s="11"/>
      <c r="AT370" s="11"/>
      <c r="AU370" s="11"/>
      <c r="AV370" s="11"/>
      <c r="AW370" s="11"/>
      <c r="AX370" s="11"/>
      <c r="AY370" s="11"/>
      <c r="AZ370" s="11"/>
      <c r="BA370" s="11"/>
      <c r="BB370" s="11"/>
      <c r="BC370" s="11"/>
      <c r="BD370" s="11"/>
      <c r="BE370" s="11"/>
      <c r="BF370" s="11"/>
      <c r="BG370" s="11"/>
      <c r="BH370" s="11"/>
      <c r="BI370" s="11"/>
      <c r="BJ370" s="11"/>
      <c r="BK370" s="11"/>
      <c r="BL370" s="11"/>
      <c r="BM370" s="11"/>
      <c r="BN370" s="11"/>
    </row>
    <row r="371" spans="1:66">
      <c r="A371" s="11"/>
      <c r="B371" s="11"/>
      <c r="C371" s="11"/>
      <c r="D371" s="11"/>
      <c r="E371" s="11"/>
      <c r="F371" s="11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  <c r="AA371" s="11"/>
      <c r="AB371" s="11"/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  <c r="AN371" s="11"/>
      <c r="AO371" s="11"/>
      <c r="AP371" s="11"/>
      <c r="AQ371" s="11"/>
      <c r="AR371" s="11"/>
      <c r="AS371" s="11"/>
      <c r="AT371" s="11"/>
      <c r="AU371" s="11"/>
      <c r="AV371" s="11"/>
      <c r="AW371" s="11"/>
      <c r="AX371" s="11"/>
      <c r="AY371" s="11"/>
      <c r="AZ371" s="11"/>
      <c r="BA371" s="11"/>
      <c r="BB371" s="11"/>
      <c r="BC371" s="11"/>
      <c r="BD371" s="11"/>
      <c r="BE371" s="11"/>
      <c r="BF371" s="11"/>
      <c r="BG371" s="11"/>
      <c r="BH371" s="11"/>
      <c r="BI371" s="11"/>
      <c r="BJ371" s="11"/>
      <c r="BK371" s="11"/>
      <c r="BL371" s="11"/>
      <c r="BM371" s="11"/>
      <c r="BN371" s="11"/>
    </row>
    <row r="372" spans="1:66">
      <c r="A372" s="11"/>
      <c r="B372" s="11"/>
      <c r="C372" s="11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  <c r="AA372" s="11"/>
      <c r="AB372" s="11"/>
      <c r="AC372" s="11"/>
      <c r="AD372" s="11"/>
      <c r="AE372" s="11"/>
      <c r="AF372" s="11"/>
      <c r="AG372" s="11"/>
      <c r="AH372" s="11"/>
      <c r="AI372" s="11"/>
      <c r="AJ372" s="11"/>
      <c r="AK372" s="11"/>
      <c r="AL372" s="11"/>
      <c r="AM372" s="11"/>
      <c r="AN372" s="11"/>
      <c r="AO372" s="11"/>
      <c r="AP372" s="11"/>
      <c r="AQ372" s="11"/>
      <c r="AR372" s="11"/>
      <c r="AS372" s="11"/>
      <c r="AT372" s="11"/>
      <c r="AU372" s="11"/>
      <c r="AV372" s="11"/>
      <c r="AW372" s="11"/>
      <c r="AX372" s="11"/>
      <c r="AY372" s="11"/>
      <c r="AZ372" s="11"/>
      <c r="BA372" s="11"/>
      <c r="BB372" s="11"/>
      <c r="BC372" s="11"/>
      <c r="BD372" s="11"/>
      <c r="BE372" s="11"/>
      <c r="BF372" s="11"/>
      <c r="BG372" s="11"/>
      <c r="BH372" s="11"/>
      <c r="BI372" s="11"/>
      <c r="BJ372" s="11"/>
      <c r="BK372" s="11"/>
      <c r="BL372" s="11"/>
      <c r="BM372" s="11"/>
      <c r="BN372" s="11"/>
    </row>
    <row r="373" spans="1:66">
      <c r="A373" s="11"/>
      <c r="B373" s="11"/>
      <c r="C373" s="11"/>
      <c r="D373" s="11"/>
      <c r="E373" s="11"/>
      <c r="F373" s="11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  <c r="AA373" s="11"/>
      <c r="AB373" s="11"/>
      <c r="AC373" s="11"/>
      <c r="AD373" s="11"/>
      <c r="AE373" s="11"/>
      <c r="AF373" s="11"/>
      <c r="AG373" s="11"/>
      <c r="AH373" s="11"/>
      <c r="AI373" s="11"/>
      <c r="AJ373" s="11"/>
      <c r="AK373" s="11"/>
      <c r="AL373" s="11"/>
      <c r="AM373" s="11"/>
      <c r="AN373" s="11"/>
      <c r="AO373" s="11"/>
      <c r="AP373" s="11"/>
      <c r="AQ373" s="11"/>
      <c r="AR373" s="11"/>
      <c r="AS373" s="11"/>
      <c r="AT373" s="11"/>
      <c r="AU373" s="11"/>
      <c r="AV373" s="11"/>
      <c r="AW373" s="11"/>
      <c r="AX373" s="11"/>
      <c r="AY373" s="11"/>
      <c r="AZ373" s="11"/>
      <c r="BA373" s="11"/>
      <c r="BB373" s="11"/>
      <c r="BC373" s="11"/>
      <c r="BD373" s="11"/>
      <c r="BE373" s="11"/>
      <c r="BF373" s="11"/>
      <c r="BG373" s="11"/>
      <c r="BH373" s="11"/>
      <c r="BI373" s="11"/>
      <c r="BJ373" s="11"/>
      <c r="BK373" s="11"/>
      <c r="BL373" s="11"/>
      <c r="BM373" s="11"/>
      <c r="BN373" s="11"/>
    </row>
    <row r="374" spans="1:66">
      <c r="A374" s="11"/>
      <c r="B374" s="11"/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  <c r="AA374" s="11"/>
      <c r="AB374" s="11"/>
      <c r="AC374" s="11"/>
      <c r="AD374" s="11"/>
      <c r="AE374" s="11"/>
      <c r="AF374" s="11"/>
      <c r="AG374" s="11"/>
      <c r="AH374" s="11"/>
      <c r="AI374" s="11"/>
      <c r="AJ374" s="11"/>
      <c r="AK374" s="11"/>
      <c r="AL374" s="11"/>
      <c r="AM374" s="11"/>
      <c r="AN374" s="11"/>
      <c r="AO374" s="11"/>
      <c r="AP374" s="11"/>
      <c r="AQ374" s="11"/>
      <c r="AR374" s="11"/>
      <c r="AS374" s="11"/>
      <c r="AT374" s="11"/>
      <c r="AU374" s="11"/>
      <c r="AV374" s="11"/>
      <c r="AW374" s="11"/>
      <c r="AX374" s="11"/>
      <c r="AY374" s="11"/>
      <c r="AZ374" s="11"/>
      <c r="BA374" s="11"/>
      <c r="BB374" s="11"/>
      <c r="BC374" s="11"/>
      <c r="BD374" s="11"/>
      <c r="BE374" s="11"/>
      <c r="BF374" s="11"/>
      <c r="BG374" s="11"/>
      <c r="BH374" s="11"/>
      <c r="BI374" s="11"/>
      <c r="BJ374" s="11"/>
      <c r="BK374" s="11"/>
      <c r="BL374" s="11"/>
      <c r="BM374" s="11"/>
      <c r="BN374" s="11"/>
    </row>
    <row r="375" spans="1:66">
      <c r="A375" s="11"/>
      <c r="B375" s="11"/>
      <c r="C375" s="11"/>
      <c r="D375" s="11"/>
      <c r="E375" s="11"/>
      <c r="F375" s="11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  <c r="AA375" s="11"/>
      <c r="AB375" s="11"/>
      <c r="AC375" s="11"/>
      <c r="AD375" s="11"/>
      <c r="AE375" s="11"/>
      <c r="AF375" s="11"/>
      <c r="AG375" s="11"/>
      <c r="AH375" s="11"/>
      <c r="AI375" s="11"/>
      <c r="AJ375" s="11"/>
      <c r="AK375" s="11"/>
      <c r="AL375" s="11"/>
      <c r="AM375" s="11"/>
      <c r="AN375" s="11"/>
      <c r="AO375" s="11"/>
      <c r="AP375" s="11"/>
      <c r="AQ375" s="11"/>
      <c r="AR375" s="11"/>
      <c r="AS375" s="11"/>
      <c r="AT375" s="11"/>
      <c r="AU375" s="11"/>
      <c r="AV375" s="11"/>
      <c r="AW375" s="11"/>
      <c r="AX375" s="11"/>
      <c r="AY375" s="11"/>
      <c r="AZ375" s="11"/>
      <c r="BA375" s="11"/>
      <c r="BB375" s="11"/>
      <c r="BC375" s="11"/>
      <c r="BD375" s="11"/>
      <c r="BE375" s="11"/>
      <c r="BF375" s="11"/>
      <c r="BG375" s="11"/>
      <c r="BH375" s="11"/>
      <c r="BI375" s="11"/>
      <c r="BJ375" s="11"/>
      <c r="BK375" s="11"/>
      <c r="BL375" s="11"/>
      <c r="BM375" s="11"/>
      <c r="BN375" s="11"/>
    </row>
    <row r="376" spans="1:66">
      <c r="A376" s="11"/>
      <c r="B376" s="11"/>
      <c r="C376" s="11"/>
      <c r="D376" s="11"/>
      <c r="E376" s="11"/>
      <c r="F376" s="11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  <c r="AA376" s="11"/>
      <c r="AB376" s="11"/>
      <c r="AC376" s="11"/>
      <c r="AD376" s="11"/>
      <c r="AE376" s="11"/>
      <c r="AF376" s="11"/>
      <c r="AG376" s="11"/>
      <c r="AH376" s="11"/>
      <c r="AI376" s="11"/>
      <c r="AJ376" s="11"/>
      <c r="AK376" s="11"/>
      <c r="AL376" s="11"/>
      <c r="AM376" s="11"/>
      <c r="AN376" s="11"/>
      <c r="AO376" s="11"/>
      <c r="AP376" s="11"/>
      <c r="AQ376" s="11"/>
      <c r="AR376" s="11"/>
      <c r="AS376" s="11"/>
      <c r="AT376" s="11"/>
      <c r="AU376" s="11"/>
      <c r="AV376" s="11"/>
      <c r="AW376" s="11"/>
      <c r="AX376" s="11"/>
      <c r="AY376" s="11"/>
      <c r="AZ376" s="11"/>
      <c r="BA376" s="11"/>
      <c r="BB376" s="11"/>
      <c r="BC376" s="11"/>
      <c r="BD376" s="11"/>
      <c r="BE376" s="11"/>
      <c r="BF376" s="11"/>
      <c r="BG376" s="11"/>
      <c r="BH376" s="11"/>
      <c r="BI376" s="11"/>
      <c r="BJ376" s="11"/>
      <c r="BK376" s="11"/>
      <c r="BL376" s="11"/>
      <c r="BM376" s="11"/>
      <c r="BN376" s="11"/>
    </row>
    <row r="377" spans="1:66">
      <c r="A377" s="11"/>
      <c r="B377" s="11"/>
      <c r="C377" s="11"/>
      <c r="D377" s="11"/>
      <c r="E377" s="11"/>
      <c r="F377" s="11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  <c r="AA377" s="11"/>
      <c r="AB377" s="11"/>
      <c r="AC377" s="11"/>
      <c r="AD377" s="11"/>
      <c r="AE377" s="11"/>
      <c r="AF377" s="11"/>
      <c r="AG377" s="11"/>
      <c r="AH377" s="11"/>
      <c r="AI377" s="11"/>
      <c r="AJ377" s="11"/>
      <c r="AK377" s="11"/>
      <c r="AL377" s="11"/>
      <c r="AM377" s="11"/>
      <c r="AN377" s="11"/>
      <c r="AO377" s="11"/>
      <c r="AP377" s="11"/>
      <c r="AQ377" s="11"/>
      <c r="AR377" s="11"/>
      <c r="AS377" s="11"/>
      <c r="AT377" s="11"/>
      <c r="AU377" s="11"/>
      <c r="AV377" s="11"/>
      <c r="AW377" s="11"/>
      <c r="AX377" s="11"/>
      <c r="AY377" s="11"/>
      <c r="AZ377" s="11"/>
      <c r="BA377" s="11"/>
      <c r="BB377" s="11"/>
      <c r="BC377" s="11"/>
      <c r="BD377" s="11"/>
      <c r="BE377" s="11"/>
      <c r="BF377" s="11"/>
      <c r="BG377" s="11"/>
      <c r="BH377" s="11"/>
      <c r="BI377" s="11"/>
      <c r="BJ377" s="11"/>
      <c r="BK377" s="11"/>
      <c r="BL377" s="11"/>
      <c r="BM377" s="11"/>
      <c r="BN377" s="11"/>
    </row>
    <row r="378" spans="1:66">
      <c r="A378" s="11"/>
      <c r="B378" s="11"/>
      <c r="C378" s="11"/>
      <c r="D378" s="11"/>
      <c r="E378" s="11"/>
      <c r="F378" s="11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  <c r="AA378" s="11"/>
      <c r="AB378" s="11"/>
      <c r="AC378" s="11"/>
      <c r="AD378" s="11"/>
      <c r="AE378" s="11"/>
      <c r="AF378" s="11"/>
      <c r="AG378" s="11"/>
      <c r="AH378" s="11"/>
      <c r="AI378" s="11"/>
      <c r="AJ378" s="11"/>
      <c r="AK378" s="11"/>
      <c r="AL378" s="11"/>
      <c r="AM378" s="11"/>
      <c r="AN378" s="11"/>
      <c r="AO378" s="11"/>
      <c r="AP378" s="11"/>
      <c r="AQ378" s="11"/>
      <c r="AR378" s="11"/>
      <c r="AS378" s="11"/>
      <c r="AT378" s="11"/>
      <c r="AU378" s="11"/>
      <c r="AV378" s="11"/>
      <c r="AW378" s="11"/>
      <c r="AX378" s="11"/>
      <c r="AY378" s="11"/>
      <c r="AZ378" s="11"/>
      <c r="BA378" s="11"/>
      <c r="BB378" s="11"/>
      <c r="BC378" s="11"/>
      <c r="BD378" s="11"/>
      <c r="BE378" s="11"/>
      <c r="BF378" s="11"/>
      <c r="BG378" s="11"/>
      <c r="BH378" s="11"/>
      <c r="BI378" s="11"/>
      <c r="BJ378" s="11"/>
      <c r="BK378" s="11"/>
      <c r="BL378" s="11"/>
      <c r="BM378" s="11"/>
      <c r="BN378" s="11"/>
    </row>
    <row r="379" spans="1:66">
      <c r="A379" s="11"/>
      <c r="B379" s="11"/>
      <c r="C379" s="11"/>
      <c r="D379" s="11"/>
      <c r="E379" s="11"/>
      <c r="F379" s="11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  <c r="AA379" s="11"/>
      <c r="AB379" s="11"/>
      <c r="AC379" s="11"/>
      <c r="AD379" s="11"/>
      <c r="AE379" s="11"/>
      <c r="AF379" s="11"/>
      <c r="AG379" s="11"/>
      <c r="AH379" s="11"/>
      <c r="AI379" s="11"/>
      <c r="AJ379" s="11"/>
      <c r="AK379" s="11"/>
      <c r="AL379" s="11"/>
      <c r="AM379" s="11"/>
      <c r="AN379" s="11"/>
      <c r="AO379" s="11"/>
      <c r="AP379" s="11"/>
      <c r="AQ379" s="11"/>
      <c r="AR379" s="11"/>
      <c r="AS379" s="11"/>
      <c r="AT379" s="11"/>
      <c r="AU379" s="11"/>
      <c r="AV379" s="11"/>
      <c r="AW379" s="11"/>
      <c r="AX379" s="11"/>
      <c r="AY379" s="11"/>
      <c r="AZ379" s="11"/>
      <c r="BA379" s="11"/>
      <c r="BB379" s="11"/>
      <c r="BC379" s="11"/>
      <c r="BD379" s="11"/>
      <c r="BE379" s="11"/>
      <c r="BF379" s="11"/>
      <c r="BG379" s="11"/>
      <c r="BH379" s="11"/>
      <c r="BI379" s="11"/>
      <c r="BJ379" s="11"/>
      <c r="BK379" s="11"/>
      <c r="BL379" s="11"/>
      <c r="BM379" s="11"/>
      <c r="BN379" s="11"/>
    </row>
    <row r="380" spans="1:66">
      <c r="A380" s="11"/>
      <c r="B380" s="11"/>
      <c r="C380" s="11"/>
      <c r="D380" s="11"/>
      <c r="E380" s="11"/>
      <c r="F380" s="11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1"/>
      <c r="AB380" s="11"/>
      <c r="AC380" s="11"/>
      <c r="AD380" s="11"/>
      <c r="AE380" s="11"/>
      <c r="AF380" s="11"/>
      <c r="AG380" s="11"/>
      <c r="AH380" s="11"/>
      <c r="AI380" s="11"/>
      <c r="AJ380" s="11"/>
      <c r="AK380" s="11"/>
      <c r="AL380" s="11"/>
      <c r="AM380" s="11"/>
      <c r="AN380" s="11"/>
      <c r="AO380" s="11"/>
      <c r="AP380" s="11"/>
      <c r="AQ380" s="11"/>
      <c r="AR380" s="11"/>
      <c r="AS380" s="11"/>
      <c r="AT380" s="11"/>
      <c r="AU380" s="11"/>
      <c r="AV380" s="11"/>
      <c r="AW380" s="11"/>
      <c r="AX380" s="11"/>
      <c r="AY380" s="11"/>
      <c r="AZ380" s="11"/>
      <c r="BA380" s="11"/>
      <c r="BB380" s="11"/>
      <c r="BC380" s="11"/>
      <c r="BD380" s="11"/>
      <c r="BE380" s="11"/>
      <c r="BF380" s="11"/>
      <c r="BG380" s="11"/>
      <c r="BH380" s="11"/>
      <c r="BI380" s="11"/>
      <c r="BJ380" s="11"/>
      <c r="BK380" s="11"/>
      <c r="BL380" s="11"/>
      <c r="BM380" s="11"/>
      <c r="BN380" s="11"/>
    </row>
    <row r="381" spans="1:66">
      <c r="A381" s="11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11"/>
      <c r="AE381" s="11"/>
      <c r="AF381" s="11"/>
      <c r="AG381" s="11"/>
      <c r="AH381" s="11"/>
      <c r="AI381" s="11"/>
      <c r="AJ381" s="11"/>
      <c r="AK381" s="11"/>
      <c r="AL381" s="11"/>
      <c r="AM381" s="11"/>
      <c r="AN381" s="11"/>
      <c r="AO381" s="11"/>
      <c r="AP381" s="11"/>
      <c r="AQ381" s="11"/>
      <c r="AR381" s="11"/>
      <c r="AS381" s="11"/>
      <c r="AT381" s="11"/>
      <c r="AU381" s="11"/>
      <c r="AV381" s="11"/>
      <c r="AW381" s="11"/>
      <c r="AX381" s="11"/>
      <c r="AY381" s="11"/>
      <c r="AZ381" s="11"/>
      <c r="BA381" s="11"/>
      <c r="BB381" s="11"/>
      <c r="BC381" s="11"/>
      <c r="BD381" s="11"/>
      <c r="BE381" s="11"/>
      <c r="BF381" s="11"/>
      <c r="BG381" s="11"/>
      <c r="BH381" s="11"/>
      <c r="BI381" s="11"/>
      <c r="BJ381" s="11"/>
      <c r="BK381" s="11"/>
      <c r="BL381" s="11"/>
      <c r="BM381" s="11"/>
      <c r="BN381" s="11"/>
    </row>
    <row r="382" spans="1:66">
      <c r="A382" s="11"/>
      <c r="B382" s="11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  <c r="AA382" s="11"/>
      <c r="AB382" s="11"/>
      <c r="AC382" s="11"/>
      <c r="AD382" s="11"/>
      <c r="AE382" s="11"/>
      <c r="AF382" s="11"/>
      <c r="AG382" s="11"/>
      <c r="AH382" s="11"/>
      <c r="AI382" s="11"/>
      <c r="AJ382" s="11"/>
      <c r="AK382" s="11"/>
      <c r="AL382" s="11"/>
      <c r="AM382" s="11"/>
      <c r="AN382" s="11"/>
      <c r="AO382" s="11"/>
      <c r="AP382" s="11"/>
      <c r="AQ382" s="11"/>
      <c r="AR382" s="11"/>
      <c r="AS382" s="11"/>
      <c r="AT382" s="11"/>
      <c r="AU382" s="11"/>
      <c r="AV382" s="11"/>
      <c r="AW382" s="11"/>
      <c r="AX382" s="11"/>
      <c r="AY382" s="11"/>
      <c r="AZ382" s="11"/>
      <c r="BA382" s="11"/>
      <c r="BB382" s="11"/>
      <c r="BC382" s="11"/>
      <c r="BD382" s="11"/>
      <c r="BE382" s="11"/>
      <c r="BF382" s="11"/>
      <c r="BG382" s="11"/>
      <c r="BH382" s="11"/>
      <c r="BI382" s="11"/>
      <c r="BJ382" s="11"/>
      <c r="BK382" s="11"/>
      <c r="BL382" s="11"/>
      <c r="BM382" s="11"/>
      <c r="BN382" s="11"/>
    </row>
    <row r="383" spans="1:66">
      <c r="A383" s="11"/>
      <c r="B383" s="11"/>
      <c r="C383" s="11"/>
      <c r="D383" s="11"/>
      <c r="E383" s="11"/>
      <c r="F383" s="11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  <c r="AA383" s="11"/>
      <c r="AB383" s="11"/>
      <c r="AC383" s="11"/>
      <c r="AD383" s="11"/>
      <c r="AE383" s="11"/>
      <c r="AF383" s="11"/>
      <c r="AG383" s="11"/>
      <c r="AH383" s="11"/>
      <c r="AI383" s="11"/>
      <c r="AJ383" s="11"/>
      <c r="AK383" s="11"/>
      <c r="AL383" s="11"/>
      <c r="AM383" s="11"/>
      <c r="AN383" s="11"/>
      <c r="AO383" s="11"/>
      <c r="AP383" s="11"/>
      <c r="AQ383" s="11"/>
      <c r="AR383" s="11"/>
      <c r="AS383" s="11"/>
      <c r="AT383" s="11"/>
      <c r="AU383" s="11"/>
      <c r="AV383" s="11"/>
      <c r="AW383" s="11"/>
      <c r="AX383" s="11"/>
      <c r="AY383" s="11"/>
      <c r="AZ383" s="11"/>
      <c r="BA383" s="11"/>
      <c r="BB383" s="11"/>
      <c r="BC383" s="11"/>
      <c r="BD383" s="11"/>
      <c r="BE383" s="11"/>
      <c r="BF383" s="11"/>
      <c r="BG383" s="11"/>
      <c r="BH383" s="11"/>
      <c r="BI383" s="11"/>
      <c r="BJ383" s="11"/>
      <c r="BK383" s="11"/>
      <c r="BL383" s="11"/>
      <c r="BM383" s="11"/>
      <c r="BN383" s="11"/>
    </row>
    <row r="384" spans="1:66">
      <c r="A384" s="11"/>
      <c r="B384" s="11"/>
      <c r="C384" s="11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  <c r="AA384" s="11"/>
      <c r="AB384" s="11"/>
      <c r="AC384" s="11"/>
      <c r="AD384" s="11"/>
      <c r="AE384" s="11"/>
      <c r="AF384" s="11"/>
      <c r="AG384" s="11"/>
      <c r="AH384" s="11"/>
      <c r="AI384" s="11"/>
      <c r="AJ384" s="11"/>
      <c r="AK384" s="11"/>
      <c r="AL384" s="11"/>
      <c r="AM384" s="11"/>
      <c r="AN384" s="11"/>
      <c r="AO384" s="11"/>
      <c r="AP384" s="11"/>
      <c r="AQ384" s="11"/>
      <c r="AR384" s="11"/>
      <c r="AS384" s="11"/>
      <c r="AT384" s="11"/>
      <c r="AU384" s="11"/>
      <c r="AV384" s="11"/>
      <c r="AW384" s="11"/>
      <c r="AX384" s="11"/>
      <c r="AY384" s="11"/>
      <c r="AZ384" s="11"/>
      <c r="BA384" s="11"/>
      <c r="BB384" s="11"/>
      <c r="BC384" s="11"/>
      <c r="BD384" s="11"/>
      <c r="BE384" s="11"/>
      <c r="BF384" s="11"/>
      <c r="BG384" s="11"/>
      <c r="BH384" s="11"/>
      <c r="BI384" s="11"/>
      <c r="BJ384" s="11"/>
      <c r="BK384" s="11"/>
      <c r="BL384" s="11"/>
      <c r="BM384" s="11"/>
      <c r="BN384" s="11"/>
    </row>
    <row r="385" spans="1:66">
      <c r="A385" s="11"/>
      <c r="B385" s="11"/>
      <c r="C385" s="11"/>
      <c r="D385" s="11"/>
      <c r="E385" s="11"/>
      <c r="F385" s="11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  <c r="AA385" s="11"/>
      <c r="AB385" s="11"/>
      <c r="AC385" s="11"/>
      <c r="AD385" s="11"/>
      <c r="AE385" s="11"/>
      <c r="AF385" s="11"/>
      <c r="AG385" s="11"/>
      <c r="AH385" s="11"/>
      <c r="AI385" s="11"/>
      <c r="AJ385" s="11"/>
      <c r="AK385" s="11"/>
      <c r="AL385" s="11"/>
      <c r="AM385" s="11"/>
      <c r="AN385" s="11"/>
      <c r="AO385" s="11"/>
      <c r="AP385" s="11"/>
      <c r="AQ385" s="11"/>
      <c r="AR385" s="11"/>
      <c r="AS385" s="11"/>
      <c r="AT385" s="11"/>
      <c r="AU385" s="11"/>
      <c r="AV385" s="11"/>
      <c r="AW385" s="11"/>
      <c r="AX385" s="11"/>
      <c r="AY385" s="11"/>
      <c r="AZ385" s="11"/>
      <c r="BA385" s="11"/>
      <c r="BB385" s="11"/>
      <c r="BC385" s="11"/>
      <c r="BD385" s="11"/>
      <c r="BE385" s="11"/>
      <c r="BF385" s="11"/>
      <c r="BG385" s="11"/>
      <c r="BH385" s="11"/>
      <c r="BI385" s="11"/>
      <c r="BJ385" s="11"/>
      <c r="BK385" s="11"/>
      <c r="BL385" s="11"/>
      <c r="BM385" s="11"/>
      <c r="BN385" s="11"/>
    </row>
    <row r="386" spans="1:66">
      <c r="A386" s="11"/>
      <c r="B386" s="11"/>
      <c r="C386" s="11"/>
      <c r="D386" s="11"/>
      <c r="E386" s="11"/>
      <c r="F386" s="11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  <c r="AA386" s="11"/>
      <c r="AB386" s="11"/>
      <c r="AC386" s="11"/>
      <c r="AD386" s="11"/>
      <c r="AE386" s="11"/>
      <c r="AF386" s="11"/>
      <c r="AG386" s="11"/>
      <c r="AH386" s="11"/>
      <c r="AI386" s="11"/>
      <c r="AJ386" s="11"/>
      <c r="AK386" s="11"/>
      <c r="AL386" s="11"/>
      <c r="AM386" s="11"/>
      <c r="AN386" s="11"/>
      <c r="AO386" s="11"/>
      <c r="AP386" s="11"/>
      <c r="AQ386" s="11"/>
      <c r="AR386" s="11"/>
      <c r="AS386" s="11"/>
      <c r="AT386" s="11"/>
      <c r="AU386" s="11"/>
      <c r="AV386" s="11"/>
      <c r="AW386" s="11"/>
      <c r="AX386" s="11"/>
      <c r="AY386" s="11"/>
      <c r="AZ386" s="11"/>
      <c r="BA386" s="11"/>
      <c r="BB386" s="11"/>
      <c r="BC386" s="11"/>
      <c r="BD386" s="11"/>
      <c r="BE386" s="11"/>
      <c r="BF386" s="11"/>
      <c r="BG386" s="11"/>
      <c r="BH386" s="11"/>
      <c r="BI386" s="11"/>
      <c r="BJ386" s="11"/>
      <c r="BK386" s="11"/>
      <c r="BL386" s="11"/>
      <c r="BM386" s="11"/>
      <c r="BN386" s="11"/>
    </row>
    <row r="387" spans="1:66">
      <c r="A387" s="11"/>
      <c r="B387" s="11"/>
      <c r="C387" s="11"/>
      <c r="D387" s="11"/>
      <c r="E387" s="11"/>
      <c r="F387" s="11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  <c r="AA387" s="11"/>
      <c r="AB387" s="11"/>
      <c r="AC387" s="11"/>
      <c r="AD387" s="11"/>
      <c r="AE387" s="11"/>
      <c r="AF387" s="11"/>
      <c r="AG387" s="11"/>
      <c r="AH387" s="11"/>
      <c r="AI387" s="11"/>
      <c r="AJ387" s="11"/>
      <c r="AK387" s="11"/>
      <c r="AL387" s="11"/>
      <c r="AM387" s="11"/>
      <c r="AN387" s="11"/>
      <c r="AO387" s="11"/>
      <c r="AP387" s="11"/>
      <c r="AQ387" s="11"/>
      <c r="AR387" s="11"/>
      <c r="AS387" s="11"/>
      <c r="AT387" s="11"/>
      <c r="AU387" s="11"/>
      <c r="AV387" s="11"/>
      <c r="AW387" s="11"/>
      <c r="AX387" s="11"/>
      <c r="AY387" s="11"/>
      <c r="AZ387" s="11"/>
      <c r="BA387" s="11"/>
      <c r="BB387" s="11"/>
      <c r="BC387" s="11"/>
      <c r="BD387" s="11"/>
      <c r="BE387" s="11"/>
      <c r="BF387" s="11"/>
      <c r="BG387" s="11"/>
      <c r="BH387" s="11"/>
      <c r="BI387" s="11"/>
      <c r="BJ387" s="11"/>
      <c r="BK387" s="11"/>
      <c r="BL387" s="11"/>
      <c r="BM387" s="11"/>
      <c r="BN387" s="11"/>
    </row>
    <row r="388" spans="1:66">
      <c r="A388" s="11"/>
      <c r="B388" s="11"/>
      <c r="C388" s="11"/>
      <c r="D388" s="11"/>
      <c r="E388" s="11"/>
      <c r="F388" s="11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/>
      <c r="AC388" s="11"/>
      <c r="AD388" s="11"/>
      <c r="AE388" s="11"/>
      <c r="AF388" s="11"/>
      <c r="AG388" s="11"/>
      <c r="AH388" s="11"/>
      <c r="AI388" s="11"/>
      <c r="AJ388" s="11"/>
      <c r="AK388" s="11"/>
      <c r="AL388" s="11"/>
      <c r="AM388" s="11"/>
      <c r="AN388" s="11"/>
      <c r="AO388" s="11"/>
      <c r="AP388" s="11"/>
      <c r="AQ388" s="11"/>
      <c r="AR388" s="11"/>
      <c r="AS388" s="11"/>
      <c r="AT388" s="11"/>
      <c r="AU388" s="11"/>
      <c r="AV388" s="11"/>
      <c r="AW388" s="11"/>
      <c r="AX388" s="11"/>
      <c r="AY388" s="11"/>
      <c r="AZ388" s="11"/>
      <c r="BA388" s="11"/>
      <c r="BB388" s="11"/>
      <c r="BC388" s="11"/>
      <c r="BD388" s="11"/>
      <c r="BE388" s="11"/>
      <c r="BF388" s="11"/>
      <c r="BG388" s="11"/>
      <c r="BH388" s="11"/>
      <c r="BI388" s="11"/>
      <c r="BJ388" s="11"/>
      <c r="BK388" s="11"/>
      <c r="BL388" s="11"/>
      <c r="BM388" s="11"/>
      <c r="BN388" s="11"/>
    </row>
    <row r="389" spans="1:66">
      <c r="A389" s="11"/>
      <c r="B389" s="11"/>
      <c r="C389" s="11"/>
      <c r="D389" s="11"/>
      <c r="E389" s="11"/>
      <c r="F389" s="11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  <c r="AA389" s="11"/>
      <c r="AB389" s="11"/>
      <c r="AC389" s="11"/>
      <c r="AD389" s="11"/>
      <c r="AE389" s="11"/>
      <c r="AF389" s="11"/>
      <c r="AG389" s="11"/>
      <c r="AH389" s="11"/>
      <c r="AI389" s="11"/>
      <c r="AJ389" s="11"/>
      <c r="AK389" s="11"/>
      <c r="AL389" s="11"/>
      <c r="AM389" s="11"/>
      <c r="AN389" s="11"/>
      <c r="AO389" s="11"/>
      <c r="AP389" s="11"/>
      <c r="AQ389" s="11"/>
      <c r="AR389" s="11"/>
      <c r="AS389" s="11"/>
      <c r="AT389" s="11"/>
      <c r="AU389" s="11"/>
      <c r="AV389" s="11"/>
      <c r="AW389" s="11"/>
      <c r="AX389" s="11"/>
      <c r="AY389" s="11"/>
      <c r="AZ389" s="11"/>
      <c r="BA389" s="11"/>
      <c r="BB389" s="11"/>
      <c r="BC389" s="11"/>
      <c r="BD389" s="11"/>
      <c r="BE389" s="11"/>
      <c r="BF389" s="11"/>
      <c r="BG389" s="11"/>
      <c r="BH389" s="11"/>
      <c r="BI389" s="11"/>
      <c r="BJ389" s="11"/>
      <c r="BK389" s="11"/>
      <c r="BL389" s="11"/>
      <c r="BM389" s="11"/>
      <c r="BN389" s="11"/>
    </row>
    <row r="390" spans="1:66">
      <c r="A390" s="11"/>
      <c r="B390" s="11"/>
      <c r="C390" s="11"/>
      <c r="D390" s="11"/>
      <c r="E390" s="11"/>
      <c r="F390" s="11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11"/>
      <c r="AO390" s="11"/>
      <c r="AP390" s="11"/>
      <c r="AQ390" s="11"/>
      <c r="AR390" s="11"/>
      <c r="AS390" s="11"/>
      <c r="AT390" s="11"/>
      <c r="AU390" s="11"/>
      <c r="AV390" s="11"/>
      <c r="AW390" s="11"/>
      <c r="AX390" s="11"/>
      <c r="AY390" s="11"/>
      <c r="AZ390" s="11"/>
      <c r="BA390" s="11"/>
      <c r="BB390" s="11"/>
      <c r="BC390" s="11"/>
      <c r="BD390" s="11"/>
      <c r="BE390" s="11"/>
      <c r="BF390" s="11"/>
      <c r="BG390" s="11"/>
      <c r="BH390" s="11"/>
      <c r="BI390" s="11"/>
      <c r="BJ390" s="11"/>
      <c r="BK390" s="11"/>
      <c r="BL390" s="11"/>
      <c r="BM390" s="11"/>
      <c r="BN390" s="11"/>
    </row>
    <row r="391" spans="1:66">
      <c r="A391" s="11"/>
      <c r="B391" s="11"/>
      <c r="C391" s="11"/>
      <c r="D391" s="11"/>
      <c r="E391" s="11"/>
      <c r="F391" s="11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  <c r="AA391" s="11"/>
      <c r="AB391" s="11"/>
      <c r="AC391" s="11"/>
      <c r="AD391" s="11"/>
      <c r="AE391" s="11"/>
      <c r="AF391" s="11"/>
      <c r="AG391" s="11"/>
      <c r="AH391" s="11"/>
      <c r="AI391" s="11"/>
      <c r="AJ391" s="11"/>
      <c r="AK391" s="11"/>
      <c r="AL391" s="11"/>
      <c r="AM391" s="11"/>
      <c r="AN391" s="11"/>
      <c r="AO391" s="11"/>
      <c r="AP391" s="11"/>
      <c r="AQ391" s="11"/>
      <c r="AR391" s="11"/>
      <c r="AS391" s="11"/>
      <c r="AT391" s="11"/>
      <c r="AU391" s="11"/>
      <c r="AV391" s="11"/>
      <c r="AW391" s="11"/>
      <c r="AX391" s="11"/>
      <c r="AY391" s="11"/>
      <c r="AZ391" s="11"/>
      <c r="BA391" s="11"/>
      <c r="BB391" s="11"/>
      <c r="BC391" s="11"/>
      <c r="BD391" s="11"/>
      <c r="BE391" s="11"/>
      <c r="BF391" s="11"/>
      <c r="BG391" s="11"/>
      <c r="BH391" s="11"/>
      <c r="BI391" s="11"/>
      <c r="BJ391" s="11"/>
      <c r="BK391" s="11"/>
      <c r="BL391" s="11"/>
      <c r="BM391" s="11"/>
      <c r="BN391" s="11"/>
    </row>
    <row r="392" spans="1:66">
      <c r="A392" s="11"/>
      <c r="B392" s="11"/>
      <c r="C392" s="11"/>
      <c r="D392" s="11"/>
      <c r="E392" s="11"/>
      <c r="F392" s="11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  <c r="AA392" s="11"/>
      <c r="AB392" s="11"/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11"/>
      <c r="AO392" s="11"/>
      <c r="AP392" s="11"/>
      <c r="AQ392" s="11"/>
      <c r="AR392" s="11"/>
      <c r="AS392" s="11"/>
      <c r="AT392" s="11"/>
      <c r="AU392" s="11"/>
      <c r="AV392" s="11"/>
      <c r="AW392" s="11"/>
      <c r="AX392" s="11"/>
      <c r="AY392" s="11"/>
      <c r="AZ392" s="11"/>
      <c r="BA392" s="11"/>
      <c r="BB392" s="11"/>
      <c r="BC392" s="11"/>
      <c r="BD392" s="11"/>
      <c r="BE392" s="11"/>
      <c r="BF392" s="11"/>
      <c r="BG392" s="11"/>
      <c r="BH392" s="11"/>
      <c r="BI392" s="11"/>
      <c r="BJ392" s="11"/>
      <c r="BK392" s="11"/>
      <c r="BL392" s="11"/>
      <c r="BM392" s="11"/>
      <c r="BN392" s="11"/>
    </row>
    <row r="393" spans="1:66">
      <c r="A393" s="11"/>
      <c r="B393" s="11"/>
      <c r="C393" s="11"/>
      <c r="D393" s="11"/>
      <c r="E393" s="11"/>
      <c r="F393" s="11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  <c r="AA393" s="11"/>
      <c r="AB393" s="11"/>
      <c r="AC393" s="11"/>
      <c r="AD393" s="11"/>
      <c r="AE393" s="11"/>
      <c r="AF393" s="11"/>
      <c r="AG393" s="11"/>
      <c r="AH393" s="11"/>
      <c r="AI393" s="11"/>
      <c r="AJ393" s="11"/>
      <c r="AK393" s="11"/>
      <c r="AL393" s="11"/>
      <c r="AM393" s="11"/>
      <c r="AN393" s="11"/>
      <c r="AO393" s="11"/>
      <c r="AP393" s="11"/>
      <c r="AQ393" s="11"/>
      <c r="AR393" s="11"/>
      <c r="AS393" s="11"/>
      <c r="AT393" s="11"/>
      <c r="AU393" s="11"/>
      <c r="AV393" s="11"/>
      <c r="AW393" s="11"/>
      <c r="AX393" s="11"/>
      <c r="AY393" s="11"/>
      <c r="AZ393" s="11"/>
      <c r="BA393" s="11"/>
      <c r="BB393" s="11"/>
      <c r="BC393" s="11"/>
      <c r="BD393" s="11"/>
      <c r="BE393" s="11"/>
      <c r="BF393" s="11"/>
      <c r="BG393" s="11"/>
      <c r="BH393" s="11"/>
      <c r="BI393" s="11"/>
      <c r="BJ393" s="11"/>
      <c r="BK393" s="11"/>
      <c r="BL393" s="11"/>
      <c r="BM393" s="11"/>
      <c r="BN393" s="11"/>
    </row>
    <row r="394" spans="1:66">
      <c r="A394" s="11"/>
      <c r="B394" s="11"/>
      <c r="C394" s="11"/>
      <c r="D394" s="11"/>
      <c r="E394" s="11"/>
      <c r="F394" s="11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  <c r="AA394" s="11"/>
      <c r="AB394" s="11"/>
      <c r="AC394" s="11"/>
      <c r="AD394" s="11"/>
      <c r="AE394" s="11"/>
      <c r="AF394" s="11"/>
      <c r="AG394" s="11"/>
      <c r="AH394" s="11"/>
      <c r="AI394" s="11"/>
      <c r="AJ394" s="11"/>
      <c r="AK394" s="11"/>
      <c r="AL394" s="11"/>
      <c r="AM394" s="11"/>
      <c r="AN394" s="11"/>
      <c r="AO394" s="11"/>
      <c r="AP394" s="11"/>
      <c r="AQ394" s="11"/>
      <c r="AR394" s="11"/>
      <c r="AS394" s="11"/>
      <c r="AT394" s="11"/>
      <c r="AU394" s="11"/>
      <c r="AV394" s="11"/>
      <c r="AW394" s="11"/>
      <c r="AX394" s="11"/>
      <c r="AY394" s="11"/>
      <c r="AZ394" s="11"/>
      <c r="BA394" s="11"/>
      <c r="BB394" s="11"/>
      <c r="BC394" s="11"/>
      <c r="BD394" s="11"/>
      <c r="BE394" s="11"/>
      <c r="BF394" s="11"/>
      <c r="BG394" s="11"/>
      <c r="BH394" s="11"/>
      <c r="BI394" s="11"/>
      <c r="BJ394" s="11"/>
      <c r="BK394" s="11"/>
      <c r="BL394" s="11"/>
      <c r="BM394" s="11"/>
      <c r="BN394" s="11"/>
    </row>
    <row r="395" spans="1:66">
      <c r="A395" s="11"/>
      <c r="B395" s="11"/>
      <c r="C395" s="11"/>
      <c r="D395" s="11"/>
      <c r="E395" s="11"/>
      <c r="F395" s="11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  <c r="AA395" s="11"/>
      <c r="AB395" s="11"/>
      <c r="AC395" s="11"/>
      <c r="AD395" s="11"/>
      <c r="AE395" s="11"/>
      <c r="AF395" s="11"/>
      <c r="AG395" s="11"/>
      <c r="AH395" s="11"/>
      <c r="AI395" s="11"/>
      <c r="AJ395" s="11"/>
      <c r="AK395" s="11"/>
      <c r="AL395" s="11"/>
      <c r="AM395" s="11"/>
      <c r="AN395" s="11"/>
      <c r="AO395" s="11"/>
      <c r="AP395" s="11"/>
      <c r="AQ395" s="11"/>
      <c r="AR395" s="11"/>
      <c r="AS395" s="11"/>
      <c r="AT395" s="11"/>
      <c r="AU395" s="11"/>
      <c r="AV395" s="11"/>
      <c r="AW395" s="11"/>
      <c r="AX395" s="11"/>
      <c r="AY395" s="11"/>
      <c r="AZ395" s="11"/>
      <c r="BA395" s="11"/>
      <c r="BB395" s="11"/>
      <c r="BC395" s="11"/>
      <c r="BD395" s="11"/>
      <c r="BE395" s="11"/>
      <c r="BF395" s="11"/>
      <c r="BG395" s="11"/>
      <c r="BH395" s="11"/>
      <c r="BI395" s="11"/>
      <c r="BJ395" s="11"/>
      <c r="BK395" s="11"/>
      <c r="BL395" s="11"/>
      <c r="BM395" s="11"/>
      <c r="BN395" s="11"/>
    </row>
    <row r="396" spans="1:66">
      <c r="A396" s="11"/>
      <c r="B396" s="11"/>
      <c r="C396" s="11"/>
      <c r="D396" s="11"/>
      <c r="E396" s="11"/>
      <c r="F396" s="11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  <c r="AA396" s="11"/>
      <c r="AB396" s="11"/>
      <c r="AC396" s="11"/>
      <c r="AD396" s="11"/>
      <c r="AE396" s="11"/>
      <c r="AF396" s="11"/>
      <c r="AG396" s="11"/>
      <c r="AH396" s="11"/>
      <c r="AI396" s="11"/>
      <c r="AJ396" s="11"/>
      <c r="AK396" s="11"/>
      <c r="AL396" s="11"/>
      <c r="AM396" s="11"/>
      <c r="AN396" s="11"/>
      <c r="AO396" s="11"/>
      <c r="AP396" s="11"/>
      <c r="AQ396" s="11"/>
      <c r="AR396" s="11"/>
      <c r="AS396" s="11"/>
      <c r="AT396" s="11"/>
      <c r="AU396" s="11"/>
      <c r="AV396" s="11"/>
      <c r="AW396" s="11"/>
      <c r="AX396" s="11"/>
      <c r="AY396" s="11"/>
      <c r="AZ396" s="11"/>
      <c r="BA396" s="11"/>
      <c r="BB396" s="11"/>
      <c r="BC396" s="11"/>
      <c r="BD396" s="11"/>
      <c r="BE396" s="11"/>
      <c r="BF396" s="11"/>
      <c r="BG396" s="11"/>
      <c r="BH396" s="11"/>
      <c r="BI396" s="11"/>
      <c r="BJ396" s="11"/>
      <c r="BK396" s="11"/>
      <c r="BL396" s="11"/>
      <c r="BM396" s="11"/>
      <c r="BN396" s="11"/>
    </row>
    <row r="397" spans="1:66">
      <c r="A397" s="11"/>
      <c r="B397" s="11"/>
      <c r="C397" s="11"/>
      <c r="D397" s="11"/>
      <c r="E397" s="11"/>
      <c r="F397" s="11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  <c r="AA397" s="11"/>
      <c r="AB397" s="11"/>
      <c r="AC397" s="11"/>
      <c r="AD397" s="11"/>
      <c r="AE397" s="11"/>
      <c r="AF397" s="11"/>
      <c r="AG397" s="11"/>
      <c r="AH397" s="11"/>
      <c r="AI397" s="11"/>
      <c r="AJ397" s="11"/>
      <c r="AK397" s="11"/>
      <c r="AL397" s="11"/>
      <c r="AM397" s="11"/>
      <c r="AN397" s="11"/>
      <c r="AO397" s="11"/>
      <c r="AP397" s="11"/>
      <c r="AQ397" s="11"/>
      <c r="AR397" s="11"/>
      <c r="AS397" s="11"/>
      <c r="AT397" s="11"/>
      <c r="AU397" s="11"/>
      <c r="AV397" s="11"/>
      <c r="AW397" s="11"/>
      <c r="AX397" s="11"/>
      <c r="AY397" s="11"/>
      <c r="AZ397" s="11"/>
      <c r="BA397" s="11"/>
      <c r="BB397" s="11"/>
      <c r="BC397" s="11"/>
      <c r="BD397" s="11"/>
      <c r="BE397" s="11"/>
      <c r="BF397" s="11"/>
      <c r="BG397" s="11"/>
      <c r="BH397" s="11"/>
      <c r="BI397" s="11"/>
      <c r="BJ397" s="11"/>
      <c r="BK397" s="11"/>
      <c r="BL397" s="11"/>
      <c r="BM397" s="11"/>
      <c r="BN397" s="11"/>
    </row>
    <row r="398" spans="1:66">
      <c r="A398" s="11"/>
      <c r="B398" s="11"/>
      <c r="C398" s="11"/>
      <c r="D398" s="11"/>
      <c r="E398" s="11"/>
      <c r="F398" s="11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  <c r="AA398" s="11"/>
      <c r="AB398" s="11"/>
      <c r="AC398" s="11"/>
      <c r="AD398" s="11"/>
      <c r="AE398" s="11"/>
      <c r="AF398" s="11"/>
      <c r="AG398" s="11"/>
      <c r="AH398" s="11"/>
      <c r="AI398" s="11"/>
      <c r="AJ398" s="11"/>
      <c r="AK398" s="11"/>
      <c r="AL398" s="11"/>
      <c r="AM398" s="11"/>
      <c r="AN398" s="11"/>
      <c r="AO398" s="11"/>
      <c r="AP398" s="11"/>
      <c r="AQ398" s="11"/>
      <c r="AR398" s="11"/>
      <c r="AS398" s="11"/>
      <c r="AT398" s="11"/>
      <c r="AU398" s="11"/>
      <c r="AV398" s="11"/>
      <c r="AW398" s="11"/>
      <c r="AX398" s="11"/>
      <c r="AY398" s="11"/>
      <c r="AZ398" s="11"/>
      <c r="BA398" s="11"/>
      <c r="BB398" s="11"/>
      <c r="BC398" s="11"/>
      <c r="BD398" s="11"/>
      <c r="BE398" s="11"/>
      <c r="BF398" s="11"/>
      <c r="BG398" s="11"/>
      <c r="BH398" s="11"/>
      <c r="BI398" s="11"/>
      <c r="BJ398" s="11"/>
      <c r="BK398" s="11"/>
      <c r="BL398" s="11"/>
      <c r="BM398" s="11"/>
      <c r="BN398" s="11"/>
    </row>
    <row r="399" spans="1:66">
      <c r="A399" s="11"/>
      <c r="B399" s="11"/>
      <c r="C399" s="11"/>
      <c r="D399" s="11"/>
      <c r="E399" s="11"/>
      <c r="F399" s="11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  <c r="AA399" s="11"/>
      <c r="AB399" s="11"/>
      <c r="AC399" s="11"/>
      <c r="AD399" s="11"/>
      <c r="AE399" s="11"/>
      <c r="AF399" s="11"/>
      <c r="AG399" s="11"/>
      <c r="AH399" s="11"/>
      <c r="AI399" s="11"/>
      <c r="AJ399" s="11"/>
      <c r="AK399" s="11"/>
      <c r="AL399" s="11"/>
      <c r="AM399" s="11"/>
      <c r="AN399" s="11"/>
      <c r="AO399" s="11"/>
      <c r="AP399" s="11"/>
      <c r="AQ399" s="11"/>
      <c r="AR399" s="11"/>
      <c r="AS399" s="11"/>
      <c r="AT399" s="11"/>
      <c r="AU399" s="11"/>
      <c r="AV399" s="11"/>
      <c r="AW399" s="11"/>
      <c r="AX399" s="11"/>
      <c r="AY399" s="11"/>
      <c r="AZ399" s="11"/>
      <c r="BA399" s="11"/>
      <c r="BB399" s="11"/>
      <c r="BC399" s="11"/>
      <c r="BD399" s="11"/>
      <c r="BE399" s="11"/>
      <c r="BF399" s="11"/>
      <c r="BG399" s="11"/>
      <c r="BH399" s="11"/>
      <c r="BI399" s="11"/>
      <c r="BJ399" s="11"/>
      <c r="BK399" s="11"/>
      <c r="BL399" s="11"/>
      <c r="BM399" s="11"/>
      <c r="BN399" s="11"/>
    </row>
    <row r="400" spans="1:66">
      <c r="A400" s="11"/>
      <c r="B400" s="11"/>
      <c r="C400" s="11"/>
      <c r="D400" s="11"/>
      <c r="E400" s="11"/>
      <c r="F400" s="11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11"/>
      <c r="AB400" s="11"/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11"/>
      <c r="AO400" s="11"/>
      <c r="AP400" s="11"/>
      <c r="AQ400" s="11"/>
      <c r="AR400" s="11"/>
      <c r="AS400" s="11"/>
      <c r="AT400" s="11"/>
      <c r="AU400" s="11"/>
      <c r="AV400" s="11"/>
      <c r="AW400" s="11"/>
      <c r="AX400" s="11"/>
      <c r="AY400" s="11"/>
      <c r="AZ400" s="11"/>
      <c r="BA400" s="11"/>
      <c r="BB400" s="11"/>
      <c r="BC400" s="11"/>
      <c r="BD400" s="11"/>
      <c r="BE400" s="11"/>
      <c r="BF400" s="11"/>
      <c r="BG400" s="11"/>
      <c r="BH400" s="11"/>
      <c r="BI400" s="11"/>
      <c r="BJ400" s="11"/>
      <c r="BK400" s="11"/>
      <c r="BL400" s="11"/>
      <c r="BM400" s="11"/>
      <c r="BN400" s="11"/>
    </row>
    <row r="401" spans="1:66">
      <c r="A401" s="11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11"/>
      <c r="AE401" s="11"/>
      <c r="AF401" s="11"/>
      <c r="AG401" s="11"/>
      <c r="AH401" s="11"/>
      <c r="AI401" s="11"/>
      <c r="AJ401" s="11"/>
      <c r="AK401" s="11"/>
      <c r="AL401" s="11"/>
      <c r="AM401" s="11"/>
      <c r="AN401" s="11"/>
      <c r="AO401" s="11"/>
      <c r="AP401" s="11"/>
      <c r="AQ401" s="11"/>
      <c r="AR401" s="11"/>
      <c r="AS401" s="11"/>
      <c r="AT401" s="11"/>
      <c r="AU401" s="11"/>
      <c r="AV401" s="11"/>
      <c r="AW401" s="11"/>
      <c r="AX401" s="11"/>
      <c r="AY401" s="11"/>
      <c r="AZ401" s="11"/>
      <c r="BA401" s="11"/>
      <c r="BB401" s="11"/>
      <c r="BC401" s="11"/>
      <c r="BD401" s="11"/>
      <c r="BE401" s="11"/>
      <c r="BF401" s="11"/>
      <c r="BG401" s="11"/>
      <c r="BH401" s="11"/>
      <c r="BI401" s="11"/>
      <c r="BJ401" s="11"/>
      <c r="BK401" s="11"/>
      <c r="BL401" s="11"/>
      <c r="BM401" s="11"/>
      <c r="BN401" s="11"/>
    </row>
    <row r="402" spans="1:66">
      <c r="A402" s="11"/>
      <c r="B402" s="11"/>
      <c r="C402" s="11"/>
      <c r="D402" s="11"/>
      <c r="E402" s="11"/>
      <c r="F402" s="11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  <c r="AA402" s="11"/>
      <c r="AB402" s="11"/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  <c r="AN402" s="11"/>
      <c r="AO402" s="11"/>
      <c r="AP402" s="11"/>
      <c r="AQ402" s="11"/>
      <c r="AR402" s="11"/>
      <c r="AS402" s="11"/>
      <c r="AT402" s="11"/>
      <c r="AU402" s="11"/>
      <c r="AV402" s="11"/>
      <c r="AW402" s="11"/>
      <c r="AX402" s="11"/>
      <c r="AY402" s="11"/>
      <c r="AZ402" s="11"/>
      <c r="BA402" s="11"/>
      <c r="BB402" s="11"/>
      <c r="BC402" s="11"/>
      <c r="BD402" s="11"/>
      <c r="BE402" s="11"/>
      <c r="BF402" s="11"/>
      <c r="BG402" s="11"/>
      <c r="BH402" s="11"/>
      <c r="BI402" s="11"/>
      <c r="BJ402" s="11"/>
      <c r="BK402" s="11"/>
      <c r="BL402" s="11"/>
      <c r="BM402" s="11"/>
      <c r="BN402" s="11"/>
    </row>
    <row r="403" spans="1:66">
      <c r="A403" s="11"/>
      <c r="B403" s="11"/>
      <c r="C403" s="11"/>
      <c r="D403" s="11"/>
      <c r="E403" s="11"/>
      <c r="F403" s="11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  <c r="AA403" s="11"/>
      <c r="AB403" s="11"/>
      <c r="AC403" s="11"/>
      <c r="AD403" s="11"/>
      <c r="AE403" s="11"/>
      <c r="AF403" s="11"/>
      <c r="AG403" s="11"/>
      <c r="AH403" s="11"/>
      <c r="AI403" s="11"/>
      <c r="AJ403" s="11"/>
      <c r="AK403" s="11"/>
      <c r="AL403" s="11"/>
      <c r="AM403" s="11"/>
      <c r="AN403" s="11"/>
      <c r="AO403" s="11"/>
      <c r="AP403" s="11"/>
      <c r="AQ403" s="11"/>
      <c r="AR403" s="11"/>
      <c r="AS403" s="11"/>
      <c r="AT403" s="11"/>
      <c r="AU403" s="11"/>
      <c r="AV403" s="11"/>
      <c r="AW403" s="11"/>
      <c r="AX403" s="11"/>
      <c r="AY403" s="11"/>
      <c r="AZ403" s="11"/>
      <c r="BA403" s="11"/>
      <c r="BB403" s="11"/>
      <c r="BC403" s="11"/>
      <c r="BD403" s="11"/>
      <c r="BE403" s="11"/>
      <c r="BF403" s="11"/>
      <c r="BG403" s="11"/>
      <c r="BH403" s="11"/>
      <c r="BI403" s="11"/>
      <c r="BJ403" s="11"/>
      <c r="BK403" s="11"/>
      <c r="BL403" s="11"/>
      <c r="BM403" s="11"/>
      <c r="BN403" s="11"/>
    </row>
    <row r="404" spans="1:66">
      <c r="A404" s="11"/>
      <c r="B404" s="11"/>
      <c r="C404" s="11"/>
      <c r="D404" s="11"/>
      <c r="E404" s="11"/>
      <c r="F404" s="11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  <c r="AA404" s="11"/>
      <c r="AB404" s="11"/>
      <c r="AC404" s="11"/>
      <c r="AD404" s="11"/>
      <c r="AE404" s="11"/>
      <c r="AF404" s="11"/>
      <c r="AG404" s="11"/>
      <c r="AH404" s="11"/>
      <c r="AI404" s="11"/>
      <c r="AJ404" s="11"/>
      <c r="AK404" s="11"/>
      <c r="AL404" s="11"/>
      <c r="AM404" s="11"/>
      <c r="AN404" s="11"/>
      <c r="AO404" s="11"/>
      <c r="AP404" s="11"/>
      <c r="AQ404" s="11"/>
      <c r="AR404" s="11"/>
      <c r="AS404" s="11"/>
      <c r="AT404" s="11"/>
      <c r="AU404" s="11"/>
      <c r="AV404" s="11"/>
      <c r="AW404" s="11"/>
      <c r="AX404" s="11"/>
      <c r="AY404" s="11"/>
      <c r="AZ404" s="11"/>
      <c r="BA404" s="11"/>
      <c r="BB404" s="11"/>
      <c r="BC404" s="11"/>
      <c r="BD404" s="11"/>
      <c r="BE404" s="11"/>
      <c r="BF404" s="11"/>
      <c r="BG404" s="11"/>
      <c r="BH404" s="11"/>
      <c r="BI404" s="11"/>
      <c r="BJ404" s="11"/>
      <c r="BK404" s="11"/>
      <c r="BL404" s="11"/>
      <c r="BM404" s="11"/>
      <c r="BN404" s="11"/>
    </row>
    <row r="405" spans="1:66">
      <c r="A405" s="11"/>
      <c r="B405" s="11"/>
      <c r="C405" s="11"/>
      <c r="D405" s="11"/>
      <c r="E405" s="11"/>
      <c r="F405" s="11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  <c r="AA405" s="11"/>
      <c r="AB405" s="11"/>
      <c r="AC405" s="11"/>
      <c r="AD405" s="11"/>
      <c r="AE405" s="11"/>
      <c r="AF405" s="11"/>
      <c r="AG405" s="11"/>
      <c r="AH405" s="11"/>
      <c r="AI405" s="11"/>
      <c r="AJ405" s="11"/>
      <c r="AK405" s="11"/>
      <c r="AL405" s="11"/>
      <c r="AM405" s="11"/>
      <c r="AN405" s="11"/>
      <c r="AO405" s="11"/>
      <c r="AP405" s="11"/>
      <c r="AQ405" s="11"/>
      <c r="AR405" s="11"/>
      <c r="AS405" s="11"/>
      <c r="AT405" s="11"/>
      <c r="AU405" s="11"/>
      <c r="AV405" s="11"/>
      <c r="AW405" s="11"/>
      <c r="AX405" s="11"/>
      <c r="AY405" s="11"/>
      <c r="AZ405" s="11"/>
      <c r="BA405" s="11"/>
      <c r="BB405" s="11"/>
      <c r="BC405" s="11"/>
      <c r="BD405" s="11"/>
      <c r="BE405" s="11"/>
      <c r="BF405" s="11"/>
      <c r="BG405" s="11"/>
      <c r="BH405" s="11"/>
      <c r="BI405" s="11"/>
      <c r="BJ405" s="11"/>
      <c r="BK405" s="11"/>
      <c r="BL405" s="11"/>
      <c r="BM405" s="11"/>
      <c r="BN405" s="11"/>
    </row>
    <row r="406" spans="1:66">
      <c r="A406" s="11"/>
      <c r="B406" s="11"/>
      <c r="C406" s="11"/>
      <c r="D406" s="11"/>
      <c r="E406" s="11"/>
      <c r="F406" s="11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  <c r="AA406" s="11"/>
      <c r="AB406" s="11"/>
      <c r="AC406" s="11"/>
      <c r="AD406" s="11"/>
      <c r="AE406" s="11"/>
      <c r="AF406" s="11"/>
      <c r="AG406" s="11"/>
      <c r="AH406" s="11"/>
      <c r="AI406" s="11"/>
      <c r="AJ406" s="11"/>
      <c r="AK406" s="11"/>
      <c r="AL406" s="11"/>
      <c r="AM406" s="11"/>
      <c r="AN406" s="11"/>
      <c r="AO406" s="11"/>
      <c r="AP406" s="11"/>
      <c r="AQ406" s="11"/>
      <c r="AR406" s="11"/>
      <c r="AS406" s="11"/>
      <c r="AT406" s="11"/>
      <c r="AU406" s="11"/>
      <c r="AV406" s="11"/>
      <c r="AW406" s="11"/>
      <c r="AX406" s="11"/>
      <c r="AY406" s="11"/>
      <c r="AZ406" s="11"/>
      <c r="BA406" s="11"/>
      <c r="BB406" s="11"/>
      <c r="BC406" s="11"/>
      <c r="BD406" s="11"/>
      <c r="BE406" s="11"/>
      <c r="BF406" s="11"/>
      <c r="BG406" s="11"/>
      <c r="BH406" s="11"/>
      <c r="BI406" s="11"/>
      <c r="BJ406" s="11"/>
      <c r="BK406" s="11"/>
      <c r="BL406" s="11"/>
      <c r="BM406" s="11"/>
      <c r="BN406" s="11"/>
    </row>
    <row r="407" spans="1:66">
      <c r="A407" s="11"/>
      <c r="B407" s="11"/>
      <c r="C407" s="11"/>
      <c r="D407" s="11"/>
      <c r="E407" s="11"/>
      <c r="F407" s="11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  <c r="AA407" s="11"/>
      <c r="AB407" s="11"/>
      <c r="AC407" s="11"/>
      <c r="AD407" s="11"/>
      <c r="AE407" s="11"/>
      <c r="AF407" s="11"/>
      <c r="AG407" s="11"/>
      <c r="AH407" s="11"/>
      <c r="AI407" s="11"/>
      <c r="AJ407" s="11"/>
      <c r="AK407" s="11"/>
      <c r="AL407" s="11"/>
      <c r="AM407" s="11"/>
      <c r="AN407" s="11"/>
      <c r="AO407" s="11"/>
      <c r="AP407" s="11"/>
      <c r="AQ407" s="11"/>
      <c r="AR407" s="11"/>
      <c r="AS407" s="11"/>
      <c r="AT407" s="11"/>
      <c r="AU407" s="11"/>
      <c r="AV407" s="11"/>
      <c r="AW407" s="11"/>
      <c r="AX407" s="11"/>
      <c r="AY407" s="11"/>
      <c r="AZ407" s="11"/>
      <c r="BA407" s="11"/>
      <c r="BB407" s="11"/>
      <c r="BC407" s="11"/>
      <c r="BD407" s="11"/>
      <c r="BE407" s="11"/>
      <c r="BF407" s="11"/>
      <c r="BG407" s="11"/>
      <c r="BH407" s="11"/>
      <c r="BI407" s="11"/>
      <c r="BJ407" s="11"/>
      <c r="BK407" s="11"/>
      <c r="BL407" s="11"/>
      <c r="BM407" s="11"/>
      <c r="BN407" s="11"/>
    </row>
    <row r="408" spans="1:66">
      <c r="A408" s="11"/>
      <c r="B408" s="11"/>
      <c r="C408" s="11"/>
      <c r="D408" s="11"/>
      <c r="E408" s="11"/>
      <c r="F408" s="11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  <c r="AA408" s="11"/>
      <c r="AB408" s="11"/>
      <c r="AC408" s="11"/>
      <c r="AD408" s="11"/>
      <c r="AE408" s="11"/>
      <c r="AF408" s="11"/>
      <c r="AG408" s="11"/>
      <c r="AH408" s="11"/>
      <c r="AI408" s="11"/>
      <c r="AJ408" s="11"/>
      <c r="AK408" s="11"/>
      <c r="AL408" s="11"/>
      <c r="AM408" s="11"/>
      <c r="AN408" s="11"/>
      <c r="AO408" s="11"/>
      <c r="AP408" s="11"/>
      <c r="AQ408" s="11"/>
      <c r="AR408" s="11"/>
      <c r="AS408" s="11"/>
      <c r="AT408" s="11"/>
      <c r="AU408" s="11"/>
      <c r="AV408" s="11"/>
      <c r="AW408" s="11"/>
      <c r="AX408" s="11"/>
      <c r="AY408" s="11"/>
      <c r="AZ408" s="11"/>
      <c r="BA408" s="11"/>
      <c r="BB408" s="11"/>
      <c r="BC408" s="11"/>
      <c r="BD408" s="11"/>
      <c r="BE408" s="11"/>
      <c r="BF408" s="11"/>
      <c r="BG408" s="11"/>
      <c r="BH408" s="11"/>
      <c r="BI408" s="11"/>
      <c r="BJ408" s="11"/>
      <c r="BK408" s="11"/>
      <c r="BL408" s="11"/>
      <c r="BM408" s="11"/>
      <c r="BN408" s="11"/>
    </row>
    <row r="409" spans="1:66">
      <c r="A409" s="11"/>
      <c r="B409" s="11"/>
      <c r="C409" s="11"/>
      <c r="D409" s="11"/>
      <c r="E409" s="11"/>
      <c r="F409" s="11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  <c r="AA409" s="11"/>
      <c r="AB409" s="11"/>
      <c r="AC409" s="11"/>
      <c r="AD409" s="11"/>
      <c r="AE409" s="11"/>
      <c r="AF409" s="11"/>
      <c r="AG409" s="11"/>
      <c r="AH409" s="11"/>
      <c r="AI409" s="11"/>
      <c r="AJ409" s="11"/>
      <c r="AK409" s="11"/>
      <c r="AL409" s="11"/>
      <c r="AM409" s="11"/>
      <c r="AN409" s="11"/>
      <c r="AO409" s="11"/>
      <c r="AP409" s="11"/>
      <c r="AQ409" s="11"/>
      <c r="AR409" s="11"/>
      <c r="AS409" s="11"/>
      <c r="AT409" s="11"/>
      <c r="AU409" s="11"/>
      <c r="AV409" s="11"/>
      <c r="AW409" s="11"/>
      <c r="AX409" s="11"/>
      <c r="AY409" s="11"/>
      <c r="AZ409" s="11"/>
      <c r="BA409" s="11"/>
      <c r="BB409" s="11"/>
      <c r="BC409" s="11"/>
      <c r="BD409" s="11"/>
      <c r="BE409" s="11"/>
      <c r="BF409" s="11"/>
      <c r="BG409" s="11"/>
      <c r="BH409" s="11"/>
      <c r="BI409" s="11"/>
      <c r="BJ409" s="11"/>
      <c r="BK409" s="11"/>
      <c r="BL409" s="11"/>
      <c r="BM409" s="11"/>
      <c r="BN409" s="11"/>
    </row>
    <row r="410" spans="1:66">
      <c r="A410" s="11"/>
      <c r="B410" s="11"/>
      <c r="C410" s="11"/>
      <c r="D410" s="11"/>
      <c r="E410" s="11"/>
      <c r="F410" s="11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  <c r="AA410" s="11"/>
      <c r="AB410" s="11"/>
      <c r="AC410" s="11"/>
      <c r="AD410" s="11"/>
      <c r="AE410" s="11"/>
      <c r="AF410" s="11"/>
      <c r="AG410" s="11"/>
      <c r="AH410" s="11"/>
      <c r="AI410" s="11"/>
      <c r="AJ410" s="11"/>
      <c r="AK410" s="11"/>
      <c r="AL410" s="11"/>
      <c r="AM410" s="11"/>
      <c r="AN410" s="11"/>
      <c r="AO410" s="11"/>
      <c r="AP410" s="11"/>
      <c r="AQ410" s="11"/>
      <c r="AR410" s="11"/>
      <c r="AS410" s="11"/>
      <c r="AT410" s="11"/>
      <c r="AU410" s="11"/>
      <c r="AV410" s="11"/>
      <c r="AW410" s="11"/>
      <c r="AX410" s="11"/>
      <c r="AY410" s="11"/>
      <c r="AZ410" s="11"/>
      <c r="BA410" s="11"/>
      <c r="BB410" s="11"/>
      <c r="BC410" s="11"/>
      <c r="BD410" s="11"/>
      <c r="BE410" s="11"/>
      <c r="BF410" s="11"/>
      <c r="BG410" s="11"/>
      <c r="BH410" s="11"/>
      <c r="BI410" s="11"/>
      <c r="BJ410" s="11"/>
      <c r="BK410" s="11"/>
      <c r="BL410" s="11"/>
      <c r="BM410" s="11"/>
      <c r="BN410" s="11"/>
    </row>
    <row r="411" spans="1:66">
      <c r="A411" s="11"/>
      <c r="B411" s="11"/>
      <c r="C411" s="11"/>
      <c r="D411" s="11"/>
      <c r="E411" s="11"/>
      <c r="F411" s="11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  <c r="AA411" s="11"/>
      <c r="AB411" s="11"/>
      <c r="AC411" s="11"/>
      <c r="AD411" s="11"/>
      <c r="AE411" s="11"/>
      <c r="AF411" s="11"/>
      <c r="AG411" s="11"/>
      <c r="AH411" s="11"/>
      <c r="AI411" s="11"/>
      <c r="AJ411" s="11"/>
      <c r="AK411" s="11"/>
      <c r="AL411" s="11"/>
      <c r="AM411" s="11"/>
      <c r="AN411" s="11"/>
      <c r="AO411" s="11"/>
      <c r="AP411" s="11"/>
      <c r="AQ411" s="11"/>
      <c r="AR411" s="11"/>
      <c r="AS411" s="11"/>
      <c r="AT411" s="11"/>
      <c r="AU411" s="11"/>
      <c r="AV411" s="11"/>
      <c r="AW411" s="11"/>
      <c r="AX411" s="11"/>
      <c r="AY411" s="11"/>
      <c r="AZ411" s="11"/>
      <c r="BA411" s="11"/>
      <c r="BB411" s="11"/>
      <c r="BC411" s="11"/>
      <c r="BD411" s="11"/>
      <c r="BE411" s="11"/>
      <c r="BF411" s="11"/>
      <c r="BG411" s="11"/>
      <c r="BH411" s="11"/>
      <c r="BI411" s="11"/>
      <c r="BJ411" s="11"/>
      <c r="BK411" s="11"/>
      <c r="BL411" s="11"/>
      <c r="BM411" s="11"/>
      <c r="BN411" s="11"/>
    </row>
    <row r="412" spans="1:66">
      <c r="A412" s="11"/>
      <c r="B412" s="11"/>
      <c r="C412" s="11"/>
      <c r="D412" s="11"/>
      <c r="E412" s="11"/>
      <c r="F412" s="11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  <c r="AA412" s="11"/>
      <c r="AB412" s="11"/>
      <c r="AC412" s="11"/>
      <c r="AD412" s="11"/>
      <c r="AE412" s="11"/>
      <c r="AF412" s="11"/>
      <c r="AG412" s="11"/>
      <c r="AH412" s="11"/>
      <c r="AI412" s="11"/>
      <c r="AJ412" s="11"/>
      <c r="AK412" s="11"/>
      <c r="AL412" s="11"/>
      <c r="AM412" s="11"/>
      <c r="AN412" s="11"/>
      <c r="AO412" s="11"/>
      <c r="AP412" s="11"/>
      <c r="AQ412" s="11"/>
      <c r="AR412" s="11"/>
      <c r="AS412" s="11"/>
      <c r="AT412" s="11"/>
      <c r="AU412" s="11"/>
      <c r="AV412" s="11"/>
      <c r="AW412" s="11"/>
      <c r="AX412" s="11"/>
      <c r="AY412" s="11"/>
      <c r="AZ412" s="11"/>
      <c r="BA412" s="11"/>
      <c r="BB412" s="11"/>
      <c r="BC412" s="11"/>
      <c r="BD412" s="11"/>
      <c r="BE412" s="11"/>
      <c r="BF412" s="11"/>
      <c r="BG412" s="11"/>
      <c r="BH412" s="11"/>
      <c r="BI412" s="11"/>
      <c r="BJ412" s="11"/>
      <c r="BK412" s="11"/>
      <c r="BL412" s="11"/>
      <c r="BM412" s="11"/>
      <c r="BN412" s="11"/>
    </row>
    <row r="413" spans="1:66">
      <c r="A413" s="11"/>
      <c r="B413" s="11"/>
      <c r="C413" s="11"/>
      <c r="D413" s="11"/>
      <c r="E413" s="11"/>
      <c r="F413" s="11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  <c r="AA413" s="11"/>
      <c r="AB413" s="11"/>
      <c r="AC413" s="11"/>
      <c r="AD413" s="11"/>
      <c r="AE413" s="11"/>
      <c r="AF413" s="11"/>
      <c r="AG413" s="11"/>
      <c r="AH413" s="11"/>
      <c r="AI413" s="11"/>
      <c r="AJ413" s="11"/>
      <c r="AK413" s="11"/>
      <c r="AL413" s="11"/>
      <c r="AM413" s="11"/>
      <c r="AN413" s="11"/>
      <c r="AO413" s="11"/>
      <c r="AP413" s="11"/>
      <c r="AQ413" s="11"/>
      <c r="AR413" s="11"/>
      <c r="AS413" s="11"/>
      <c r="AT413" s="11"/>
      <c r="AU413" s="11"/>
      <c r="AV413" s="11"/>
      <c r="AW413" s="11"/>
      <c r="AX413" s="11"/>
      <c r="AY413" s="11"/>
      <c r="AZ413" s="11"/>
      <c r="BA413" s="11"/>
      <c r="BB413" s="11"/>
      <c r="BC413" s="11"/>
      <c r="BD413" s="11"/>
      <c r="BE413" s="11"/>
      <c r="BF413" s="11"/>
      <c r="BG413" s="11"/>
      <c r="BH413" s="11"/>
      <c r="BI413" s="11"/>
      <c r="BJ413" s="11"/>
      <c r="BK413" s="11"/>
      <c r="BL413" s="11"/>
      <c r="BM413" s="11"/>
      <c r="BN413" s="11"/>
    </row>
    <row r="414" spans="1:66">
      <c r="A414" s="11"/>
      <c r="B414" s="11"/>
      <c r="C414" s="11"/>
      <c r="D414" s="11"/>
      <c r="E414" s="11"/>
      <c r="F414" s="11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  <c r="AA414" s="11"/>
      <c r="AB414" s="11"/>
      <c r="AC414" s="11"/>
      <c r="AD414" s="11"/>
      <c r="AE414" s="11"/>
      <c r="AF414" s="11"/>
      <c r="AG414" s="11"/>
      <c r="AH414" s="11"/>
      <c r="AI414" s="11"/>
      <c r="AJ414" s="11"/>
      <c r="AK414" s="11"/>
      <c r="AL414" s="11"/>
      <c r="AM414" s="11"/>
      <c r="AN414" s="11"/>
      <c r="AO414" s="11"/>
      <c r="AP414" s="11"/>
      <c r="AQ414" s="11"/>
      <c r="AR414" s="11"/>
      <c r="AS414" s="11"/>
      <c r="AT414" s="11"/>
      <c r="AU414" s="11"/>
      <c r="AV414" s="11"/>
      <c r="AW414" s="11"/>
      <c r="AX414" s="11"/>
      <c r="AY414" s="11"/>
      <c r="AZ414" s="11"/>
      <c r="BA414" s="11"/>
      <c r="BB414" s="11"/>
      <c r="BC414" s="11"/>
      <c r="BD414" s="11"/>
      <c r="BE414" s="11"/>
      <c r="BF414" s="11"/>
      <c r="BG414" s="11"/>
      <c r="BH414" s="11"/>
      <c r="BI414" s="11"/>
      <c r="BJ414" s="11"/>
      <c r="BK414" s="11"/>
      <c r="BL414" s="11"/>
      <c r="BM414" s="11"/>
      <c r="BN414" s="11"/>
    </row>
    <row r="415" spans="1:66">
      <c r="A415" s="11"/>
      <c r="B415" s="11"/>
      <c r="C415" s="11"/>
      <c r="D415" s="11"/>
      <c r="E415" s="11"/>
      <c r="F415" s="11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Y415" s="11"/>
      <c r="Z415" s="11"/>
      <c r="AA415" s="11"/>
      <c r="AB415" s="11"/>
      <c r="AC415" s="11"/>
      <c r="AD415" s="11"/>
      <c r="AE415" s="11"/>
      <c r="AF415" s="11"/>
      <c r="AG415" s="11"/>
      <c r="AH415" s="11"/>
      <c r="AI415" s="11"/>
      <c r="AJ415" s="11"/>
      <c r="AK415" s="11"/>
      <c r="AL415" s="11"/>
      <c r="AM415" s="11"/>
      <c r="AN415" s="11"/>
      <c r="AO415" s="11"/>
      <c r="AP415" s="11"/>
      <c r="AQ415" s="11"/>
      <c r="AR415" s="11"/>
      <c r="AS415" s="11"/>
      <c r="AT415" s="11"/>
      <c r="AU415" s="11"/>
      <c r="AV415" s="11"/>
      <c r="AW415" s="11"/>
      <c r="AX415" s="11"/>
      <c r="AY415" s="11"/>
      <c r="AZ415" s="11"/>
      <c r="BA415" s="11"/>
      <c r="BB415" s="11"/>
      <c r="BC415" s="11"/>
      <c r="BD415" s="11"/>
      <c r="BE415" s="11"/>
      <c r="BF415" s="11"/>
      <c r="BG415" s="11"/>
      <c r="BH415" s="11"/>
      <c r="BI415" s="11"/>
      <c r="BJ415" s="11"/>
      <c r="BK415" s="11"/>
      <c r="BL415" s="11"/>
      <c r="BM415" s="11"/>
      <c r="BN415" s="11"/>
    </row>
    <row r="416" spans="1:66">
      <c r="A416" s="11"/>
      <c r="B416" s="11"/>
      <c r="C416" s="11"/>
      <c r="D416" s="11"/>
      <c r="E416" s="11"/>
      <c r="F416" s="11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  <c r="AA416" s="11"/>
      <c r="AB416" s="11"/>
      <c r="AC416" s="11"/>
      <c r="AD416" s="11"/>
      <c r="AE416" s="11"/>
      <c r="AF416" s="11"/>
      <c r="AG416" s="11"/>
      <c r="AH416" s="11"/>
      <c r="AI416" s="11"/>
      <c r="AJ416" s="11"/>
      <c r="AK416" s="11"/>
      <c r="AL416" s="11"/>
      <c r="AM416" s="11"/>
      <c r="AN416" s="11"/>
      <c r="AO416" s="11"/>
      <c r="AP416" s="11"/>
      <c r="AQ416" s="11"/>
      <c r="AR416" s="11"/>
      <c r="AS416" s="11"/>
      <c r="AT416" s="11"/>
      <c r="AU416" s="11"/>
      <c r="AV416" s="11"/>
      <c r="AW416" s="11"/>
      <c r="AX416" s="11"/>
      <c r="AY416" s="11"/>
      <c r="AZ416" s="11"/>
      <c r="BA416" s="11"/>
      <c r="BB416" s="11"/>
      <c r="BC416" s="11"/>
      <c r="BD416" s="11"/>
      <c r="BE416" s="11"/>
      <c r="BF416" s="11"/>
      <c r="BG416" s="11"/>
      <c r="BH416" s="11"/>
      <c r="BI416" s="11"/>
      <c r="BJ416" s="11"/>
      <c r="BK416" s="11"/>
      <c r="BL416" s="11"/>
      <c r="BM416" s="11"/>
      <c r="BN416" s="11"/>
    </row>
    <row r="417" spans="1:66">
      <c r="A417" s="11"/>
      <c r="B417" s="11"/>
      <c r="C417" s="11"/>
      <c r="D417" s="11"/>
      <c r="E417" s="11"/>
      <c r="F417" s="11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  <c r="AA417" s="11"/>
      <c r="AB417" s="11"/>
      <c r="AC417" s="11"/>
      <c r="AD417" s="11"/>
      <c r="AE417" s="11"/>
      <c r="AF417" s="11"/>
      <c r="AG417" s="11"/>
      <c r="AH417" s="11"/>
      <c r="AI417" s="11"/>
      <c r="AJ417" s="11"/>
      <c r="AK417" s="11"/>
      <c r="AL417" s="11"/>
      <c r="AM417" s="11"/>
      <c r="AN417" s="11"/>
      <c r="AO417" s="11"/>
      <c r="AP417" s="11"/>
      <c r="AQ417" s="11"/>
      <c r="AR417" s="11"/>
      <c r="AS417" s="11"/>
      <c r="AT417" s="11"/>
      <c r="AU417" s="11"/>
      <c r="AV417" s="11"/>
      <c r="AW417" s="11"/>
      <c r="AX417" s="11"/>
      <c r="AY417" s="11"/>
      <c r="AZ417" s="11"/>
      <c r="BA417" s="11"/>
      <c r="BB417" s="11"/>
      <c r="BC417" s="11"/>
      <c r="BD417" s="11"/>
      <c r="BE417" s="11"/>
      <c r="BF417" s="11"/>
      <c r="BG417" s="11"/>
      <c r="BH417" s="11"/>
      <c r="BI417" s="11"/>
      <c r="BJ417" s="11"/>
      <c r="BK417" s="11"/>
      <c r="BL417" s="11"/>
      <c r="BM417" s="11"/>
      <c r="BN417" s="11"/>
    </row>
    <row r="418" spans="1:66">
      <c r="A418" s="11"/>
      <c r="B418" s="11"/>
      <c r="C418" s="11"/>
      <c r="D418" s="11"/>
      <c r="E418" s="11"/>
      <c r="F418" s="11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  <c r="AA418" s="11"/>
      <c r="AB418" s="11"/>
      <c r="AC418" s="11"/>
      <c r="AD418" s="11"/>
      <c r="AE418" s="11"/>
      <c r="AF418" s="11"/>
      <c r="AG418" s="11"/>
      <c r="AH418" s="11"/>
      <c r="AI418" s="11"/>
      <c r="AJ418" s="11"/>
      <c r="AK418" s="11"/>
      <c r="AL418" s="11"/>
      <c r="AM418" s="11"/>
      <c r="AN418" s="11"/>
      <c r="AO418" s="11"/>
      <c r="AP418" s="11"/>
      <c r="AQ418" s="11"/>
      <c r="AR418" s="11"/>
      <c r="AS418" s="11"/>
      <c r="AT418" s="11"/>
      <c r="AU418" s="11"/>
      <c r="AV418" s="11"/>
      <c r="AW418" s="11"/>
      <c r="AX418" s="11"/>
      <c r="AY418" s="11"/>
      <c r="AZ418" s="11"/>
      <c r="BA418" s="11"/>
      <c r="BB418" s="11"/>
      <c r="BC418" s="11"/>
      <c r="BD418" s="11"/>
      <c r="BE418" s="11"/>
      <c r="BF418" s="11"/>
      <c r="BG418" s="11"/>
      <c r="BH418" s="11"/>
      <c r="BI418" s="11"/>
      <c r="BJ418" s="11"/>
      <c r="BK418" s="11"/>
      <c r="BL418" s="11"/>
      <c r="BM418" s="11"/>
      <c r="BN418" s="11"/>
    </row>
    <row r="419" spans="1:66">
      <c r="A419" s="11"/>
      <c r="B419" s="11"/>
      <c r="C419" s="11"/>
      <c r="D419" s="11"/>
      <c r="E419" s="11"/>
      <c r="F419" s="11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  <c r="AA419" s="11"/>
      <c r="AB419" s="11"/>
      <c r="AC419" s="11"/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  <c r="AN419" s="11"/>
      <c r="AO419" s="11"/>
      <c r="AP419" s="11"/>
      <c r="AQ419" s="11"/>
      <c r="AR419" s="11"/>
      <c r="AS419" s="11"/>
      <c r="AT419" s="11"/>
      <c r="AU419" s="11"/>
      <c r="AV419" s="11"/>
      <c r="AW419" s="11"/>
      <c r="AX419" s="11"/>
      <c r="AY419" s="11"/>
      <c r="AZ419" s="11"/>
      <c r="BA419" s="11"/>
      <c r="BB419" s="11"/>
      <c r="BC419" s="11"/>
      <c r="BD419" s="11"/>
      <c r="BE419" s="11"/>
      <c r="BF419" s="11"/>
      <c r="BG419" s="11"/>
      <c r="BH419" s="11"/>
      <c r="BI419" s="11"/>
      <c r="BJ419" s="11"/>
      <c r="BK419" s="11"/>
      <c r="BL419" s="11"/>
      <c r="BM419" s="11"/>
      <c r="BN419" s="11"/>
    </row>
    <row r="420" spans="1:66">
      <c r="A420" s="11"/>
      <c r="B420" s="11"/>
      <c r="C420" s="11"/>
      <c r="D420" s="11"/>
      <c r="E420" s="11"/>
      <c r="F420" s="11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  <c r="AA420" s="11"/>
      <c r="AB420" s="11"/>
      <c r="AC420" s="11"/>
      <c r="AD420" s="11"/>
      <c r="AE420" s="11"/>
      <c r="AF420" s="11"/>
      <c r="AG420" s="11"/>
      <c r="AH420" s="11"/>
      <c r="AI420" s="11"/>
      <c r="AJ420" s="11"/>
      <c r="AK420" s="11"/>
      <c r="AL420" s="11"/>
      <c r="AM420" s="11"/>
      <c r="AN420" s="11"/>
      <c r="AO420" s="11"/>
      <c r="AP420" s="11"/>
      <c r="AQ420" s="11"/>
      <c r="AR420" s="11"/>
      <c r="AS420" s="11"/>
      <c r="AT420" s="11"/>
      <c r="AU420" s="11"/>
      <c r="AV420" s="11"/>
      <c r="AW420" s="11"/>
      <c r="AX420" s="11"/>
      <c r="AY420" s="11"/>
      <c r="AZ420" s="11"/>
      <c r="BA420" s="11"/>
      <c r="BB420" s="11"/>
      <c r="BC420" s="11"/>
      <c r="BD420" s="11"/>
      <c r="BE420" s="11"/>
      <c r="BF420" s="11"/>
      <c r="BG420" s="11"/>
      <c r="BH420" s="11"/>
      <c r="BI420" s="11"/>
      <c r="BJ420" s="11"/>
      <c r="BK420" s="11"/>
      <c r="BL420" s="11"/>
      <c r="BM420" s="11"/>
      <c r="BN420" s="11"/>
    </row>
    <row r="421" spans="1:66">
      <c r="A421" s="11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11"/>
      <c r="AE421" s="11"/>
      <c r="AF421" s="11"/>
      <c r="AG421" s="11"/>
      <c r="AH421" s="11"/>
      <c r="AI421" s="11"/>
      <c r="AJ421" s="11"/>
      <c r="AK421" s="11"/>
      <c r="AL421" s="11"/>
      <c r="AM421" s="11"/>
      <c r="AN421" s="11"/>
      <c r="AO421" s="11"/>
      <c r="AP421" s="11"/>
      <c r="AQ421" s="11"/>
      <c r="AR421" s="11"/>
      <c r="AS421" s="11"/>
      <c r="AT421" s="11"/>
      <c r="AU421" s="11"/>
      <c r="AV421" s="11"/>
      <c r="AW421" s="11"/>
      <c r="AX421" s="11"/>
      <c r="AY421" s="11"/>
      <c r="AZ421" s="11"/>
      <c r="BA421" s="11"/>
      <c r="BB421" s="11"/>
      <c r="BC421" s="11"/>
      <c r="BD421" s="11"/>
      <c r="BE421" s="11"/>
      <c r="BF421" s="11"/>
      <c r="BG421" s="11"/>
      <c r="BH421" s="11"/>
      <c r="BI421" s="11"/>
      <c r="BJ421" s="11"/>
      <c r="BK421" s="11"/>
      <c r="BL421" s="11"/>
      <c r="BM421" s="11"/>
      <c r="BN421" s="11"/>
    </row>
    <row r="422" spans="1:66">
      <c r="A422" s="11"/>
      <c r="B422" s="11"/>
      <c r="C422" s="11"/>
      <c r="D422" s="11"/>
      <c r="E422" s="11"/>
      <c r="F422" s="11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  <c r="AA422" s="11"/>
      <c r="AB422" s="11"/>
      <c r="AC422" s="11"/>
      <c r="AD422" s="11"/>
      <c r="AE422" s="11"/>
      <c r="AF422" s="11"/>
      <c r="AG422" s="11"/>
      <c r="AH422" s="11"/>
      <c r="AI422" s="11"/>
      <c r="AJ422" s="11"/>
      <c r="AK422" s="11"/>
      <c r="AL422" s="11"/>
      <c r="AM422" s="11"/>
      <c r="AN422" s="11"/>
      <c r="AO422" s="11"/>
      <c r="AP422" s="11"/>
      <c r="AQ422" s="11"/>
      <c r="AR422" s="11"/>
      <c r="AS422" s="11"/>
      <c r="AT422" s="11"/>
      <c r="AU422" s="11"/>
      <c r="AV422" s="11"/>
      <c r="AW422" s="11"/>
      <c r="AX422" s="11"/>
      <c r="AY422" s="11"/>
      <c r="AZ422" s="11"/>
      <c r="BA422" s="11"/>
      <c r="BB422" s="11"/>
      <c r="BC422" s="11"/>
      <c r="BD422" s="11"/>
      <c r="BE422" s="11"/>
      <c r="BF422" s="11"/>
      <c r="BG422" s="11"/>
      <c r="BH422" s="11"/>
      <c r="BI422" s="11"/>
      <c r="BJ422" s="11"/>
      <c r="BK422" s="11"/>
      <c r="BL422" s="11"/>
      <c r="BM422" s="11"/>
      <c r="BN422" s="11"/>
    </row>
    <row r="423" spans="1:66">
      <c r="A423" s="11"/>
      <c r="B423" s="11"/>
      <c r="C423" s="11"/>
      <c r="D423" s="11"/>
      <c r="E423" s="11"/>
      <c r="F423" s="11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  <c r="BC423" s="11"/>
      <c r="BD423" s="11"/>
      <c r="BE423" s="11"/>
      <c r="BF423" s="11"/>
      <c r="BG423" s="11"/>
      <c r="BH423" s="11"/>
      <c r="BI423" s="11"/>
      <c r="BJ423" s="11"/>
      <c r="BK423" s="11"/>
      <c r="BL423" s="11"/>
      <c r="BM423" s="11"/>
      <c r="BN423" s="11"/>
    </row>
    <row r="424" spans="1:66">
      <c r="A424" s="11"/>
      <c r="B424" s="11"/>
      <c r="C424" s="11"/>
      <c r="D424" s="11"/>
      <c r="E424" s="11"/>
      <c r="F424" s="11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  <c r="AA424" s="11"/>
      <c r="AB424" s="11"/>
      <c r="AC424" s="11"/>
      <c r="AD424" s="11"/>
      <c r="AE424" s="11"/>
      <c r="AF424" s="11"/>
      <c r="AG424" s="11"/>
      <c r="AH424" s="11"/>
      <c r="AI424" s="11"/>
      <c r="AJ424" s="11"/>
      <c r="AK424" s="11"/>
      <c r="AL424" s="11"/>
      <c r="AM424" s="11"/>
      <c r="AN424" s="11"/>
      <c r="AO424" s="11"/>
      <c r="AP424" s="11"/>
      <c r="AQ424" s="11"/>
      <c r="AR424" s="11"/>
      <c r="AS424" s="11"/>
      <c r="AT424" s="11"/>
      <c r="AU424" s="11"/>
      <c r="AV424" s="11"/>
      <c r="AW424" s="11"/>
      <c r="AX424" s="11"/>
      <c r="AY424" s="11"/>
      <c r="AZ424" s="11"/>
      <c r="BA424" s="11"/>
      <c r="BB424" s="11"/>
      <c r="BC424" s="11"/>
      <c r="BD424" s="11"/>
      <c r="BE424" s="11"/>
      <c r="BF424" s="11"/>
      <c r="BG424" s="11"/>
      <c r="BH424" s="11"/>
      <c r="BI424" s="11"/>
      <c r="BJ424" s="11"/>
      <c r="BK424" s="11"/>
      <c r="BL424" s="11"/>
      <c r="BM424" s="11"/>
      <c r="BN424" s="11"/>
    </row>
    <row r="425" spans="1:66">
      <c r="A425" s="11"/>
      <c r="B425" s="11"/>
      <c r="C425" s="11"/>
      <c r="D425" s="11"/>
      <c r="E425" s="11"/>
      <c r="F425" s="11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Y425" s="11"/>
      <c r="Z425" s="11"/>
      <c r="AA425" s="11"/>
      <c r="AB425" s="11"/>
      <c r="AC425" s="11"/>
      <c r="AD425" s="11"/>
      <c r="AE425" s="11"/>
      <c r="AF425" s="11"/>
      <c r="AG425" s="11"/>
      <c r="AH425" s="11"/>
      <c r="AI425" s="11"/>
      <c r="AJ425" s="11"/>
      <c r="AK425" s="11"/>
      <c r="AL425" s="11"/>
      <c r="AM425" s="11"/>
      <c r="AN425" s="11"/>
      <c r="AO425" s="11"/>
      <c r="AP425" s="11"/>
      <c r="AQ425" s="11"/>
      <c r="AR425" s="11"/>
      <c r="AS425" s="11"/>
      <c r="AT425" s="11"/>
      <c r="AU425" s="11"/>
      <c r="AV425" s="11"/>
      <c r="AW425" s="11"/>
      <c r="AX425" s="11"/>
      <c r="AY425" s="11"/>
      <c r="AZ425" s="11"/>
      <c r="BA425" s="11"/>
      <c r="BB425" s="11"/>
      <c r="BC425" s="11"/>
      <c r="BD425" s="11"/>
      <c r="BE425" s="11"/>
      <c r="BF425" s="11"/>
      <c r="BG425" s="11"/>
      <c r="BH425" s="11"/>
      <c r="BI425" s="11"/>
      <c r="BJ425" s="11"/>
      <c r="BK425" s="11"/>
      <c r="BL425" s="11"/>
      <c r="BM425" s="11"/>
      <c r="BN425" s="11"/>
    </row>
    <row r="426" spans="1:66">
      <c r="A426" s="11"/>
      <c r="B426" s="11"/>
      <c r="C426" s="11"/>
      <c r="D426" s="11"/>
      <c r="E426" s="11"/>
      <c r="F426" s="11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11"/>
      <c r="Y426" s="11"/>
      <c r="Z426" s="11"/>
      <c r="AA426" s="11"/>
      <c r="AB426" s="11"/>
      <c r="AC426" s="11"/>
      <c r="AD426" s="11"/>
      <c r="AE426" s="11"/>
      <c r="AF426" s="11"/>
      <c r="AG426" s="11"/>
      <c r="AH426" s="11"/>
      <c r="AI426" s="11"/>
      <c r="AJ426" s="11"/>
      <c r="AK426" s="11"/>
      <c r="AL426" s="11"/>
      <c r="AM426" s="11"/>
      <c r="AN426" s="11"/>
      <c r="AO426" s="11"/>
      <c r="AP426" s="11"/>
      <c r="AQ426" s="11"/>
      <c r="AR426" s="11"/>
      <c r="AS426" s="11"/>
      <c r="AT426" s="11"/>
      <c r="AU426" s="11"/>
      <c r="AV426" s="11"/>
      <c r="AW426" s="11"/>
      <c r="AX426" s="11"/>
      <c r="AY426" s="11"/>
      <c r="AZ426" s="11"/>
      <c r="BA426" s="11"/>
      <c r="BB426" s="11"/>
      <c r="BC426" s="11"/>
      <c r="BD426" s="11"/>
      <c r="BE426" s="11"/>
      <c r="BF426" s="11"/>
      <c r="BG426" s="11"/>
      <c r="BH426" s="11"/>
      <c r="BI426" s="11"/>
      <c r="BJ426" s="11"/>
      <c r="BK426" s="11"/>
      <c r="BL426" s="11"/>
      <c r="BM426" s="11"/>
      <c r="BN426" s="11"/>
    </row>
    <row r="427" spans="1:66">
      <c r="A427" s="11"/>
      <c r="B427" s="11"/>
      <c r="C427" s="11"/>
      <c r="D427" s="11"/>
      <c r="E427" s="11"/>
      <c r="F427" s="11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  <c r="AA427" s="11"/>
      <c r="AB427" s="11"/>
      <c r="AC427" s="11"/>
      <c r="AD427" s="11"/>
      <c r="AE427" s="11"/>
      <c r="AF427" s="11"/>
      <c r="AG427" s="11"/>
      <c r="AH427" s="11"/>
      <c r="AI427" s="11"/>
      <c r="AJ427" s="11"/>
      <c r="AK427" s="11"/>
      <c r="AL427" s="11"/>
      <c r="AM427" s="11"/>
      <c r="AN427" s="11"/>
      <c r="AO427" s="11"/>
      <c r="AP427" s="11"/>
      <c r="AQ427" s="11"/>
      <c r="AR427" s="11"/>
      <c r="AS427" s="11"/>
      <c r="AT427" s="11"/>
      <c r="AU427" s="11"/>
      <c r="AV427" s="11"/>
      <c r="AW427" s="11"/>
      <c r="AX427" s="11"/>
      <c r="AY427" s="11"/>
      <c r="AZ427" s="11"/>
      <c r="BA427" s="11"/>
      <c r="BB427" s="11"/>
      <c r="BC427" s="11"/>
      <c r="BD427" s="11"/>
      <c r="BE427" s="11"/>
      <c r="BF427" s="11"/>
      <c r="BG427" s="11"/>
      <c r="BH427" s="11"/>
      <c r="BI427" s="11"/>
      <c r="BJ427" s="11"/>
      <c r="BK427" s="11"/>
      <c r="BL427" s="11"/>
      <c r="BM427" s="11"/>
      <c r="BN427" s="11"/>
    </row>
    <row r="428" spans="1:66">
      <c r="A428" s="11"/>
      <c r="B428" s="11"/>
      <c r="C428" s="11"/>
      <c r="D428" s="11"/>
      <c r="E428" s="11"/>
      <c r="F428" s="11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  <c r="AA428" s="11"/>
      <c r="AB428" s="11"/>
      <c r="AC428" s="11"/>
      <c r="AD428" s="11"/>
      <c r="AE428" s="11"/>
      <c r="AF428" s="11"/>
      <c r="AG428" s="11"/>
      <c r="AH428" s="11"/>
      <c r="AI428" s="11"/>
      <c r="AJ428" s="11"/>
      <c r="AK428" s="11"/>
      <c r="AL428" s="11"/>
      <c r="AM428" s="11"/>
      <c r="AN428" s="11"/>
      <c r="AO428" s="11"/>
      <c r="AP428" s="11"/>
      <c r="AQ428" s="11"/>
      <c r="AR428" s="11"/>
      <c r="AS428" s="11"/>
      <c r="AT428" s="11"/>
      <c r="AU428" s="11"/>
      <c r="AV428" s="11"/>
      <c r="AW428" s="11"/>
      <c r="AX428" s="11"/>
      <c r="AY428" s="11"/>
      <c r="AZ428" s="11"/>
      <c r="BA428" s="11"/>
      <c r="BB428" s="11"/>
      <c r="BC428" s="11"/>
      <c r="BD428" s="11"/>
      <c r="BE428" s="11"/>
      <c r="BF428" s="11"/>
      <c r="BG428" s="11"/>
      <c r="BH428" s="11"/>
      <c r="BI428" s="11"/>
      <c r="BJ428" s="11"/>
      <c r="BK428" s="11"/>
      <c r="BL428" s="11"/>
      <c r="BM428" s="11"/>
      <c r="BN428" s="11"/>
    </row>
    <row r="429" spans="1:66">
      <c r="A429" s="11"/>
      <c r="B429" s="11"/>
      <c r="C429" s="11"/>
      <c r="D429" s="11"/>
      <c r="E429" s="11"/>
      <c r="F429" s="11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  <c r="AA429" s="11"/>
      <c r="AB429" s="11"/>
      <c r="AC429" s="11"/>
      <c r="AD429" s="11"/>
      <c r="AE429" s="11"/>
      <c r="AF429" s="11"/>
      <c r="AG429" s="11"/>
      <c r="AH429" s="11"/>
      <c r="AI429" s="11"/>
      <c r="AJ429" s="11"/>
      <c r="AK429" s="11"/>
      <c r="AL429" s="11"/>
      <c r="AM429" s="11"/>
      <c r="AN429" s="11"/>
      <c r="AO429" s="11"/>
      <c r="AP429" s="11"/>
      <c r="AQ429" s="11"/>
      <c r="AR429" s="11"/>
      <c r="AS429" s="11"/>
      <c r="AT429" s="11"/>
      <c r="AU429" s="11"/>
      <c r="AV429" s="11"/>
      <c r="AW429" s="11"/>
      <c r="AX429" s="11"/>
      <c r="AY429" s="11"/>
      <c r="AZ429" s="11"/>
      <c r="BA429" s="11"/>
      <c r="BB429" s="11"/>
      <c r="BC429" s="11"/>
      <c r="BD429" s="11"/>
      <c r="BE429" s="11"/>
      <c r="BF429" s="11"/>
      <c r="BG429" s="11"/>
      <c r="BH429" s="11"/>
      <c r="BI429" s="11"/>
      <c r="BJ429" s="11"/>
      <c r="BK429" s="11"/>
      <c r="BL429" s="11"/>
      <c r="BM429" s="11"/>
      <c r="BN429" s="11"/>
    </row>
    <row r="430" spans="1:66">
      <c r="A430" s="11"/>
      <c r="B430" s="11"/>
      <c r="C430" s="11"/>
      <c r="D430" s="11"/>
      <c r="E430" s="11"/>
      <c r="F430" s="11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  <c r="AA430" s="11"/>
      <c r="AB430" s="11"/>
      <c r="AC430" s="11"/>
      <c r="AD430" s="11"/>
      <c r="AE430" s="11"/>
      <c r="AF430" s="11"/>
      <c r="AG430" s="11"/>
      <c r="AH430" s="11"/>
      <c r="AI430" s="11"/>
      <c r="AJ430" s="11"/>
      <c r="AK430" s="11"/>
      <c r="AL430" s="11"/>
      <c r="AM430" s="11"/>
      <c r="AN430" s="11"/>
      <c r="AO430" s="11"/>
      <c r="AP430" s="11"/>
      <c r="AQ430" s="11"/>
      <c r="AR430" s="11"/>
      <c r="AS430" s="11"/>
      <c r="AT430" s="11"/>
      <c r="AU430" s="11"/>
      <c r="AV430" s="11"/>
      <c r="AW430" s="11"/>
      <c r="AX430" s="11"/>
      <c r="AY430" s="11"/>
      <c r="AZ430" s="11"/>
      <c r="BA430" s="11"/>
      <c r="BB430" s="11"/>
      <c r="BC430" s="11"/>
      <c r="BD430" s="11"/>
      <c r="BE430" s="11"/>
      <c r="BF430" s="11"/>
      <c r="BG430" s="11"/>
      <c r="BH430" s="11"/>
      <c r="BI430" s="11"/>
      <c r="BJ430" s="11"/>
      <c r="BK430" s="11"/>
      <c r="BL430" s="11"/>
      <c r="BM430" s="11"/>
      <c r="BN430" s="11"/>
    </row>
    <row r="431" spans="1:66">
      <c r="A431" s="11"/>
      <c r="B431" s="11"/>
      <c r="C431" s="11"/>
      <c r="D431" s="11"/>
      <c r="E431" s="11"/>
      <c r="F431" s="11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  <c r="AA431" s="11"/>
      <c r="AB431" s="11"/>
      <c r="AC431" s="11"/>
      <c r="AD431" s="11"/>
      <c r="AE431" s="11"/>
      <c r="AF431" s="11"/>
      <c r="AG431" s="11"/>
      <c r="AH431" s="11"/>
      <c r="AI431" s="11"/>
      <c r="AJ431" s="11"/>
      <c r="AK431" s="11"/>
      <c r="AL431" s="11"/>
      <c r="AM431" s="11"/>
      <c r="AN431" s="11"/>
      <c r="AO431" s="11"/>
      <c r="AP431" s="11"/>
      <c r="AQ431" s="11"/>
      <c r="AR431" s="11"/>
      <c r="AS431" s="11"/>
      <c r="AT431" s="11"/>
      <c r="AU431" s="11"/>
      <c r="AV431" s="11"/>
      <c r="AW431" s="11"/>
      <c r="AX431" s="11"/>
      <c r="AY431" s="11"/>
      <c r="AZ431" s="11"/>
      <c r="BA431" s="11"/>
      <c r="BB431" s="11"/>
      <c r="BC431" s="11"/>
      <c r="BD431" s="11"/>
      <c r="BE431" s="11"/>
      <c r="BF431" s="11"/>
      <c r="BG431" s="11"/>
      <c r="BH431" s="11"/>
      <c r="BI431" s="11"/>
      <c r="BJ431" s="11"/>
      <c r="BK431" s="11"/>
      <c r="BL431" s="11"/>
      <c r="BM431" s="11"/>
      <c r="BN431" s="11"/>
    </row>
    <row r="432" spans="1:66">
      <c r="A432" s="11"/>
      <c r="B432" s="11"/>
      <c r="C432" s="11"/>
      <c r="D432" s="11"/>
      <c r="E432" s="11"/>
      <c r="F432" s="11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  <c r="AA432" s="11"/>
      <c r="AB432" s="11"/>
      <c r="AC432" s="11"/>
      <c r="AD432" s="11"/>
      <c r="AE432" s="11"/>
      <c r="AF432" s="11"/>
      <c r="AG432" s="11"/>
      <c r="AH432" s="11"/>
      <c r="AI432" s="11"/>
      <c r="AJ432" s="11"/>
      <c r="AK432" s="11"/>
      <c r="AL432" s="11"/>
      <c r="AM432" s="11"/>
      <c r="AN432" s="11"/>
      <c r="AO432" s="11"/>
      <c r="AP432" s="11"/>
      <c r="AQ432" s="11"/>
      <c r="AR432" s="11"/>
      <c r="AS432" s="11"/>
      <c r="AT432" s="11"/>
      <c r="AU432" s="11"/>
      <c r="AV432" s="11"/>
      <c r="AW432" s="11"/>
      <c r="AX432" s="11"/>
      <c r="AY432" s="11"/>
      <c r="AZ432" s="11"/>
      <c r="BA432" s="11"/>
      <c r="BB432" s="11"/>
      <c r="BC432" s="11"/>
      <c r="BD432" s="11"/>
      <c r="BE432" s="11"/>
      <c r="BF432" s="11"/>
      <c r="BG432" s="11"/>
      <c r="BH432" s="11"/>
      <c r="BI432" s="11"/>
      <c r="BJ432" s="11"/>
      <c r="BK432" s="11"/>
      <c r="BL432" s="11"/>
      <c r="BM432" s="11"/>
      <c r="BN432" s="11"/>
    </row>
    <row r="433" spans="1:66">
      <c r="A433" s="11"/>
      <c r="B433" s="11"/>
      <c r="C433" s="11"/>
      <c r="D433" s="11"/>
      <c r="E433" s="11"/>
      <c r="F433" s="11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  <c r="AA433" s="11"/>
      <c r="AB433" s="11"/>
      <c r="AC433" s="11"/>
      <c r="AD433" s="11"/>
      <c r="AE433" s="11"/>
      <c r="AF433" s="11"/>
      <c r="AG433" s="11"/>
      <c r="AH433" s="11"/>
      <c r="AI433" s="11"/>
      <c r="AJ433" s="11"/>
      <c r="AK433" s="11"/>
      <c r="AL433" s="11"/>
      <c r="AM433" s="11"/>
      <c r="AN433" s="11"/>
      <c r="AO433" s="11"/>
      <c r="AP433" s="11"/>
      <c r="AQ433" s="11"/>
      <c r="AR433" s="11"/>
      <c r="AS433" s="11"/>
      <c r="AT433" s="11"/>
      <c r="AU433" s="11"/>
      <c r="AV433" s="11"/>
      <c r="AW433" s="11"/>
      <c r="AX433" s="11"/>
      <c r="AY433" s="11"/>
      <c r="AZ433" s="11"/>
      <c r="BA433" s="11"/>
      <c r="BB433" s="11"/>
      <c r="BC433" s="11"/>
      <c r="BD433" s="11"/>
      <c r="BE433" s="11"/>
      <c r="BF433" s="11"/>
      <c r="BG433" s="11"/>
      <c r="BH433" s="11"/>
      <c r="BI433" s="11"/>
      <c r="BJ433" s="11"/>
      <c r="BK433" s="11"/>
      <c r="BL433" s="11"/>
      <c r="BM433" s="11"/>
      <c r="BN433" s="11"/>
    </row>
    <row r="434" spans="1:66">
      <c r="A434" s="11"/>
      <c r="B434" s="11"/>
      <c r="C434" s="11"/>
      <c r="D434" s="11"/>
      <c r="E434" s="11"/>
      <c r="F434" s="11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  <c r="AA434" s="11"/>
      <c r="AB434" s="11"/>
      <c r="AC434" s="11"/>
      <c r="AD434" s="11"/>
      <c r="AE434" s="11"/>
      <c r="AF434" s="11"/>
      <c r="AG434" s="11"/>
      <c r="AH434" s="11"/>
      <c r="AI434" s="11"/>
      <c r="AJ434" s="11"/>
      <c r="AK434" s="11"/>
      <c r="AL434" s="11"/>
      <c r="AM434" s="11"/>
      <c r="AN434" s="11"/>
      <c r="AO434" s="11"/>
      <c r="AP434" s="11"/>
      <c r="AQ434" s="11"/>
      <c r="AR434" s="11"/>
      <c r="AS434" s="11"/>
      <c r="AT434" s="11"/>
      <c r="AU434" s="11"/>
      <c r="AV434" s="11"/>
      <c r="AW434" s="11"/>
      <c r="AX434" s="11"/>
      <c r="AY434" s="11"/>
      <c r="AZ434" s="11"/>
      <c r="BA434" s="11"/>
      <c r="BB434" s="11"/>
      <c r="BC434" s="11"/>
      <c r="BD434" s="11"/>
      <c r="BE434" s="11"/>
      <c r="BF434" s="11"/>
      <c r="BG434" s="11"/>
      <c r="BH434" s="11"/>
      <c r="BI434" s="11"/>
      <c r="BJ434" s="11"/>
      <c r="BK434" s="11"/>
      <c r="BL434" s="11"/>
      <c r="BM434" s="11"/>
      <c r="BN434" s="11"/>
    </row>
    <row r="435" spans="1:66">
      <c r="A435" s="11"/>
      <c r="B435" s="11"/>
      <c r="C435" s="11"/>
      <c r="D435" s="11"/>
      <c r="E435" s="11"/>
      <c r="F435" s="11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  <c r="AA435" s="11"/>
      <c r="AB435" s="11"/>
      <c r="AC435" s="11"/>
      <c r="AD435" s="11"/>
      <c r="AE435" s="11"/>
      <c r="AF435" s="11"/>
      <c r="AG435" s="11"/>
      <c r="AH435" s="11"/>
      <c r="AI435" s="11"/>
      <c r="AJ435" s="11"/>
      <c r="AK435" s="11"/>
      <c r="AL435" s="11"/>
      <c r="AM435" s="11"/>
      <c r="AN435" s="11"/>
      <c r="AO435" s="11"/>
      <c r="AP435" s="11"/>
      <c r="AQ435" s="11"/>
      <c r="AR435" s="11"/>
      <c r="AS435" s="11"/>
      <c r="AT435" s="11"/>
      <c r="AU435" s="11"/>
      <c r="AV435" s="11"/>
      <c r="AW435" s="11"/>
      <c r="AX435" s="11"/>
      <c r="AY435" s="11"/>
      <c r="AZ435" s="11"/>
      <c r="BA435" s="11"/>
      <c r="BB435" s="11"/>
      <c r="BC435" s="11"/>
      <c r="BD435" s="11"/>
      <c r="BE435" s="11"/>
      <c r="BF435" s="11"/>
      <c r="BG435" s="11"/>
      <c r="BH435" s="11"/>
      <c r="BI435" s="11"/>
      <c r="BJ435" s="11"/>
      <c r="BK435" s="11"/>
      <c r="BL435" s="11"/>
      <c r="BM435" s="11"/>
      <c r="BN435" s="11"/>
    </row>
    <row r="436" spans="1:66">
      <c r="A436" s="11"/>
      <c r="B436" s="11"/>
      <c r="C436" s="11"/>
      <c r="D436" s="11"/>
      <c r="E436" s="11"/>
      <c r="F436" s="11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  <c r="AA436" s="11"/>
      <c r="AB436" s="11"/>
      <c r="AC436" s="11"/>
      <c r="AD436" s="11"/>
      <c r="AE436" s="11"/>
      <c r="AF436" s="11"/>
      <c r="AG436" s="11"/>
      <c r="AH436" s="11"/>
      <c r="AI436" s="11"/>
      <c r="AJ436" s="11"/>
      <c r="AK436" s="11"/>
      <c r="AL436" s="11"/>
      <c r="AM436" s="11"/>
      <c r="AN436" s="11"/>
      <c r="AO436" s="11"/>
      <c r="AP436" s="11"/>
      <c r="AQ436" s="11"/>
      <c r="AR436" s="11"/>
      <c r="AS436" s="11"/>
      <c r="AT436" s="11"/>
      <c r="AU436" s="11"/>
      <c r="AV436" s="11"/>
      <c r="AW436" s="11"/>
      <c r="AX436" s="11"/>
      <c r="AY436" s="11"/>
      <c r="AZ436" s="11"/>
      <c r="BA436" s="11"/>
      <c r="BB436" s="11"/>
      <c r="BC436" s="11"/>
      <c r="BD436" s="11"/>
      <c r="BE436" s="11"/>
      <c r="BF436" s="11"/>
      <c r="BG436" s="11"/>
      <c r="BH436" s="11"/>
      <c r="BI436" s="11"/>
      <c r="BJ436" s="11"/>
      <c r="BK436" s="11"/>
      <c r="BL436" s="11"/>
      <c r="BM436" s="11"/>
      <c r="BN436" s="11"/>
    </row>
    <row r="437" spans="1:66">
      <c r="A437" s="11"/>
      <c r="B437" s="11"/>
      <c r="C437" s="11"/>
      <c r="D437" s="11"/>
      <c r="E437" s="11"/>
      <c r="F437" s="11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11"/>
      <c r="Y437" s="11"/>
      <c r="Z437" s="11"/>
      <c r="AA437" s="11"/>
      <c r="AB437" s="11"/>
      <c r="AC437" s="11"/>
      <c r="AD437" s="11"/>
      <c r="AE437" s="11"/>
      <c r="AF437" s="11"/>
      <c r="AG437" s="11"/>
      <c r="AH437" s="11"/>
      <c r="AI437" s="11"/>
      <c r="AJ437" s="11"/>
      <c r="AK437" s="11"/>
      <c r="AL437" s="11"/>
      <c r="AM437" s="11"/>
      <c r="AN437" s="11"/>
      <c r="AO437" s="11"/>
      <c r="AP437" s="11"/>
      <c r="AQ437" s="11"/>
      <c r="AR437" s="11"/>
      <c r="AS437" s="11"/>
      <c r="AT437" s="11"/>
      <c r="AU437" s="11"/>
      <c r="AV437" s="11"/>
      <c r="AW437" s="11"/>
      <c r="AX437" s="11"/>
      <c r="AY437" s="11"/>
      <c r="AZ437" s="11"/>
      <c r="BA437" s="11"/>
      <c r="BB437" s="11"/>
      <c r="BC437" s="11"/>
      <c r="BD437" s="11"/>
      <c r="BE437" s="11"/>
      <c r="BF437" s="11"/>
      <c r="BG437" s="11"/>
      <c r="BH437" s="11"/>
      <c r="BI437" s="11"/>
      <c r="BJ437" s="11"/>
      <c r="BK437" s="11"/>
      <c r="BL437" s="11"/>
      <c r="BM437" s="11"/>
      <c r="BN437" s="11"/>
    </row>
    <row r="438" spans="1:66">
      <c r="A438" s="11"/>
      <c r="B438" s="11"/>
      <c r="C438" s="11"/>
      <c r="D438" s="11"/>
      <c r="E438" s="11"/>
      <c r="F438" s="11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/>
      <c r="AA438" s="11"/>
      <c r="AB438" s="11"/>
      <c r="AC438" s="11"/>
      <c r="AD438" s="11"/>
      <c r="AE438" s="11"/>
      <c r="AF438" s="11"/>
      <c r="AG438" s="11"/>
      <c r="AH438" s="11"/>
      <c r="AI438" s="11"/>
      <c r="AJ438" s="11"/>
      <c r="AK438" s="11"/>
      <c r="AL438" s="11"/>
      <c r="AM438" s="11"/>
      <c r="AN438" s="11"/>
      <c r="AO438" s="11"/>
      <c r="AP438" s="11"/>
      <c r="AQ438" s="11"/>
      <c r="AR438" s="11"/>
      <c r="AS438" s="11"/>
      <c r="AT438" s="11"/>
      <c r="AU438" s="11"/>
      <c r="AV438" s="11"/>
      <c r="AW438" s="11"/>
      <c r="AX438" s="11"/>
      <c r="AY438" s="11"/>
      <c r="AZ438" s="11"/>
      <c r="BA438" s="11"/>
      <c r="BB438" s="11"/>
      <c r="BC438" s="11"/>
      <c r="BD438" s="11"/>
      <c r="BE438" s="11"/>
      <c r="BF438" s="11"/>
      <c r="BG438" s="11"/>
      <c r="BH438" s="11"/>
      <c r="BI438" s="11"/>
      <c r="BJ438" s="11"/>
      <c r="BK438" s="11"/>
      <c r="BL438" s="11"/>
      <c r="BM438" s="11"/>
      <c r="BN438" s="11"/>
    </row>
    <row r="439" spans="1:66">
      <c r="A439" s="11"/>
      <c r="B439" s="11"/>
      <c r="C439" s="11"/>
      <c r="D439" s="11"/>
      <c r="E439" s="11"/>
      <c r="F439" s="11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Y439" s="11"/>
      <c r="Z439" s="11"/>
      <c r="AA439" s="11"/>
      <c r="AB439" s="11"/>
      <c r="AC439" s="11"/>
      <c r="AD439" s="11"/>
      <c r="AE439" s="11"/>
      <c r="AF439" s="11"/>
      <c r="AG439" s="11"/>
      <c r="AH439" s="11"/>
      <c r="AI439" s="11"/>
      <c r="AJ439" s="11"/>
      <c r="AK439" s="11"/>
      <c r="AL439" s="11"/>
      <c r="AM439" s="11"/>
      <c r="AN439" s="11"/>
      <c r="AO439" s="11"/>
      <c r="AP439" s="11"/>
      <c r="AQ439" s="11"/>
      <c r="AR439" s="11"/>
      <c r="AS439" s="11"/>
      <c r="AT439" s="11"/>
      <c r="AU439" s="11"/>
      <c r="AV439" s="11"/>
      <c r="AW439" s="11"/>
      <c r="AX439" s="11"/>
      <c r="AY439" s="11"/>
      <c r="AZ439" s="11"/>
      <c r="BA439" s="11"/>
      <c r="BB439" s="11"/>
      <c r="BC439" s="11"/>
      <c r="BD439" s="11"/>
      <c r="BE439" s="11"/>
      <c r="BF439" s="11"/>
      <c r="BG439" s="11"/>
      <c r="BH439" s="11"/>
      <c r="BI439" s="11"/>
      <c r="BJ439" s="11"/>
      <c r="BK439" s="11"/>
      <c r="BL439" s="11"/>
      <c r="BM439" s="11"/>
      <c r="BN439" s="11"/>
    </row>
    <row r="440" spans="1:66">
      <c r="A440" s="11"/>
      <c r="B440" s="11"/>
      <c r="C440" s="11"/>
      <c r="D440" s="11"/>
      <c r="E440" s="11"/>
      <c r="F440" s="11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  <c r="AA440" s="11"/>
      <c r="AB440" s="11"/>
      <c r="AC440" s="11"/>
      <c r="AD440" s="11"/>
      <c r="AE440" s="11"/>
      <c r="AF440" s="11"/>
      <c r="AG440" s="11"/>
      <c r="AH440" s="11"/>
      <c r="AI440" s="11"/>
      <c r="AJ440" s="11"/>
      <c r="AK440" s="11"/>
      <c r="AL440" s="11"/>
      <c r="AM440" s="11"/>
      <c r="AN440" s="11"/>
      <c r="AO440" s="11"/>
      <c r="AP440" s="11"/>
      <c r="AQ440" s="11"/>
      <c r="AR440" s="11"/>
      <c r="AS440" s="11"/>
      <c r="AT440" s="11"/>
      <c r="AU440" s="11"/>
      <c r="AV440" s="11"/>
      <c r="AW440" s="11"/>
      <c r="AX440" s="11"/>
      <c r="AY440" s="11"/>
      <c r="AZ440" s="11"/>
      <c r="BA440" s="11"/>
      <c r="BB440" s="11"/>
      <c r="BC440" s="11"/>
      <c r="BD440" s="11"/>
      <c r="BE440" s="11"/>
      <c r="BF440" s="11"/>
      <c r="BG440" s="11"/>
      <c r="BH440" s="11"/>
      <c r="BI440" s="11"/>
      <c r="BJ440" s="11"/>
      <c r="BK440" s="11"/>
      <c r="BL440" s="11"/>
      <c r="BM440" s="11"/>
      <c r="BN440" s="11"/>
    </row>
    <row r="441" spans="1:66">
      <c r="A441" s="11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  <c r="AA441" s="11"/>
      <c r="AB441" s="11"/>
      <c r="AC441" s="11"/>
      <c r="AD441" s="11"/>
      <c r="AE441" s="11"/>
      <c r="AF441" s="11"/>
      <c r="AG441" s="11"/>
      <c r="AH441" s="11"/>
      <c r="AI441" s="11"/>
      <c r="AJ441" s="11"/>
      <c r="AK441" s="11"/>
      <c r="AL441" s="11"/>
      <c r="AM441" s="11"/>
      <c r="AN441" s="11"/>
      <c r="AO441" s="11"/>
      <c r="AP441" s="11"/>
      <c r="AQ441" s="11"/>
      <c r="AR441" s="11"/>
      <c r="AS441" s="11"/>
      <c r="AT441" s="11"/>
      <c r="AU441" s="11"/>
      <c r="AV441" s="11"/>
      <c r="AW441" s="11"/>
      <c r="AX441" s="11"/>
      <c r="AY441" s="11"/>
      <c r="AZ441" s="11"/>
      <c r="BA441" s="11"/>
      <c r="BB441" s="11"/>
      <c r="BC441" s="11"/>
      <c r="BD441" s="11"/>
      <c r="BE441" s="11"/>
      <c r="BF441" s="11"/>
      <c r="BG441" s="11"/>
      <c r="BH441" s="11"/>
      <c r="BI441" s="11"/>
      <c r="BJ441" s="11"/>
      <c r="BK441" s="11"/>
      <c r="BL441" s="11"/>
      <c r="BM441" s="11"/>
      <c r="BN441" s="11"/>
    </row>
    <row r="442" spans="1:66">
      <c r="A442" s="11"/>
      <c r="B442" s="11"/>
      <c r="C442" s="11"/>
      <c r="D442" s="11"/>
      <c r="E442" s="11"/>
      <c r="F442" s="11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  <c r="AA442" s="11"/>
      <c r="AB442" s="11"/>
      <c r="AC442" s="11"/>
      <c r="AD442" s="11"/>
      <c r="AE442" s="11"/>
      <c r="AF442" s="11"/>
      <c r="AG442" s="11"/>
      <c r="AH442" s="11"/>
      <c r="AI442" s="11"/>
      <c r="AJ442" s="11"/>
      <c r="AK442" s="11"/>
      <c r="AL442" s="11"/>
      <c r="AM442" s="11"/>
      <c r="AN442" s="11"/>
      <c r="AO442" s="11"/>
      <c r="AP442" s="11"/>
      <c r="AQ442" s="11"/>
      <c r="AR442" s="11"/>
      <c r="AS442" s="11"/>
      <c r="AT442" s="11"/>
      <c r="AU442" s="11"/>
      <c r="AV442" s="11"/>
      <c r="AW442" s="11"/>
      <c r="AX442" s="11"/>
      <c r="AY442" s="11"/>
      <c r="AZ442" s="11"/>
      <c r="BA442" s="11"/>
      <c r="BB442" s="11"/>
      <c r="BC442" s="11"/>
      <c r="BD442" s="11"/>
      <c r="BE442" s="11"/>
      <c r="BF442" s="11"/>
      <c r="BG442" s="11"/>
      <c r="BH442" s="11"/>
      <c r="BI442" s="11"/>
      <c r="BJ442" s="11"/>
      <c r="BK442" s="11"/>
      <c r="BL442" s="11"/>
      <c r="BM442" s="11"/>
      <c r="BN442" s="11"/>
    </row>
    <row r="443" spans="1:66">
      <c r="A443" s="11"/>
      <c r="B443" s="11"/>
      <c r="C443" s="11"/>
      <c r="D443" s="11"/>
      <c r="E443" s="11"/>
      <c r="F443" s="11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  <c r="AA443" s="11"/>
      <c r="AB443" s="11"/>
      <c r="AC443" s="11"/>
      <c r="AD443" s="11"/>
      <c r="AE443" s="11"/>
      <c r="AF443" s="11"/>
      <c r="AG443" s="11"/>
      <c r="AH443" s="11"/>
      <c r="AI443" s="11"/>
      <c r="AJ443" s="11"/>
      <c r="AK443" s="11"/>
      <c r="AL443" s="11"/>
      <c r="AM443" s="11"/>
      <c r="AN443" s="11"/>
      <c r="AO443" s="11"/>
      <c r="AP443" s="11"/>
      <c r="AQ443" s="11"/>
      <c r="AR443" s="11"/>
      <c r="AS443" s="11"/>
      <c r="AT443" s="11"/>
      <c r="AU443" s="11"/>
      <c r="AV443" s="11"/>
      <c r="AW443" s="11"/>
      <c r="AX443" s="11"/>
      <c r="AY443" s="11"/>
      <c r="AZ443" s="11"/>
      <c r="BA443" s="11"/>
      <c r="BB443" s="11"/>
      <c r="BC443" s="11"/>
      <c r="BD443" s="11"/>
      <c r="BE443" s="11"/>
      <c r="BF443" s="11"/>
      <c r="BG443" s="11"/>
      <c r="BH443" s="11"/>
      <c r="BI443" s="11"/>
      <c r="BJ443" s="11"/>
      <c r="BK443" s="11"/>
      <c r="BL443" s="11"/>
      <c r="BM443" s="11"/>
      <c r="BN443" s="11"/>
    </row>
    <row r="444" spans="1:66">
      <c r="A444" s="11"/>
      <c r="B444" s="11"/>
      <c r="C444" s="11"/>
      <c r="D444" s="11"/>
      <c r="E444" s="11"/>
      <c r="F444" s="11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  <c r="AA444" s="11"/>
      <c r="AB444" s="11"/>
      <c r="AC444" s="11"/>
      <c r="AD444" s="11"/>
      <c r="AE444" s="11"/>
      <c r="AF444" s="11"/>
      <c r="AG444" s="11"/>
      <c r="AH444" s="11"/>
      <c r="AI444" s="11"/>
      <c r="AJ444" s="11"/>
      <c r="AK444" s="11"/>
      <c r="AL444" s="11"/>
      <c r="AM444" s="11"/>
      <c r="AN444" s="11"/>
      <c r="AO444" s="11"/>
      <c r="AP444" s="11"/>
      <c r="AQ444" s="11"/>
      <c r="AR444" s="11"/>
      <c r="AS444" s="11"/>
      <c r="AT444" s="11"/>
      <c r="AU444" s="11"/>
      <c r="AV444" s="11"/>
      <c r="AW444" s="11"/>
      <c r="AX444" s="11"/>
      <c r="AY444" s="11"/>
      <c r="AZ444" s="11"/>
      <c r="BA444" s="11"/>
      <c r="BB444" s="11"/>
      <c r="BC444" s="11"/>
      <c r="BD444" s="11"/>
      <c r="BE444" s="11"/>
      <c r="BF444" s="11"/>
      <c r="BG444" s="11"/>
      <c r="BH444" s="11"/>
      <c r="BI444" s="11"/>
      <c r="BJ444" s="11"/>
      <c r="BK444" s="11"/>
      <c r="BL444" s="11"/>
      <c r="BM444" s="11"/>
      <c r="BN444" s="11"/>
    </row>
    <row r="445" spans="1:66">
      <c r="A445" s="11"/>
      <c r="B445" s="11"/>
      <c r="C445" s="11"/>
      <c r="D445" s="11"/>
      <c r="E445" s="11"/>
      <c r="F445" s="11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  <c r="AA445" s="11"/>
      <c r="AB445" s="11"/>
      <c r="AC445" s="11"/>
      <c r="AD445" s="11"/>
      <c r="AE445" s="11"/>
      <c r="AF445" s="11"/>
      <c r="AG445" s="11"/>
      <c r="AH445" s="11"/>
      <c r="AI445" s="11"/>
      <c r="AJ445" s="11"/>
      <c r="AK445" s="11"/>
      <c r="AL445" s="11"/>
      <c r="AM445" s="11"/>
      <c r="AN445" s="11"/>
      <c r="AO445" s="11"/>
      <c r="AP445" s="11"/>
      <c r="AQ445" s="11"/>
      <c r="AR445" s="11"/>
      <c r="AS445" s="11"/>
      <c r="AT445" s="11"/>
      <c r="AU445" s="11"/>
      <c r="AV445" s="11"/>
      <c r="AW445" s="11"/>
      <c r="AX445" s="11"/>
      <c r="AY445" s="11"/>
      <c r="AZ445" s="11"/>
      <c r="BA445" s="11"/>
      <c r="BB445" s="11"/>
      <c r="BC445" s="11"/>
      <c r="BD445" s="11"/>
      <c r="BE445" s="11"/>
      <c r="BF445" s="11"/>
      <c r="BG445" s="11"/>
      <c r="BH445" s="11"/>
      <c r="BI445" s="11"/>
      <c r="BJ445" s="11"/>
      <c r="BK445" s="11"/>
      <c r="BL445" s="11"/>
      <c r="BM445" s="11"/>
      <c r="BN445" s="11"/>
    </row>
    <row r="446" spans="1:66">
      <c r="A446" s="11"/>
      <c r="B446" s="11"/>
      <c r="C446" s="11"/>
      <c r="D446" s="11"/>
      <c r="E446" s="11"/>
      <c r="F446" s="11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  <c r="AA446" s="11"/>
      <c r="AB446" s="11"/>
      <c r="AC446" s="11"/>
      <c r="AD446" s="11"/>
      <c r="AE446" s="11"/>
      <c r="AF446" s="11"/>
      <c r="AG446" s="11"/>
      <c r="AH446" s="11"/>
      <c r="AI446" s="11"/>
      <c r="AJ446" s="11"/>
      <c r="AK446" s="11"/>
      <c r="AL446" s="11"/>
      <c r="AM446" s="11"/>
      <c r="AN446" s="11"/>
      <c r="AO446" s="11"/>
      <c r="AP446" s="11"/>
      <c r="AQ446" s="11"/>
      <c r="AR446" s="11"/>
      <c r="AS446" s="11"/>
      <c r="AT446" s="11"/>
      <c r="AU446" s="11"/>
      <c r="AV446" s="11"/>
      <c r="AW446" s="11"/>
      <c r="AX446" s="11"/>
      <c r="AY446" s="11"/>
      <c r="AZ446" s="11"/>
      <c r="BA446" s="11"/>
      <c r="BB446" s="11"/>
      <c r="BC446" s="11"/>
      <c r="BD446" s="11"/>
      <c r="BE446" s="11"/>
      <c r="BF446" s="11"/>
      <c r="BG446" s="11"/>
      <c r="BH446" s="11"/>
      <c r="BI446" s="11"/>
      <c r="BJ446" s="11"/>
      <c r="BK446" s="11"/>
      <c r="BL446" s="11"/>
      <c r="BM446" s="11"/>
      <c r="BN446" s="11"/>
    </row>
    <row r="447" spans="1:66">
      <c r="A447" s="11"/>
      <c r="B447" s="11"/>
      <c r="C447" s="11"/>
      <c r="D447" s="11"/>
      <c r="E447" s="11"/>
      <c r="F447" s="11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11"/>
      <c r="Y447" s="11"/>
      <c r="Z447" s="11"/>
      <c r="AA447" s="11"/>
      <c r="AB447" s="11"/>
      <c r="AC447" s="11"/>
      <c r="AD447" s="11"/>
      <c r="AE447" s="11"/>
      <c r="AF447" s="11"/>
      <c r="AG447" s="11"/>
      <c r="AH447" s="11"/>
      <c r="AI447" s="11"/>
      <c r="AJ447" s="11"/>
      <c r="AK447" s="11"/>
      <c r="AL447" s="11"/>
      <c r="AM447" s="11"/>
      <c r="AN447" s="11"/>
      <c r="AO447" s="11"/>
      <c r="AP447" s="11"/>
      <c r="AQ447" s="11"/>
      <c r="AR447" s="11"/>
      <c r="AS447" s="11"/>
      <c r="AT447" s="11"/>
      <c r="AU447" s="11"/>
      <c r="AV447" s="11"/>
      <c r="AW447" s="11"/>
      <c r="AX447" s="11"/>
      <c r="AY447" s="11"/>
      <c r="AZ447" s="11"/>
      <c r="BA447" s="11"/>
      <c r="BB447" s="11"/>
      <c r="BC447" s="11"/>
      <c r="BD447" s="11"/>
      <c r="BE447" s="11"/>
      <c r="BF447" s="11"/>
      <c r="BG447" s="11"/>
      <c r="BH447" s="11"/>
      <c r="BI447" s="11"/>
      <c r="BJ447" s="11"/>
      <c r="BK447" s="11"/>
      <c r="BL447" s="11"/>
      <c r="BM447" s="11"/>
      <c r="BN447" s="11"/>
    </row>
    <row r="448" spans="1:66">
      <c r="A448" s="11"/>
      <c r="B448" s="11"/>
      <c r="C448" s="11"/>
      <c r="D448" s="11"/>
      <c r="E448" s="11"/>
      <c r="F448" s="11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  <c r="AA448" s="11"/>
      <c r="AB448" s="11"/>
      <c r="AC448" s="11"/>
      <c r="AD448" s="11"/>
      <c r="AE448" s="11"/>
      <c r="AF448" s="11"/>
      <c r="AG448" s="11"/>
      <c r="AH448" s="11"/>
      <c r="AI448" s="11"/>
      <c r="AJ448" s="11"/>
      <c r="AK448" s="11"/>
      <c r="AL448" s="11"/>
      <c r="AM448" s="11"/>
      <c r="AN448" s="11"/>
      <c r="AO448" s="11"/>
      <c r="AP448" s="11"/>
      <c r="AQ448" s="11"/>
      <c r="AR448" s="11"/>
      <c r="AS448" s="11"/>
      <c r="AT448" s="11"/>
      <c r="AU448" s="11"/>
      <c r="AV448" s="11"/>
      <c r="AW448" s="11"/>
      <c r="AX448" s="11"/>
      <c r="AY448" s="11"/>
      <c r="AZ448" s="11"/>
      <c r="BA448" s="11"/>
      <c r="BB448" s="11"/>
      <c r="BC448" s="11"/>
      <c r="BD448" s="11"/>
      <c r="BE448" s="11"/>
      <c r="BF448" s="11"/>
      <c r="BG448" s="11"/>
      <c r="BH448" s="11"/>
      <c r="BI448" s="11"/>
      <c r="BJ448" s="11"/>
      <c r="BK448" s="11"/>
      <c r="BL448" s="11"/>
      <c r="BM448" s="11"/>
      <c r="BN448" s="11"/>
    </row>
    <row r="449" spans="1:66">
      <c r="A449" s="11"/>
      <c r="B449" s="11"/>
      <c r="C449" s="11"/>
      <c r="D449" s="11"/>
      <c r="E449" s="11"/>
      <c r="F449" s="11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/>
      <c r="AA449" s="11"/>
      <c r="AB449" s="11"/>
      <c r="AC449" s="11"/>
      <c r="AD449" s="11"/>
      <c r="AE449" s="11"/>
      <c r="AF449" s="11"/>
      <c r="AG449" s="11"/>
      <c r="AH449" s="11"/>
      <c r="AI449" s="11"/>
      <c r="AJ449" s="11"/>
      <c r="AK449" s="11"/>
      <c r="AL449" s="11"/>
      <c r="AM449" s="11"/>
      <c r="AN449" s="11"/>
      <c r="AO449" s="11"/>
      <c r="AP449" s="11"/>
      <c r="AQ449" s="11"/>
      <c r="AR449" s="11"/>
      <c r="AS449" s="11"/>
      <c r="AT449" s="11"/>
      <c r="AU449" s="11"/>
      <c r="AV449" s="11"/>
      <c r="AW449" s="11"/>
      <c r="AX449" s="11"/>
      <c r="AY449" s="11"/>
      <c r="AZ449" s="11"/>
      <c r="BA449" s="11"/>
      <c r="BB449" s="11"/>
      <c r="BC449" s="11"/>
      <c r="BD449" s="11"/>
      <c r="BE449" s="11"/>
      <c r="BF449" s="11"/>
      <c r="BG449" s="11"/>
      <c r="BH449" s="11"/>
      <c r="BI449" s="11"/>
      <c r="BJ449" s="11"/>
      <c r="BK449" s="11"/>
      <c r="BL449" s="11"/>
      <c r="BM449" s="11"/>
      <c r="BN449" s="11"/>
    </row>
    <row r="450" spans="1:66">
      <c r="A450" s="11"/>
      <c r="B450" s="11"/>
      <c r="C450" s="11"/>
      <c r="D450" s="11"/>
      <c r="E450" s="11"/>
      <c r="F450" s="11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Y450" s="11"/>
      <c r="Z450" s="11"/>
      <c r="AA450" s="11"/>
      <c r="AB450" s="11"/>
      <c r="AC450" s="11"/>
      <c r="AD450" s="11"/>
      <c r="AE450" s="11"/>
      <c r="AF450" s="11"/>
      <c r="AG450" s="11"/>
      <c r="AH450" s="11"/>
      <c r="AI450" s="11"/>
      <c r="AJ450" s="11"/>
      <c r="AK450" s="11"/>
      <c r="AL450" s="11"/>
      <c r="AM450" s="11"/>
      <c r="AN450" s="11"/>
      <c r="AO450" s="11"/>
      <c r="AP450" s="11"/>
      <c r="AQ450" s="11"/>
      <c r="AR450" s="11"/>
      <c r="AS450" s="11"/>
      <c r="AT450" s="11"/>
      <c r="AU450" s="11"/>
      <c r="AV450" s="11"/>
      <c r="AW450" s="11"/>
      <c r="AX450" s="11"/>
      <c r="AY450" s="11"/>
      <c r="AZ450" s="11"/>
      <c r="BA450" s="11"/>
      <c r="BB450" s="11"/>
      <c r="BC450" s="11"/>
      <c r="BD450" s="11"/>
      <c r="BE450" s="11"/>
      <c r="BF450" s="11"/>
      <c r="BG450" s="11"/>
      <c r="BH450" s="11"/>
      <c r="BI450" s="11"/>
      <c r="BJ450" s="11"/>
      <c r="BK450" s="11"/>
      <c r="BL450" s="11"/>
      <c r="BM450" s="11"/>
      <c r="BN450" s="11"/>
    </row>
    <row r="451" spans="1:66">
      <c r="A451" s="11"/>
      <c r="B451" s="11"/>
      <c r="C451" s="11"/>
      <c r="D451" s="11"/>
      <c r="E451" s="11"/>
      <c r="F451" s="11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  <c r="AA451" s="11"/>
      <c r="AB451" s="11"/>
      <c r="AC451" s="11"/>
      <c r="AD451" s="11"/>
      <c r="AE451" s="11"/>
      <c r="AF451" s="11"/>
      <c r="AG451" s="11"/>
      <c r="AH451" s="11"/>
      <c r="AI451" s="11"/>
      <c r="AJ451" s="11"/>
      <c r="AK451" s="11"/>
      <c r="AL451" s="11"/>
      <c r="AM451" s="11"/>
      <c r="AN451" s="11"/>
      <c r="AO451" s="11"/>
      <c r="AP451" s="11"/>
      <c r="AQ451" s="11"/>
      <c r="AR451" s="11"/>
      <c r="AS451" s="11"/>
      <c r="AT451" s="11"/>
      <c r="AU451" s="11"/>
      <c r="AV451" s="11"/>
      <c r="AW451" s="11"/>
      <c r="AX451" s="11"/>
      <c r="AY451" s="11"/>
      <c r="AZ451" s="11"/>
      <c r="BA451" s="11"/>
      <c r="BB451" s="11"/>
      <c r="BC451" s="11"/>
      <c r="BD451" s="11"/>
      <c r="BE451" s="11"/>
      <c r="BF451" s="11"/>
      <c r="BG451" s="11"/>
      <c r="BH451" s="11"/>
      <c r="BI451" s="11"/>
      <c r="BJ451" s="11"/>
      <c r="BK451" s="11"/>
      <c r="BL451" s="11"/>
      <c r="BM451" s="11"/>
      <c r="BN451" s="11"/>
    </row>
    <row r="452" spans="1:66">
      <c r="A452" s="11"/>
      <c r="B452" s="11"/>
      <c r="C452" s="11"/>
      <c r="D452" s="11"/>
      <c r="E452" s="11"/>
      <c r="F452" s="11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Y452" s="11"/>
      <c r="Z452" s="11"/>
      <c r="AA452" s="11"/>
      <c r="AB452" s="11"/>
      <c r="AC452" s="11"/>
      <c r="AD452" s="11"/>
      <c r="AE452" s="11"/>
      <c r="AF452" s="11"/>
      <c r="AG452" s="11"/>
      <c r="AH452" s="11"/>
      <c r="AI452" s="11"/>
      <c r="AJ452" s="11"/>
      <c r="AK452" s="11"/>
      <c r="AL452" s="11"/>
      <c r="AM452" s="11"/>
      <c r="AN452" s="11"/>
      <c r="AO452" s="11"/>
      <c r="AP452" s="11"/>
      <c r="AQ452" s="11"/>
      <c r="AR452" s="11"/>
      <c r="AS452" s="11"/>
      <c r="AT452" s="11"/>
      <c r="AU452" s="11"/>
      <c r="AV452" s="11"/>
      <c r="AW452" s="11"/>
      <c r="AX452" s="11"/>
      <c r="AY452" s="11"/>
      <c r="AZ452" s="11"/>
      <c r="BA452" s="11"/>
      <c r="BB452" s="11"/>
      <c r="BC452" s="11"/>
      <c r="BD452" s="11"/>
      <c r="BE452" s="11"/>
      <c r="BF452" s="11"/>
      <c r="BG452" s="11"/>
      <c r="BH452" s="11"/>
      <c r="BI452" s="11"/>
      <c r="BJ452" s="11"/>
      <c r="BK452" s="11"/>
      <c r="BL452" s="11"/>
      <c r="BM452" s="11"/>
      <c r="BN452" s="11"/>
    </row>
    <row r="453" spans="1:66">
      <c r="A453" s="11"/>
      <c r="B453" s="11"/>
      <c r="C453" s="11"/>
      <c r="D453" s="11"/>
      <c r="E453" s="11"/>
      <c r="F453" s="11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  <c r="AA453" s="11"/>
      <c r="AB453" s="11"/>
      <c r="AC453" s="11"/>
      <c r="AD453" s="11"/>
      <c r="AE453" s="11"/>
      <c r="AF453" s="11"/>
      <c r="AG453" s="11"/>
      <c r="AH453" s="11"/>
      <c r="AI453" s="11"/>
      <c r="AJ453" s="11"/>
      <c r="AK453" s="11"/>
      <c r="AL453" s="11"/>
      <c r="AM453" s="11"/>
      <c r="AN453" s="11"/>
      <c r="AO453" s="11"/>
      <c r="AP453" s="11"/>
      <c r="AQ453" s="11"/>
      <c r="AR453" s="11"/>
      <c r="AS453" s="11"/>
      <c r="AT453" s="11"/>
      <c r="AU453" s="11"/>
      <c r="AV453" s="11"/>
      <c r="AW453" s="11"/>
      <c r="AX453" s="11"/>
      <c r="AY453" s="11"/>
      <c r="AZ453" s="11"/>
      <c r="BA453" s="11"/>
      <c r="BB453" s="11"/>
      <c r="BC453" s="11"/>
      <c r="BD453" s="11"/>
      <c r="BE453" s="11"/>
      <c r="BF453" s="11"/>
      <c r="BG453" s="11"/>
      <c r="BH453" s="11"/>
      <c r="BI453" s="11"/>
      <c r="BJ453" s="11"/>
      <c r="BK453" s="11"/>
      <c r="BL453" s="11"/>
      <c r="BM453" s="11"/>
      <c r="BN453" s="11"/>
    </row>
    <row r="454" spans="1:66">
      <c r="A454" s="11"/>
      <c r="B454" s="11"/>
      <c r="C454" s="11"/>
      <c r="D454" s="11"/>
      <c r="E454" s="11"/>
      <c r="F454" s="11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  <c r="AA454" s="11"/>
      <c r="AB454" s="11"/>
      <c r="AC454" s="11"/>
      <c r="AD454" s="11"/>
      <c r="AE454" s="11"/>
      <c r="AF454" s="11"/>
      <c r="AG454" s="11"/>
      <c r="AH454" s="11"/>
      <c r="AI454" s="11"/>
      <c r="AJ454" s="11"/>
      <c r="AK454" s="11"/>
      <c r="AL454" s="11"/>
      <c r="AM454" s="11"/>
      <c r="AN454" s="11"/>
      <c r="AO454" s="11"/>
      <c r="AP454" s="11"/>
      <c r="AQ454" s="11"/>
      <c r="AR454" s="11"/>
      <c r="AS454" s="11"/>
      <c r="AT454" s="11"/>
      <c r="AU454" s="11"/>
      <c r="AV454" s="11"/>
      <c r="AW454" s="11"/>
      <c r="AX454" s="11"/>
      <c r="AY454" s="11"/>
      <c r="AZ454" s="11"/>
      <c r="BA454" s="11"/>
      <c r="BB454" s="11"/>
      <c r="BC454" s="11"/>
      <c r="BD454" s="11"/>
      <c r="BE454" s="11"/>
      <c r="BF454" s="11"/>
      <c r="BG454" s="11"/>
      <c r="BH454" s="11"/>
      <c r="BI454" s="11"/>
      <c r="BJ454" s="11"/>
      <c r="BK454" s="11"/>
      <c r="BL454" s="11"/>
      <c r="BM454" s="11"/>
      <c r="BN454" s="11"/>
    </row>
    <row r="455" spans="1:66">
      <c r="A455" s="11"/>
      <c r="B455" s="11"/>
      <c r="C455" s="11"/>
      <c r="D455" s="11"/>
      <c r="E455" s="11"/>
      <c r="F455" s="11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  <c r="AA455" s="11"/>
      <c r="AB455" s="11"/>
      <c r="AC455" s="11"/>
      <c r="AD455" s="11"/>
      <c r="AE455" s="11"/>
      <c r="AF455" s="11"/>
      <c r="AG455" s="11"/>
      <c r="AH455" s="11"/>
      <c r="AI455" s="11"/>
      <c r="AJ455" s="11"/>
      <c r="AK455" s="11"/>
      <c r="AL455" s="11"/>
      <c r="AM455" s="11"/>
      <c r="AN455" s="11"/>
      <c r="AO455" s="11"/>
      <c r="AP455" s="11"/>
      <c r="AQ455" s="11"/>
      <c r="AR455" s="11"/>
      <c r="AS455" s="11"/>
      <c r="AT455" s="11"/>
      <c r="AU455" s="11"/>
      <c r="AV455" s="11"/>
      <c r="AW455" s="11"/>
      <c r="AX455" s="11"/>
      <c r="AY455" s="11"/>
      <c r="AZ455" s="11"/>
      <c r="BA455" s="11"/>
      <c r="BB455" s="11"/>
      <c r="BC455" s="11"/>
      <c r="BD455" s="11"/>
      <c r="BE455" s="11"/>
      <c r="BF455" s="11"/>
      <c r="BG455" s="11"/>
      <c r="BH455" s="11"/>
      <c r="BI455" s="11"/>
      <c r="BJ455" s="11"/>
      <c r="BK455" s="11"/>
      <c r="BL455" s="11"/>
      <c r="BM455" s="11"/>
      <c r="BN455" s="11"/>
    </row>
    <row r="456" spans="1:66">
      <c r="A456" s="11"/>
      <c r="B456" s="11"/>
      <c r="C456" s="11"/>
      <c r="D456" s="11"/>
      <c r="E456" s="11"/>
      <c r="F456" s="11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  <c r="AA456" s="11"/>
      <c r="AB456" s="11"/>
      <c r="AC456" s="11"/>
      <c r="AD456" s="11"/>
      <c r="AE456" s="11"/>
      <c r="AF456" s="11"/>
      <c r="AG456" s="11"/>
      <c r="AH456" s="11"/>
      <c r="AI456" s="11"/>
      <c r="AJ456" s="11"/>
      <c r="AK456" s="11"/>
      <c r="AL456" s="11"/>
      <c r="AM456" s="11"/>
      <c r="AN456" s="11"/>
      <c r="AO456" s="11"/>
      <c r="AP456" s="11"/>
      <c r="AQ456" s="11"/>
      <c r="AR456" s="11"/>
      <c r="AS456" s="11"/>
      <c r="AT456" s="11"/>
      <c r="AU456" s="11"/>
      <c r="AV456" s="11"/>
      <c r="AW456" s="11"/>
      <c r="AX456" s="11"/>
      <c r="AY456" s="11"/>
      <c r="AZ456" s="11"/>
      <c r="BA456" s="11"/>
      <c r="BB456" s="11"/>
      <c r="BC456" s="11"/>
      <c r="BD456" s="11"/>
      <c r="BE456" s="11"/>
      <c r="BF456" s="11"/>
      <c r="BG456" s="11"/>
      <c r="BH456" s="11"/>
      <c r="BI456" s="11"/>
      <c r="BJ456" s="11"/>
      <c r="BK456" s="11"/>
      <c r="BL456" s="11"/>
      <c r="BM456" s="11"/>
      <c r="BN456" s="11"/>
    </row>
    <row r="457" spans="1:66">
      <c r="A457" s="11"/>
      <c r="B457" s="11"/>
      <c r="C457" s="11"/>
      <c r="D457" s="11"/>
      <c r="E457" s="11"/>
      <c r="F457" s="11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  <c r="AA457" s="11"/>
      <c r="AB457" s="11"/>
      <c r="AC457" s="11"/>
      <c r="AD457" s="11"/>
      <c r="AE457" s="11"/>
      <c r="AF457" s="11"/>
      <c r="AG457" s="11"/>
      <c r="AH457" s="11"/>
      <c r="AI457" s="11"/>
      <c r="AJ457" s="11"/>
      <c r="AK457" s="11"/>
      <c r="AL457" s="11"/>
      <c r="AM457" s="11"/>
      <c r="AN457" s="11"/>
      <c r="AO457" s="11"/>
      <c r="AP457" s="11"/>
      <c r="AQ457" s="11"/>
      <c r="AR457" s="11"/>
      <c r="AS457" s="11"/>
      <c r="AT457" s="11"/>
      <c r="AU457" s="11"/>
      <c r="AV457" s="11"/>
      <c r="AW457" s="11"/>
      <c r="AX457" s="11"/>
      <c r="AY457" s="11"/>
      <c r="AZ457" s="11"/>
      <c r="BA457" s="11"/>
      <c r="BB457" s="11"/>
      <c r="BC457" s="11"/>
      <c r="BD457" s="11"/>
      <c r="BE457" s="11"/>
      <c r="BF457" s="11"/>
      <c r="BG457" s="11"/>
      <c r="BH457" s="11"/>
      <c r="BI457" s="11"/>
      <c r="BJ457" s="11"/>
      <c r="BK457" s="11"/>
      <c r="BL457" s="11"/>
      <c r="BM457" s="11"/>
      <c r="BN457" s="11"/>
    </row>
    <row r="458" spans="1:66">
      <c r="A458" s="11"/>
      <c r="B458" s="11"/>
      <c r="C458" s="11"/>
      <c r="D458" s="11"/>
      <c r="E458" s="11"/>
      <c r="F458" s="11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11"/>
      <c r="Y458" s="11"/>
      <c r="Z458" s="11"/>
      <c r="AA458" s="11"/>
      <c r="AB458" s="11"/>
      <c r="AC458" s="11"/>
      <c r="AD458" s="11"/>
      <c r="AE458" s="11"/>
      <c r="AF458" s="11"/>
      <c r="AG458" s="11"/>
      <c r="AH458" s="11"/>
      <c r="AI458" s="11"/>
      <c r="AJ458" s="11"/>
      <c r="AK458" s="11"/>
      <c r="AL458" s="11"/>
      <c r="AM458" s="11"/>
      <c r="AN458" s="11"/>
      <c r="AO458" s="11"/>
      <c r="AP458" s="11"/>
      <c r="AQ458" s="11"/>
      <c r="AR458" s="11"/>
      <c r="AS458" s="11"/>
      <c r="AT458" s="11"/>
      <c r="AU458" s="11"/>
      <c r="AV458" s="11"/>
      <c r="AW458" s="11"/>
      <c r="AX458" s="11"/>
      <c r="AY458" s="11"/>
      <c r="AZ458" s="11"/>
      <c r="BA458" s="11"/>
      <c r="BB458" s="11"/>
      <c r="BC458" s="11"/>
      <c r="BD458" s="11"/>
      <c r="BE458" s="11"/>
      <c r="BF458" s="11"/>
      <c r="BG458" s="11"/>
      <c r="BH458" s="11"/>
      <c r="BI458" s="11"/>
      <c r="BJ458" s="11"/>
      <c r="BK458" s="11"/>
      <c r="BL458" s="11"/>
      <c r="BM458" s="11"/>
      <c r="BN458" s="11"/>
    </row>
    <row r="459" spans="1:66">
      <c r="A459" s="11"/>
      <c r="B459" s="11"/>
      <c r="C459" s="11"/>
      <c r="D459" s="11"/>
      <c r="E459" s="11"/>
      <c r="F459" s="11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/>
      <c r="AA459" s="11"/>
      <c r="AB459" s="11"/>
      <c r="AC459" s="11"/>
      <c r="AD459" s="11"/>
      <c r="AE459" s="11"/>
      <c r="AF459" s="11"/>
      <c r="AG459" s="11"/>
      <c r="AH459" s="11"/>
      <c r="AI459" s="11"/>
      <c r="AJ459" s="11"/>
      <c r="AK459" s="11"/>
      <c r="AL459" s="11"/>
      <c r="AM459" s="11"/>
      <c r="AN459" s="11"/>
      <c r="AO459" s="11"/>
      <c r="AP459" s="11"/>
      <c r="AQ459" s="11"/>
      <c r="AR459" s="11"/>
      <c r="AS459" s="11"/>
      <c r="AT459" s="11"/>
      <c r="AU459" s="11"/>
      <c r="AV459" s="11"/>
      <c r="AW459" s="11"/>
      <c r="AX459" s="11"/>
      <c r="AY459" s="11"/>
      <c r="AZ459" s="11"/>
      <c r="BA459" s="11"/>
      <c r="BB459" s="11"/>
      <c r="BC459" s="11"/>
      <c r="BD459" s="11"/>
      <c r="BE459" s="11"/>
      <c r="BF459" s="11"/>
      <c r="BG459" s="11"/>
      <c r="BH459" s="11"/>
      <c r="BI459" s="11"/>
      <c r="BJ459" s="11"/>
      <c r="BK459" s="11"/>
      <c r="BL459" s="11"/>
      <c r="BM459" s="11"/>
      <c r="BN459" s="11"/>
    </row>
    <row r="460" spans="1:66">
      <c r="A460" s="11"/>
      <c r="B460" s="11"/>
      <c r="C460" s="11"/>
      <c r="D460" s="11"/>
      <c r="E460" s="11"/>
      <c r="F460" s="11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  <c r="AA460" s="11"/>
      <c r="AB460" s="11"/>
      <c r="AC460" s="11"/>
      <c r="AD460" s="11"/>
      <c r="AE460" s="11"/>
      <c r="AF460" s="11"/>
      <c r="AG460" s="11"/>
      <c r="AH460" s="11"/>
      <c r="AI460" s="11"/>
      <c r="AJ460" s="11"/>
      <c r="AK460" s="11"/>
      <c r="AL460" s="11"/>
      <c r="AM460" s="11"/>
      <c r="AN460" s="11"/>
      <c r="AO460" s="11"/>
      <c r="AP460" s="11"/>
      <c r="AQ460" s="11"/>
      <c r="AR460" s="11"/>
      <c r="AS460" s="11"/>
      <c r="AT460" s="11"/>
      <c r="AU460" s="11"/>
      <c r="AV460" s="11"/>
      <c r="AW460" s="11"/>
      <c r="AX460" s="11"/>
      <c r="AY460" s="11"/>
      <c r="AZ460" s="11"/>
      <c r="BA460" s="11"/>
      <c r="BB460" s="11"/>
      <c r="BC460" s="11"/>
      <c r="BD460" s="11"/>
      <c r="BE460" s="11"/>
      <c r="BF460" s="11"/>
      <c r="BG460" s="11"/>
      <c r="BH460" s="11"/>
      <c r="BI460" s="11"/>
      <c r="BJ460" s="11"/>
      <c r="BK460" s="11"/>
      <c r="BL460" s="11"/>
      <c r="BM460" s="11"/>
      <c r="BN460" s="11"/>
    </row>
    <row r="461" spans="1:66">
      <c r="A461" s="11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  <c r="AA461" s="11"/>
      <c r="AB461" s="11"/>
      <c r="AC461" s="11"/>
      <c r="AD461" s="11"/>
      <c r="AE461" s="11"/>
      <c r="AF461" s="11"/>
      <c r="AG461" s="11"/>
      <c r="AH461" s="11"/>
      <c r="AI461" s="11"/>
      <c r="AJ461" s="11"/>
      <c r="AK461" s="11"/>
      <c r="AL461" s="11"/>
      <c r="AM461" s="11"/>
      <c r="AN461" s="11"/>
      <c r="AO461" s="11"/>
      <c r="AP461" s="11"/>
      <c r="AQ461" s="11"/>
      <c r="AR461" s="11"/>
      <c r="AS461" s="11"/>
      <c r="AT461" s="11"/>
      <c r="AU461" s="11"/>
      <c r="AV461" s="11"/>
      <c r="AW461" s="11"/>
      <c r="AX461" s="11"/>
      <c r="AY461" s="11"/>
      <c r="AZ461" s="11"/>
      <c r="BA461" s="11"/>
      <c r="BB461" s="11"/>
      <c r="BC461" s="11"/>
      <c r="BD461" s="11"/>
      <c r="BE461" s="11"/>
      <c r="BF461" s="11"/>
      <c r="BG461" s="11"/>
      <c r="BH461" s="11"/>
      <c r="BI461" s="11"/>
      <c r="BJ461" s="11"/>
      <c r="BK461" s="11"/>
      <c r="BL461" s="11"/>
      <c r="BM461" s="11"/>
      <c r="BN461" s="11"/>
    </row>
    <row r="462" spans="1:66">
      <c r="A462" s="11"/>
      <c r="B462" s="11"/>
      <c r="C462" s="11"/>
      <c r="D462" s="11"/>
      <c r="E462" s="11"/>
      <c r="F462" s="11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  <c r="Y462" s="11"/>
      <c r="Z462" s="11"/>
      <c r="AA462" s="11"/>
      <c r="AB462" s="11"/>
      <c r="AC462" s="11"/>
      <c r="AD462" s="11"/>
      <c r="AE462" s="11"/>
      <c r="AF462" s="11"/>
      <c r="AG462" s="11"/>
      <c r="AH462" s="11"/>
      <c r="AI462" s="11"/>
      <c r="AJ462" s="11"/>
      <c r="AK462" s="11"/>
      <c r="AL462" s="11"/>
      <c r="AM462" s="11"/>
      <c r="AN462" s="11"/>
      <c r="AO462" s="11"/>
      <c r="AP462" s="11"/>
      <c r="AQ462" s="11"/>
      <c r="AR462" s="11"/>
      <c r="AS462" s="11"/>
      <c r="AT462" s="11"/>
      <c r="AU462" s="11"/>
      <c r="AV462" s="11"/>
      <c r="AW462" s="11"/>
      <c r="AX462" s="11"/>
      <c r="AY462" s="11"/>
      <c r="AZ462" s="11"/>
      <c r="BA462" s="11"/>
      <c r="BB462" s="11"/>
      <c r="BC462" s="11"/>
      <c r="BD462" s="11"/>
      <c r="BE462" s="11"/>
      <c r="BF462" s="11"/>
      <c r="BG462" s="11"/>
      <c r="BH462" s="11"/>
      <c r="BI462" s="11"/>
      <c r="BJ462" s="11"/>
      <c r="BK462" s="11"/>
      <c r="BL462" s="11"/>
      <c r="BM462" s="11"/>
      <c r="BN462" s="11"/>
    </row>
    <row r="463" spans="1:66">
      <c r="A463" s="11"/>
      <c r="B463" s="11"/>
      <c r="C463" s="11"/>
      <c r="D463" s="11"/>
      <c r="E463" s="11"/>
      <c r="F463" s="11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  <c r="Y463" s="11"/>
      <c r="Z463" s="11"/>
      <c r="AA463" s="11"/>
      <c r="AB463" s="11"/>
      <c r="AC463" s="11"/>
      <c r="AD463" s="11"/>
      <c r="AE463" s="11"/>
      <c r="AF463" s="11"/>
      <c r="AG463" s="11"/>
      <c r="AH463" s="11"/>
      <c r="AI463" s="11"/>
      <c r="AJ463" s="11"/>
      <c r="AK463" s="11"/>
      <c r="AL463" s="11"/>
      <c r="AM463" s="11"/>
      <c r="AN463" s="11"/>
      <c r="AO463" s="11"/>
      <c r="AP463" s="11"/>
      <c r="AQ463" s="11"/>
      <c r="AR463" s="11"/>
      <c r="AS463" s="11"/>
      <c r="AT463" s="11"/>
      <c r="AU463" s="11"/>
      <c r="AV463" s="11"/>
      <c r="AW463" s="11"/>
      <c r="AX463" s="11"/>
      <c r="AY463" s="11"/>
      <c r="AZ463" s="11"/>
      <c r="BA463" s="11"/>
      <c r="BB463" s="11"/>
      <c r="BC463" s="11"/>
      <c r="BD463" s="11"/>
      <c r="BE463" s="11"/>
      <c r="BF463" s="11"/>
      <c r="BG463" s="11"/>
      <c r="BH463" s="11"/>
      <c r="BI463" s="11"/>
      <c r="BJ463" s="11"/>
      <c r="BK463" s="11"/>
      <c r="BL463" s="11"/>
      <c r="BM463" s="11"/>
      <c r="BN463" s="11"/>
    </row>
    <row r="464" spans="1:66">
      <c r="A464" s="11"/>
      <c r="B464" s="11"/>
      <c r="C464" s="11"/>
      <c r="D464" s="11"/>
      <c r="E464" s="11"/>
      <c r="F464" s="11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  <c r="AA464" s="11"/>
      <c r="AB464" s="11"/>
      <c r="AC464" s="11"/>
      <c r="AD464" s="11"/>
      <c r="AE464" s="11"/>
      <c r="AF464" s="11"/>
      <c r="AG464" s="11"/>
      <c r="AH464" s="11"/>
      <c r="AI464" s="11"/>
      <c r="AJ464" s="11"/>
      <c r="AK464" s="11"/>
      <c r="AL464" s="11"/>
      <c r="AM464" s="11"/>
      <c r="AN464" s="11"/>
      <c r="AO464" s="11"/>
      <c r="AP464" s="11"/>
      <c r="AQ464" s="11"/>
      <c r="AR464" s="11"/>
      <c r="AS464" s="11"/>
      <c r="AT464" s="11"/>
      <c r="AU464" s="11"/>
      <c r="AV464" s="11"/>
      <c r="AW464" s="11"/>
      <c r="AX464" s="11"/>
      <c r="AY464" s="11"/>
      <c r="AZ464" s="11"/>
      <c r="BA464" s="11"/>
      <c r="BB464" s="11"/>
      <c r="BC464" s="11"/>
      <c r="BD464" s="11"/>
      <c r="BE464" s="11"/>
      <c r="BF464" s="11"/>
      <c r="BG464" s="11"/>
      <c r="BH464" s="11"/>
      <c r="BI464" s="11"/>
      <c r="BJ464" s="11"/>
      <c r="BK464" s="11"/>
      <c r="BL464" s="11"/>
      <c r="BM464" s="11"/>
      <c r="BN464" s="11"/>
    </row>
    <row r="465" spans="1:66">
      <c r="A465" s="11"/>
      <c r="B465" s="11"/>
      <c r="C465" s="11"/>
      <c r="D465" s="11"/>
      <c r="E465" s="11"/>
      <c r="F465" s="11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11"/>
      <c r="Y465" s="11"/>
      <c r="Z465" s="11"/>
      <c r="AA465" s="11"/>
      <c r="AB465" s="11"/>
      <c r="AC465" s="11"/>
      <c r="AD465" s="11"/>
      <c r="AE465" s="11"/>
      <c r="AF465" s="11"/>
      <c r="AG465" s="11"/>
      <c r="AH465" s="11"/>
      <c r="AI465" s="11"/>
      <c r="AJ465" s="11"/>
      <c r="AK465" s="11"/>
      <c r="AL465" s="11"/>
      <c r="AM465" s="11"/>
      <c r="AN465" s="11"/>
      <c r="AO465" s="11"/>
      <c r="AP465" s="11"/>
      <c r="AQ465" s="11"/>
      <c r="AR465" s="11"/>
      <c r="AS465" s="11"/>
      <c r="AT465" s="11"/>
      <c r="AU465" s="11"/>
      <c r="AV465" s="11"/>
      <c r="AW465" s="11"/>
      <c r="AX465" s="11"/>
      <c r="AY465" s="11"/>
      <c r="AZ465" s="11"/>
      <c r="BA465" s="11"/>
      <c r="BB465" s="11"/>
      <c r="BC465" s="11"/>
      <c r="BD465" s="11"/>
      <c r="BE465" s="11"/>
      <c r="BF465" s="11"/>
      <c r="BG465" s="11"/>
      <c r="BH465" s="11"/>
      <c r="BI465" s="11"/>
      <c r="BJ465" s="11"/>
      <c r="BK465" s="11"/>
      <c r="BL465" s="11"/>
      <c r="BM465" s="11"/>
      <c r="BN465" s="11"/>
    </row>
    <row r="466" spans="1:66">
      <c r="A466" s="11"/>
      <c r="B466" s="11"/>
      <c r="C466" s="11"/>
      <c r="D466" s="11"/>
      <c r="E466" s="11"/>
      <c r="F466" s="11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11"/>
      <c r="Y466" s="11"/>
      <c r="Z466" s="11"/>
      <c r="AA466" s="11"/>
      <c r="AB466" s="11"/>
      <c r="AC466" s="11"/>
      <c r="AD466" s="11"/>
      <c r="AE466" s="11"/>
      <c r="AF466" s="11"/>
      <c r="AG466" s="11"/>
      <c r="AH466" s="11"/>
      <c r="AI466" s="11"/>
      <c r="AJ466" s="11"/>
      <c r="AK466" s="11"/>
      <c r="AL466" s="11"/>
      <c r="AM466" s="11"/>
      <c r="AN466" s="11"/>
      <c r="AO466" s="11"/>
      <c r="AP466" s="11"/>
      <c r="AQ466" s="11"/>
      <c r="AR466" s="11"/>
      <c r="AS466" s="11"/>
      <c r="AT466" s="11"/>
      <c r="AU466" s="11"/>
      <c r="AV466" s="11"/>
      <c r="AW466" s="11"/>
      <c r="AX466" s="11"/>
      <c r="AY466" s="11"/>
      <c r="AZ466" s="11"/>
      <c r="BA466" s="11"/>
      <c r="BB466" s="11"/>
      <c r="BC466" s="11"/>
      <c r="BD466" s="11"/>
      <c r="BE466" s="11"/>
      <c r="BF466" s="11"/>
      <c r="BG466" s="11"/>
      <c r="BH466" s="11"/>
      <c r="BI466" s="11"/>
      <c r="BJ466" s="11"/>
      <c r="BK466" s="11"/>
      <c r="BL466" s="11"/>
      <c r="BM466" s="11"/>
      <c r="BN466" s="11"/>
    </row>
    <row r="467" spans="1:66">
      <c r="A467" s="11"/>
      <c r="B467" s="11"/>
      <c r="C467" s="11"/>
      <c r="D467" s="11"/>
      <c r="E467" s="11"/>
      <c r="F467" s="11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11"/>
      <c r="Y467" s="11"/>
      <c r="Z467" s="11"/>
      <c r="AA467" s="11"/>
      <c r="AB467" s="11"/>
      <c r="AC467" s="11"/>
      <c r="AD467" s="11"/>
      <c r="AE467" s="11"/>
      <c r="AF467" s="11"/>
      <c r="AG467" s="11"/>
      <c r="AH467" s="11"/>
      <c r="AI467" s="11"/>
      <c r="AJ467" s="11"/>
      <c r="AK467" s="11"/>
      <c r="AL467" s="11"/>
      <c r="AM467" s="11"/>
      <c r="AN467" s="11"/>
      <c r="AO467" s="11"/>
      <c r="AP467" s="11"/>
      <c r="AQ467" s="11"/>
      <c r="AR467" s="11"/>
      <c r="AS467" s="11"/>
      <c r="AT467" s="11"/>
      <c r="AU467" s="11"/>
      <c r="AV467" s="11"/>
      <c r="AW467" s="11"/>
      <c r="AX467" s="11"/>
      <c r="AY467" s="11"/>
      <c r="AZ467" s="11"/>
      <c r="BA467" s="11"/>
      <c r="BB467" s="11"/>
      <c r="BC467" s="11"/>
      <c r="BD467" s="11"/>
      <c r="BE467" s="11"/>
      <c r="BF467" s="11"/>
      <c r="BG467" s="11"/>
      <c r="BH467" s="11"/>
      <c r="BI467" s="11"/>
      <c r="BJ467" s="11"/>
      <c r="BK467" s="11"/>
      <c r="BL467" s="11"/>
      <c r="BM467" s="11"/>
      <c r="BN467" s="11"/>
    </row>
    <row r="468" spans="1:66">
      <c r="A468" s="11"/>
      <c r="B468" s="11"/>
      <c r="C468" s="11"/>
      <c r="D468" s="11"/>
      <c r="E468" s="11"/>
      <c r="F468" s="11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Y468" s="11"/>
      <c r="Z468" s="11"/>
      <c r="AA468" s="11"/>
      <c r="AB468" s="11"/>
      <c r="AC468" s="11"/>
      <c r="AD468" s="11"/>
      <c r="AE468" s="11"/>
      <c r="AF468" s="11"/>
      <c r="AG468" s="11"/>
      <c r="AH468" s="11"/>
      <c r="AI468" s="11"/>
      <c r="AJ468" s="11"/>
      <c r="AK468" s="11"/>
      <c r="AL468" s="11"/>
      <c r="AM468" s="11"/>
      <c r="AN468" s="11"/>
      <c r="AO468" s="11"/>
      <c r="AP468" s="11"/>
      <c r="AQ468" s="11"/>
      <c r="AR468" s="11"/>
      <c r="AS468" s="11"/>
      <c r="AT468" s="11"/>
      <c r="AU468" s="11"/>
      <c r="AV468" s="11"/>
      <c r="AW468" s="11"/>
      <c r="AX468" s="11"/>
      <c r="AY468" s="11"/>
      <c r="AZ468" s="11"/>
      <c r="BA468" s="11"/>
      <c r="BB468" s="11"/>
      <c r="BC468" s="11"/>
      <c r="BD468" s="11"/>
      <c r="BE468" s="11"/>
      <c r="BF468" s="11"/>
      <c r="BG468" s="11"/>
      <c r="BH468" s="11"/>
      <c r="BI468" s="11"/>
      <c r="BJ468" s="11"/>
      <c r="BK468" s="11"/>
      <c r="BL468" s="11"/>
      <c r="BM468" s="11"/>
      <c r="BN468" s="11"/>
    </row>
    <row r="469" spans="1:66">
      <c r="A469" s="11"/>
      <c r="B469" s="11"/>
      <c r="C469" s="11"/>
      <c r="D469" s="11"/>
      <c r="E469" s="11"/>
      <c r="F469" s="11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  <c r="Y469" s="11"/>
      <c r="Z469" s="11"/>
      <c r="AA469" s="11"/>
      <c r="AB469" s="11"/>
      <c r="AC469" s="11"/>
      <c r="AD469" s="11"/>
      <c r="AE469" s="11"/>
      <c r="AF469" s="11"/>
      <c r="AG469" s="11"/>
      <c r="AH469" s="11"/>
      <c r="AI469" s="11"/>
      <c r="AJ469" s="11"/>
      <c r="AK469" s="11"/>
      <c r="AL469" s="11"/>
      <c r="AM469" s="11"/>
      <c r="AN469" s="11"/>
      <c r="AO469" s="11"/>
      <c r="AP469" s="11"/>
      <c r="AQ469" s="11"/>
      <c r="AR469" s="11"/>
      <c r="AS469" s="11"/>
      <c r="AT469" s="11"/>
      <c r="AU469" s="11"/>
      <c r="AV469" s="11"/>
      <c r="AW469" s="11"/>
      <c r="AX469" s="11"/>
      <c r="AY469" s="11"/>
      <c r="AZ469" s="11"/>
      <c r="BA469" s="11"/>
      <c r="BB469" s="11"/>
      <c r="BC469" s="11"/>
      <c r="BD469" s="11"/>
      <c r="BE469" s="11"/>
      <c r="BF469" s="11"/>
      <c r="BG469" s="11"/>
      <c r="BH469" s="11"/>
      <c r="BI469" s="11"/>
      <c r="BJ469" s="11"/>
      <c r="BK469" s="11"/>
      <c r="BL469" s="11"/>
      <c r="BM469" s="11"/>
      <c r="BN469" s="11"/>
    </row>
    <row r="470" spans="1:66">
      <c r="A470" s="11"/>
      <c r="B470" s="11"/>
      <c r="C470" s="11"/>
      <c r="D470" s="11"/>
      <c r="E470" s="11"/>
      <c r="F470" s="11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11"/>
      <c r="Y470" s="11"/>
      <c r="Z470" s="11"/>
      <c r="AA470" s="11"/>
      <c r="AB470" s="11"/>
      <c r="AC470" s="11"/>
      <c r="AD470" s="11"/>
      <c r="AE470" s="11"/>
      <c r="AF470" s="11"/>
      <c r="AG470" s="11"/>
      <c r="AH470" s="11"/>
      <c r="AI470" s="11"/>
      <c r="AJ470" s="11"/>
      <c r="AK470" s="11"/>
      <c r="AL470" s="11"/>
      <c r="AM470" s="11"/>
      <c r="AN470" s="11"/>
      <c r="AO470" s="11"/>
      <c r="AP470" s="11"/>
      <c r="AQ470" s="11"/>
      <c r="AR470" s="11"/>
      <c r="AS470" s="11"/>
      <c r="AT470" s="11"/>
      <c r="AU470" s="11"/>
      <c r="AV470" s="11"/>
      <c r="AW470" s="11"/>
      <c r="AX470" s="11"/>
      <c r="AY470" s="11"/>
      <c r="AZ470" s="11"/>
      <c r="BA470" s="11"/>
      <c r="BB470" s="11"/>
      <c r="BC470" s="11"/>
      <c r="BD470" s="11"/>
      <c r="BE470" s="11"/>
      <c r="BF470" s="11"/>
      <c r="BG470" s="11"/>
      <c r="BH470" s="11"/>
      <c r="BI470" s="11"/>
      <c r="BJ470" s="11"/>
      <c r="BK470" s="11"/>
      <c r="BL470" s="11"/>
      <c r="BM470" s="11"/>
      <c r="BN470" s="11"/>
    </row>
    <row r="471" spans="1:66">
      <c r="A471" s="11"/>
      <c r="B471" s="11"/>
      <c r="C471" s="11"/>
      <c r="D471" s="11"/>
      <c r="E471" s="11"/>
      <c r="F471" s="11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11"/>
      <c r="Y471" s="11"/>
      <c r="Z471" s="11"/>
      <c r="AA471" s="11"/>
      <c r="AB471" s="11"/>
      <c r="AC471" s="11"/>
      <c r="AD471" s="11"/>
      <c r="AE471" s="11"/>
      <c r="AF471" s="11"/>
      <c r="AG471" s="11"/>
      <c r="AH471" s="11"/>
      <c r="AI471" s="11"/>
      <c r="AJ471" s="11"/>
      <c r="AK471" s="11"/>
      <c r="AL471" s="11"/>
      <c r="AM471" s="11"/>
      <c r="AN471" s="11"/>
      <c r="AO471" s="11"/>
      <c r="AP471" s="11"/>
      <c r="AQ471" s="11"/>
      <c r="AR471" s="11"/>
      <c r="AS471" s="11"/>
      <c r="AT471" s="11"/>
      <c r="AU471" s="11"/>
      <c r="AV471" s="11"/>
      <c r="AW471" s="11"/>
      <c r="AX471" s="11"/>
      <c r="AY471" s="11"/>
      <c r="AZ471" s="11"/>
      <c r="BA471" s="11"/>
      <c r="BB471" s="11"/>
      <c r="BC471" s="11"/>
      <c r="BD471" s="11"/>
      <c r="BE471" s="11"/>
      <c r="BF471" s="11"/>
      <c r="BG471" s="11"/>
      <c r="BH471" s="11"/>
      <c r="BI471" s="11"/>
      <c r="BJ471" s="11"/>
      <c r="BK471" s="11"/>
      <c r="BL471" s="11"/>
      <c r="BM471" s="11"/>
      <c r="BN471" s="11"/>
    </row>
    <row r="472" spans="1:66">
      <c r="A472" s="11"/>
      <c r="B472" s="11"/>
      <c r="C472" s="11"/>
      <c r="D472" s="11"/>
      <c r="E472" s="11"/>
      <c r="F472" s="11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  <c r="AA472" s="11"/>
      <c r="AB472" s="11"/>
      <c r="AC472" s="11"/>
      <c r="AD472" s="11"/>
      <c r="AE472" s="11"/>
      <c r="AF472" s="11"/>
      <c r="AG472" s="11"/>
      <c r="AH472" s="11"/>
      <c r="AI472" s="11"/>
      <c r="AJ472" s="11"/>
      <c r="AK472" s="11"/>
      <c r="AL472" s="11"/>
      <c r="AM472" s="11"/>
      <c r="AN472" s="11"/>
      <c r="AO472" s="11"/>
      <c r="AP472" s="11"/>
      <c r="AQ472" s="11"/>
      <c r="AR472" s="11"/>
      <c r="AS472" s="11"/>
      <c r="AT472" s="11"/>
      <c r="AU472" s="11"/>
      <c r="AV472" s="11"/>
      <c r="AW472" s="11"/>
      <c r="AX472" s="11"/>
      <c r="AY472" s="11"/>
      <c r="AZ472" s="11"/>
      <c r="BA472" s="11"/>
      <c r="BB472" s="11"/>
      <c r="BC472" s="11"/>
      <c r="BD472" s="11"/>
      <c r="BE472" s="11"/>
      <c r="BF472" s="11"/>
      <c r="BG472" s="11"/>
      <c r="BH472" s="11"/>
      <c r="BI472" s="11"/>
      <c r="BJ472" s="11"/>
      <c r="BK472" s="11"/>
      <c r="BL472" s="11"/>
      <c r="BM472" s="11"/>
      <c r="BN472" s="11"/>
    </row>
    <row r="473" spans="1:66">
      <c r="A473" s="11"/>
      <c r="B473" s="11"/>
      <c r="C473" s="11"/>
      <c r="D473" s="11"/>
      <c r="E473" s="11"/>
      <c r="F473" s="11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11"/>
      <c r="Y473" s="11"/>
      <c r="Z473" s="11"/>
      <c r="AA473" s="11"/>
      <c r="AB473" s="11"/>
      <c r="AC473" s="11"/>
      <c r="AD473" s="11"/>
      <c r="AE473" s="11"/>
      <c r="AF473" s="11"/>
      <c r="AG473" s="11"/>
      <c r="AH473" s="11"/>
      <c r="AI473" s="11"/>
      <c r="AJ473" s="11"/>
      <c r="AK473" s="11"/>
      <c r="AL473" s="11"/>
      <c r="AM473" s="11"/>
      <c r="AN473" s="11"/>
      <c r="AO473" s="11"/>
      <c r="AP473" s="11"/>
      <c r="AQ473" s="11"/>
      <c r="AR473" s="11"/>
      <c r="AS473" s="11"/>
      <c r="AT473" s="11"/>
      <c r="AU473" s="11"/>
      <c r="AV473" s="11"/>
      <c r="AW473" s="11"/>
      <c r="AX473" s="11"/>
      <c r="AY473" s="11"/>
      <c r="AZ473" s="11"/>
      <c r="BA473" s="11"/>
      <c r="BB473" s="11"/>
      <c r="BC473" s="11"/>
      <c r="BD473" s="11"/>
      <c r="BE473" s="11"/>
      <c r="BF473" s="11"/>
      <c r="BG473" s="11"/>
      <c r="BH473" s="11"/>
      <c r="BI473" s="11"/>
      <c r="BJ473" s="11"/>
      <c r="BK473" s="11"/>
      <c r="BL473" s="11"/>
      <c r="BM473" s="11"/>
      <c r="BN473" s="11"/>
    </row>
    <row r="474" spans="1:66">
      <c r="A474" s="11"/>
      <c r="B474" s="11"/>
      <c r="C474" s="11"/>
      <c r="D474" s="11"/>
      <c r="E474" s="11"/>
      <c r="F474" s="11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  <c r="AA474" s="11"/>
      <c r="AB474" s="11"/>
      <c r="AC474" s="11"/>
      <c r="AD474" s="11"/>
      <c r="AE474" s="11"/>
      <c r="AF474" s="11"/>
      <c r="AG474" s="11"/>
      <c r="AH474" s="11"/>
      <c r="AI474" s="11"/>
      <c r="AJ474" s="11"/>
      <c r="AK474" s="11"/>
      <c r="AL474" s="11"/>
      <c r="AM474" s="11"/>
      <c r="AN474" s="11"/>
      <c r="AO474" s="11"/>
      <c r="AP474" s="11"/>
      <c r="AQ474" s="11"/>
      <c r="AR474" s="11"/>
      <c r="AS474" s="11"/>
      <c r="AT474" s="11"/>
      <c r="AU474" s="11"/>
      <c r="AV474" s="11"/>
      <c r="AW474" s="11"/>
      <c r="AX474" s="11"/>
      <c r="AY474" s="11"/>
      <c r="AZ474" s="11"/>
      <c r="BA474" s="11"/>
      <c r="BB474" s="11"/>
      <c r="BC474" s="11"/>
      <c r="BD474" s="11"/>
      <c r="BE474" s="11"/>
      <c r="BF474" s="11"/>
      <c r="BG474" s="11"/>
      <c r="BH474" s="11"/>
      <c r="BI474" s="11"/>
      <c r="BJ474" s="11"/>
      <c r="BK474" s="11"/>
      <c r="BL474" s="11"/>
      <c r="BM474" s="11"/>
      <c r="BN474" s="11"/>
    </row>
    <row r="475" spans="1:66">
      <c r="A475" s="11"/>
      <c r="B475" s="11"/>
      <c r="C475" s="11"/>
      <c r="D475" s="11"/>
      <c r="E475" s="11"/>
      <c r="F475" s="11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  <c r="Y475" s="11"/>
      <c r="Z475" s="11"/>
      <c r="AA475" s="11"/>
      <c r="AB475" s="11"/>
      <c r="AC475" s="11"/>
      <c r="AD475" s="11"/>
      <c r="AE475" s="11"/>
      <c r="AF475" s="11"/>
      <c r="AG475" s="11"/>
      <c r="AH475" s="11"/>
      <c r="AI475" s="11"/>
      <c r="AJ475" s="11"/>
      <c r="AK475" s="11"/>
      <c r="AL475" s="11"/>
      <c r="AM475" s="11"/>
      <c r="AN475" s="11"/>
      <c r="AO475" s="11"/>
      <c r="AP475" s="11"/>
      <c r="AQ475" s="11"/>
      <c r="AR475" s="11"/>
      <c r="AS475" s="11"/>
      <c r="AT475" s="11"/>
      <c r="AU475" s="11"/>
      <c r="AV475" s="11"/>
      <c r="AW475" s="11"/>
      <c r="AX475" s="11"/>
      <c r="AY475" s="11"/>
      <c r="AZ475" s="11"/>
      <c r="BA475" s="11"/>
      <c r="BB475" s="11"/>
      <c r="BC475" s="11"/>
      <c r="BD475" s="11"/>
      <c r="BE475" s="11"/>
      <c r="BF475" s="11"/>
      <c r="BG475" s="11"/>
      <c r="BH475" s="11"/>
      <c r="BI475" s="11"/>
      <c r="BJ475" s="11"/>
      <c r="BK475" s="11"/>
      <c r="BL475" s="11"/>
      <c r="BM475" s="11"/>
      <c r="BN475" s="11"/>
    </row>
    <row r="476" spans="1:66">
      <c r="A476" s="11"/>
      <c r="B476" s="11"/>
      <c r="C476" s="11"/>
      <c r="D476" s="11"/>
      <c r="E476" s="11"/>
      <c r="F476" s="11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/>
      <c r="Z476" s="11"/>
      <c r="AA476" s="11"/>
      <c r="AB476" s="11"/>
      <c r="AC476" s="11"/>
      <c r="AD476" s="11"/>
      <c r="AE476" s="11"/>
      <c r="AF476" s="11"/>
      <c r="AG476" s="11"/>
      <c r="AH476" s="11"/>
      <c r="AI476" s="11"/>
      <c r="AJ476" s="11"/>
      <c r="AK476" s="11"/>
      <c r="AL476" s="11"/>
      <c r="AM476" s="11"/>
      <c r="AN476" s="11"/>
      <c r="AO476" s="11"/>
      <c r="AP476" s="11"/>
      <c r="AQ476" s="11"/>
      <c r="AR476" s="11"/>
      <c r="AS476" s="11"/>
      <c r="AT476" s="11"/>
      <c r="AU476" s="11"/>
      <c r="AV476" s="11"/>
      <c r="AW476" s="11"/>
      <c r="AX476" s="11"/>
      <c r="AY476" s="11"/>
      <c r="AZ476" s="11"/>
      <c r="BA476" s="11"/>
      <c r="BB476" s="11"/>
      <c r="BC476" s="11"/>
      <c r="BD476" s="11"/>
      <c r="BE476" s="11"/>
      <c r="BF476" s="11"/>
      <c r="BG476" s="11"/>
      <c r="BH476" s="11"/>
      <c r="BI476" s="11"/>
      <c r="BJ476" s="11"/>
      <c r="BK476" s="11"/>
      <c r="BL476" s="11"/>
      <c r="BM476" s="11"/>
      <c r="BN476" s="11"/>
    </row>
    <row r="477" spans="1:66">
      <c r="A477" s="11"/>
      <c r="B477" s="11"/>
      <c r="C477" s="11"/>
      <c r="D477" s="11"/>
      <c r="E477" s="11"/>
      <c r="F477" s="11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Y477" s="11"/>
      <c r="Z477" s="11"/>
      <c r="AA477" s="11"/>
      <c r="AB477" s="11"/>
      <c r="AC477" s="11"/>
      <c r="AD477" s="11"/>
      <c r="AE477" s="11"/>
      <c r="AF477" s="11"/>
      <c r="AG477" s="11"/>
      <c r="AH477" s="11"/>
      <c r="AI477" s="11"/>
      <c r="AJ477" s="11"/>
      <c r="AK477" s="11"/>
      <c r="AL477" s="11"/>
      <c r="AM477" s="11"/>
      <c r="AN477" s="11"/>
      <c r="AO477" s="11"/>
      <c r="AP477" s="11"/>
      <c r="AQ477" s="11"/>
      <c r="AR477" s="11"/>
      <c r="AS477" s="11"/>
      <c r="AT477" s="11"/>
      <c r="AU477" s="11"/>
      <c r="AV477" s="11"/>
      <c r="AW477" s="11"/>
      <c r="AX477" s="11"/>
      <c r="AY477" s="11"/>
      <c r="AZ477" s="11"/>
      <c r="BA477" s="11"/>
      <c r="BB477" s="11"/>
      <c r="BC477" s="11"/>
      <c r="BD477" s="11"/>
      <c r="BE477" s="11"/>
      <c r="BF477" s="11"/>
      <c r="BG477" s="11"/>
      <c r="BH477" s="11"/>
      <c r="BI477" s="11"/>
      <c r="BJ477" s="11"/>
      <c r="BK477" s="11"/>
      <c r="BL477" s="11"/>
      <c r="BM477" s="11"/>
      <c r="BN477" s="11"/>
    </row>
    <row r="478" spans="1:66">
      <c r="A478" s="11"/>
      <c r="B478" s="11"/>
      <c r="C478" s="11"/>
      <c r="D478" s="11"/>
      <c r="E478" s="11"/>
      <c r="F478" s="11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  <c r="Y478" s="11"/>
      <c r="Z478" s="11"/>
      <c r="AA478" s="11"/>
      <c r="AB478" s="11"/>
      <c r="AC478" s="11"/>
      <c r="AD478" s="11"/>
      <c r="AE478" s="11"/>
      <c r="AF478" s="11"/>
      <c r="AG478" s="11"/>
      <c r="AH478" s="11"/>
      <c r="AI478" s="11"/>
      <c r="AJ478" s="11"/>
      <c r="AK478" s="11"/>
      <c r="AL478" s="11"/>
      <c r="AM478" s="11"/>
      <c r="AN478" s="11"/>
      <c r="AO478" s="11"/>
      <c r="AP478" s="11"/>
      <c r="AQ478" s="11"/>
      <c r="AR478" s="11"/>
      <c r="AS478" s="11"/>
      <c r="AT478" s="11"/>
      <c r="AU478" s="11"/>
      <c r="AV478" s="11"/>
      <c r="AW478" s="11"/>
      <c r="AX478" s="11"/>
      <c r="AY478" s="11"/>
      <c r="AZ478" s="11"/>
      <c r="BA478" s="11"/>
      <c r="BB478" s="11"/>
      <c r="BC478" s="11"/>
      <c r="BD478" s="11"/>
      <c r="BE478" s="11"/>
      <c r="BF478" s="11"/>
      <c r="BG478" s="11"/>
      <c r="BH478" s="11"/>
      <c r="BI478" s="11"/>
      <c r="BJ478" s="11"/>
      <c r="BK478" s="11"/>
      <c r="BL478" s="11"/>
      <c r="BM478" s="11"/>
      <c r="BN478" s="11"/>
    </row>
    <row r="479" spans="1:66">
      <c r="A479" s="11"/>
      <c r="B479" s="11"/>
      <c r="C479" s="11"/>
      <c r="D479" s="11"/>
      <c r="E479" s="11"/>
      <c r="F479" s="11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  <c r="Y479" s="11"/>
      <c r="Z479" s="11"/>
      <c r="AA479" s="11"/>
      <c r="AB479" s="11"/>
      <c r="AC479" s="11"/>
      <c r="AD479" s="11"/>
      <c r="AE479" s="11"/>
      <c r="AF479" s="11"/>
      <c r="AG479" s="11"/>
      <c r="AH479" s="11"/>
      <c r="AI479" s="11"/>
      <c r="AJ479" s="11"/>
      <c r="AK479" s="11"/>
      <c r="AL479" s="11"/>
      <c r="AM479" s="11"/>
      <c r="AN479" s="11"/>
      <c r="AO479" s="11"/>
      <c r="AP479" s="11"/>
      <c r="AQ479" s="11"/>
      <c r="AR479" s="11"/>
      <c r="AS479" s="11"/>
      <c r="AT479" s="11"/>
      <c r="AU479" s="11"/>
      <c r="AV479" s="11"/>
      <c r="AW479" s="11"/>
      <c r="AX479" s="11"/>
      <c r="AY479" s="11"/>
      <c r="AZ479" s="11"/>
      <c r="BA479" s="11"/>
      <c r="BB479" s="11"/>
      <c r="BC479" s="11"/>
      <c r="BD479" s="11"/>
      <c r="BE479" s="11"/>
      <c r="BF479" s="11"/>
      <c r="BG479" s="11"/>
      <c r="BH479" s="11"/>
      <c r="BI479" s="11"/>
      <c r="BJ479" s="11"/>
      <c r="BK479" s="11"/>
      <c r="BL479" s="11"/>
      <c r="BM479" s="11"/>
      <c r="BN479" s="11"/>
    </row>
    <row r="480" spans="1:66">
      <c r="A480" s="11"/>
      <c r="B480" s="11"/>
      <c r="C480" s="11"/>
      <c r="D480" s="11"/>
      <c r="E480" s="11"/>
      <c r="F480" s="11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/>
      <c r="Z480" s="11"/>
      <c r="AA480" s="11"/>
      <c r="AB480" s="11"/>
      <c r="AC480" s="11"/>
      <c r="AD480" s="11"/>
      <c r="AE480" s="11"/>
      <c r="AF480" s="11"/>
      <c r="AG480" s="11"/>
      <c r="AH480" s="11"/>
      <c r="AI480" s="11"/>
      <c r="AJ480" s="11"/>
      <c r="AK480" s="11"/>
      <c r="AL480" s="11"/>
      <c r="AM480" s="11"/>
      <c r="AN480" s="11"/>
      <c r="AO480" s="11"/>
      <c r="AP480" s="11"/>
      <c r="AQ480" s="11"/>
      <c r="AR480" s="11"/>
      <c r="AS480" s="11"/>
      <c r="AT480" s="11"/>
      <c r="AU480" s="11"/>
      <c r="AV480" s="11"/>
      <c r="AW480" s="11"/>
      <c r="AX480" s="11"/>
      <c r="AY480" s="11"/>
      <c r="AZ480" s="11"/>
      <c r="BA480" s="11"/>
      <c r="BB480" s="11"/>
      <c r="BC480" s="11"/>
      <c r="BD480" s="11"/>
      <c r="BE480" s="11"/>
      <c r="BF480" s="11"/>
      <c r="BG480" s="11"/>
      <c r="BH480" s="11"/>
      <c r="BI480" s="11"/>
      <c r="BJ480" s="11"/>
      <c r="BK480" s="11"/>
      <c r="BL480" s="11"/>
      <c r="BM480" s="11"/>
      <c r="BN480" s="11"/>
    </row>
    <row r="481" spans="1:66">
      <c r="A481" s="11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  <c r="AA481" s="11"/>
      <c r="AB481" s="11"/>
      <c r="AC481" s="11"/>
      <c r="AD481" s="11"/>
      <c r="AE481" s="11"/>
      <c r="AF481" s="11"/>
      <c r="AG481" s="11"/>
      <c r="AH481" s="11"/>
      <c r="AI481" s="11"/>
      <c r="AJ481" s="11"/>
      <c r="AK481" s="11"/>
      <c r="AL481" s="11"/>
      <c r="AM481" s="11"/>
      <c r="AN481" s="11"/>
      <c r="AO481" s="11"/>
      <c r="AP481" s="11"/>
      <c r="AQ481" s="11"/>
      <c r="AR481" s="11"/>
      <c r="AS481" s="11"/>
      <c r="AT481" s="11"/>
      <c r="AU481" s="11"/>
      <c r="AV481" s="11"/>
      <c r="AW481" s="11"/>
      <c r="AX481" s="11"/>
      <c r="AY481" s="11"/>
      <c r="AZ481" s="11"/>
      <c r="BA481" s="11"/>
      <c r="BB481" s="11"/>
      <c r="BC481" s="11"/>
      <c r="BD481" s="11"/>
      <c r="BE481" s="11"/>
      <c r="BF481" s="11"/>
      <c r="BG481" s="11"/>
      <c r="BH481" s="11"/>
      <c r="BI481" s="11"/>
      <c r="BJ481" s="11"/>
      <c r="BK481" s="11"/>
      <c r="BL481" s="11"/>
      <c r="BM481" s="11"/>
      <c r="BN481" s="11"/>
    </row>
    <row r="482" spans="1:66">
      <c r="A482" s="11"/>
      <c r="B482" s="11"/>
      <c r="C482" s="11"/>
      <c r="D482" s="11"/>
      <c r="E482" s="11"/>
      <c r="F482" s="11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  <c r="Y482" s="11"/>
      <c r="Z482" s="11"/>
      <c r="AA482" s="11"/>
      <c r="AB482" s="11"/>
      <c r="AC482" s="11"/>
      <c r="AD482" s="11"/>
      <c r="AE482" s="11"/>
      <c r="AF482" s="11"/>
      <c r="AG482" s="11"/>
      <c r="AH482" s="11"/>
      <c r="AI482" s="11"/>
      <c r="AJ482" s="11"/>
      <c r="AK482" s="11"/>
      <c r="AL482" s="11"/>
      <c r="AM482" s="11"/>
      <c r="AN482" s="11"/>
      <c r="AO482" s="11"/>
      <c r="AP482" s="11"/>
      <c r="AQ482" s="11"/>
      <c r="AR482" s="11"/>
      <c r="AS482" s="11"/>
      <c r="AT482" s="11"/>
      <c r="AU482" s="11"/>
      <c r="AV482" s="11"/>
      <c r="AW482" s="11"/>
      <c r="AX482" s="11"/>
      <c r="AY482" s="11"/>
      <c r="AZ482" s="11"/>
      <c r="BA482" s="11"/>
      <c r="BB482" s="11"/>
      <c r="BC482" s="11"/>
      <c r="BD482" s="11"/>
      <c r="BE482" s="11"/>
      <c r="BF482" s="11"/>
      <c r="BG482" s="11"/>
      <c r="BH482" s="11"/>
      <c r="BI482" s="11"/>
      <c r="BJ482" s="11"/>
      <c r="BK482" s="11"/>
      <c r="BL482" s="11"/>
      <c r="BM482" s="11"/>
      <c r="BN482" s="11"/>
    </row>
    <row r="483" spans="1:66">
      <c r="A483" s="11"/>
      <c r="B483" s="11"/>
      <c r="C483" s="11"/>
      <c r="D483" s="11"/>
      <c r="E483" s="11"/>
      <c r="F483" s="11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  <c r="Y483" s="11"/>
      <c r="Z483" s="11"/>
      <c r="AA483" s="11"/>
      <c r="AB483" s="11"/>
      <c r="AC483" s="11"/>
      <c r="AD483" s="11"/>
      <c r="AE483" s="11"/>
      <c r="AF483" s="11"/>
      <c r="AG483" s="11"/>
      <c r="AH483" s="11"/>
      <c r="AI483" s="11"/>
      <c r="AJ483" s="11"/>
      <c r="AK483" s="11"/>
      <c r="AL483" s="11"/>
      <c r="AM483" s="11"/>
      <c r="AN483" s="11"/>
      <c r="AO483" s="11"/>
      <c r="AP483" s="11"/>
      <c r="AQ483" s="11"/>
      <c r="AR483" s="11"/>
      <c r="AS483" s="11"/>
      <c r="AT483" s="11"/>
      <c r="AU483" s="11"/>
      <c r="AV483" s="11"/>
      <c r="AW483" s="11"/>
      <c r="AX483" s="11"/>
      <c r="AY483" s="11"/>
      <c r="AZ483" s="11"/>
      <c r="BA483" s="11"/>
      <c r="BB483" s="11"/>
      <c r="BC483" s="11"/>
      <c r="BD483" s="11"/>
      <c r="BE483" s="11"/>
      <c r="BF483" s="11"/>
      <c r="BG483" s="11"/>
      <c r="BH483" s="11"/>
      <c r="BI483" s="11"/>
      <c r="BJ483" s="11"/>
      <c r="BK483" s="11"/>
      <c r="BL483" s="11"/>
      <c r="BM483" s="11"/>
      <c r="BN483" s="11"/>
    </row>
    <row r="484" spans="1:66">
      <c r="A484" s="11"/>
      <c r="B484" s="11"/>
      <c r="C484" s="11"/>
      <c r="D484" s="11"/>
      <c r="E484" s="11"/>
      <c r="F484" s="11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  <c r="AA484" s="11"/>
      <c r="AB484" s="11"/>
      <c r="AC484" s="11"/>
      <c r="AD484" s="11"/>
      <c r="AE484" s="11"/>
      <c r="AF484" s="11"/>
      <c r="AG484" s="11"/>
      <c r="AH484" s="11"/>
      <c r="AI484" s="11"/>
      <c r="AJ484" s="11"/>
      <c r="AK484" s="11"/>
      <c r="AL484" s="11"/>
      <c r="AM484" s="11"/>
      <c r="AN484" s="11"/>
      <c r="AO484" s="11"/>
      <c r="AP484" s="11"/>
      <c r="AQ484" s="11"/>
      <c r="AR484" s="11"/>
      <c r="AS484" s="11"/>
      <c r="AT484" s="11"/>
      <c r="AU484" s="11"/>
      <c r="AV484" s="11"/>
      <c r="AW484" s="11"/>
      <c r="AX484" s="11"/>
      <c r="AY484" s="11"/>
      <c r="AZ484" s="11"/>
      <c r="BA484" s="11"/>
      <c r="BB484" s="11"/>
      <c r="BC484" s="11"/>
      <c r="BD484" s="11"/>
      <c r="BE484" s="11"/>
      <c r="BF484" s="11"/>
      <c r="BG484" s="11"/>
      <c r="BH484" s="11"/>
      <c r="BI484" s="11"/>
      <c r="BJ484" s="11"/>
      <c r="BK484" s="11"/>
      <c r="BL484" s="11"/>
      <c r="BM484" s="11"/>
      <c r="BN484" s="11"/>
    </row>
    <row r="485" spans="1:66">
      <c r="A485" s="11"/>
      <c r="B485" s="11"/>
      <c r="C485" s="11"/>
      <c r="D485" s="11"/>
      <c r="E485" s="11"/>
      <c r="F485" s="11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  <c r="Y485" s="11"/>
      <c r="Z485" s="11"/>
      <c r="AA485" s="11"/>
      <c r="AB485" s="11"/>
      <c r="AC485" s="11"/>
      <c r="AD485" s="11"/>
      <c r="AE485" s="11"/>
      <c r="AF485" s="11"/>
      <c r="AG485" s="11"/>
      <c r="AH485" s="11"/>
      <c r="AI485" s="11"/>
      <c r="AJ485" s="11"/>
      <c r="AK485" s="11"/>
      <c r="AL485" s="11"/>
      <c r="AM485" s="11"/>
      <c r="AN485" s="11"/>
      <c r="AO485" s="11"/>
      <c r="AP485" s="11"/>
      <c r="AQ485" s="11"/>
      <c r="AR485" s="11"/>
      <c r="AS485" s="11"/>
      <c r="AT485" s="11"/>
      <c r="AU485" s="11"/>
      <c r="AV485" s="11"/>
      <c r="AW485" s="11"/>
      <c r="AX485" s="11"/>
      <c r="AY485" s="11"/>
      <c r="AZ485" s="11"/>
      <c r="BA485" s="11"/>
      <c r="BB485" s="11"/>
      <c r="BC485" s="11"/>
      <c r="BD485" s="11"/>
      <c r="BE485" s="11"/>
      <c r="BF485" s="11"/>
      <c r="BG485" s="11"/>
      <c r="BH485" s="11"/>
      <c r="BI485" s="11"/>
      <c r="BJ485" s="11"/>
      <c r="BK485" s="11"/>
      <c r="BL485" s="11"/>
      <c r="BM485" s="11"/>
      <c r="BN485" s="11"/>
    </row>
    <row r="486" spans="1:66">
      <c r="A486" s="11"/>
      <c r="B486" s="11"/>
      <c r="C486" s="11"/>
      <c r="D486" s="11"/>
      <c r="E486" s="11"/>
      <c r="F486" s="11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  <c r="Y486" s="11"/>
      <c r="Z486" s="11"/>
      <c r="AA486" s="11"/>
      <c r="AB486" s="11"/>
      <c r="AC486" s="11"/>
      <c r="AD486" s="11"/>
      <c r="AE486" s="11"/>
      <c r="AF486" s="11"/>
      <c r="AG486" s="11"/>
      <c r="AH486" s="11"/>
      <c r="AI486" s="11"/>
      <c r="AJ486" s="11"/>
      <c r="AK486" s="11"/>
      <c r="AL486" s="11"/>
      <c r="AM486" s="11"/>
      <c r="AN486" s="11"/>
      <c r="AO486" s="11"/>
      <c r="AP486" s="11"/>
      <c r="AQ486" s="11"/>
      <c r="AR486" s="11"/>
      <c r="AS486" s="11"/>
      <c r="AT486" s="11"/>
      <c r="AU486" s="11"/>
      <c r="AV486" s="11"/>
      <c r="AW486" s="11"/>
      <c r="AX486" s="11"/>
      <c r="AY486" s="11"/>
      <c r="AZ486" s="11"/>
      <c r="BA486" s="11"/>
      <c r="BB486" s="11"/>
      <c r="BC486" s="11"/>
      <c r="BD486" s="11"/>
      <c r="BE486" s="11"/>
      <c r="BF486" s="11"/>
      <c r="BG486" s="11"/>
      <c r="BH486" s="11"/>
      <c r="BI486" s="11"/>
      <c r="BJ486" s="11"/>
      <c r="BK486" s="11"/>
      <c r="BL486" s="11"/>
      <c r="BM486" s="11"/>
      <c r="BN486" s="11"/>
    </row>
    <row r="487" spans="1:66">
      <c r="A487" s="11"/>
      <c r="B487" s="11"/>
      <c r="C487" s="11"/>
      <c r="D487" s="11"/>
      <c r="E487" s="11"/>
      <c r="F487" s="11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  <c r="Y487" s="11"/>
      <c r="Z487" s="11"/>
      <c r="AA487" s="11"/>
      <c r="AB487" s="11"/>
      <c r="AC487" s="11"/>
      <c r="AD487" s="11"/>
      <c r="AE487" s="11"/>
      <c r="AF487" s="11"/>
      <c r="AG487" s="11"/>
      <c r="AH487" s="11"/>
      <c r="AI487" s="11"/>
      <c r="AJ487" s="11"/>
      <c r="AK487" s="11"/>
      <c r="AL487" s="11"/>
      <c r="AM487" s="11"/>
      <c r="AN487" s="11"/>
      <c r="AO487" s="11"/>
      <c r="AP487" s="11"/>
      <c r="AQ487" s="11"/>
      <c r="AR487" s="11"/>
      <c r="AS487" s="11"/>
      <c r="AT487" s="11"/>
      <c r="AU487" s="11"/>
      <c r="AV487" s="11"/>
      <c r="AW487" s="11"/>
      <c r="AX487" s="11"/>
      <c r="AY487" s="11"/>
      <c r="AZ487" s="11"/>
      <c r="BA487" s="11"/>
      <c r="BB487" s="11"/>
      <c r="BC487" s="11"/>
      <c r="BD487" s="11"/>
      <c r="BE487" s="11"/>
      <c r="BF487" s="11"/>
      <c r="BG487" s="11"/>
      <c r="BH487" s="11"/>
      <c r="BI487" s="11"/>
      <c r="BJ487" s="11"/>
      <c r="BK487" s="11"/>
      <c r="BL487" s="11"/>
      <c r="BM487" s="11"/>
      <c r="BN487" s="11"/>
    </row>
    <row r="488" spans="1:66">
      <c r="A488" s="11"/>
      <c r="B488" s="11"/>
      <c r="C488" s="11"/>
      <c r="D488" s="11"/>
      <c r="E488" s="11"/>
      <c r="F488" s="11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  <c r="AA488" s="11"/>
      <c r="AB488" s="11"/>
      <c r="AC488" s="11"/>
      <c r="AD488" s="11"/>
      <c r="AE488" s="11"/>
      <c r="AF488" s="11"/>
      <c r="AG488" s="11"/>
      <c r="AH488" s="11"/>
      <c r="AI488" s="11"/>
      <c r="AJ488" s="11"/>
      <c r="AK488" s="11"/>
      <c r="AL488" s="11"/>
      <c r="AM488" s="11"/>
      <c r="AN488" s="11"/>
      <c r="AO488" s="11"/>
      <c r="AP488" s="11"/>
      <c r="AQ488" s="11"/>
      <c r="AR488" s="11"/>
      <c r="AS488" s="11"/>
      <c r="AT488" s="11"/>
      <c r="AU488" s="11"/>
      <c r="AV488" s="11"/>
      <c r="AW488" s="11"/>
      <c r="AX488" s="11"/>
      <c r="AY488" s="11"/>
      <c r="AZ488" s="11"/>
      <c r="BA488" s="11"/>
      <c r="BB488" s="11"/>
      <c r="BC488" s="11"/>
      <c r="BD488" s="11"/>
      <c r="BE488" s="11"/>
      <c r="BF488" s="11"/>
      <c r="BG488" s="11"/>
      <c r="BH488" s="11"/>
      <c r="BI488" s="11"/>
      <c r="BJ488" s="11"/>
      <c r="BK488" s="11"/>
      <c r="BL488" s="11"/>
      <c r="BM488" s="11"/>
      <c r="BN488" s="11"/>
    </row>
    <row r="489" spans="1:66">
      <c r="A489" s="11"/>
      <c r="B489" s="11"/>
      <c r="C489" s="11"/>
      <c r="D489" s="11"/>
      <c r="E489" s="11"/>
      <c r="F489" s="11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  <c r="Y489" s="11"/>
      <c r="Z489" s="11"/>
      <c r="AA489" s="11"/>
      <c r="AB489" s="11"/>
      <c r="AC489" s="11"/>
      <c r="AD489" s="11"/>
      <c r="AE489" s="11"/>
      <c r="AF489" s="11"/>
      <c r="AG489" s="11"/>
      <c r="AH489" s="11"/>
      <c r="AI489" s="11"/>
      <c r="AJ489" s="11"/>
      <c r="AK489" s="11"/>
      <c r="AL489" s="11"/>
      <c r="AM489" s="11"/>
      <c r="AN489" s="11"/>
      <c r="AO489" s="11"/>
      <c r="AP489" s="11"/>
      <c r="AQ489" s="11"/>
      <c r="AR489" s="11"/>
      <c r="AS489" s="11"/>
      <c r="AT489" s="11"/>
      <c r="AU489" s="11"/>
      <c r="AV489" s="11"/>
      <c r="AW489" s="11"/>
      <c r="AX489" s="11"/>
      <c r="AY489" s="11"/>
      <c r="AZ489" s="11"/>
      <c r="BA489" s="11"/>
      <c r="BB489" s="11"/>
      <c r="BC489" s="11"/>
      <c r="BD489" s="11"/>
      <c r="BE489" s="11"/>
      <c r="BF489" s="11"/>
      <c r="BG489" s="11"/>
      <c r="BH489" s="11"/>
      <c r="BI489" s="11"/>
      <c r="BJ489" s="11"/>
      <c r="BK489" s="11"/>
      <c r="BL489" s="11"/>
      <c r="BM489" s="11"/>
      <c r="BN489" s="11"/>
    </row>
    <row r="490" spans="1:66">
      <c r="A490" s="11"/>
      <c r="B490" s="11"/>
      <c r="C490" s="11"/>
      <c r="D490" s="11"/>
      <c r="E490" s="11"/>
      <c r="F490" s="11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  <c r="Y490" s="11"/>
      <c r="Z490" s="11"/>
      <c r="AA490" s="11"/>
      <c r="AB490" s="11"/>
      <c r="AC490" s="11"/>
      <c r="AD490" s="11"/>
      <c r="AE490" s="11"/>
      <c r="AF490" s="11"/>
      <c r="AG490" s="11"/>
      <c r="AH490" s="11"/>
      <c r="AI490" s="11"/>
      <c r="AJ490" s="11"/>
      <c r="AK490" s="11"/>
      <c r="AL490" s="11"/>
      <c r="AM490" s="11"/>
      <c r="AN490" s="11"/>
      <c r="AO490" s="11"/>
      <c r="AP490" s="11"/>
      <c r="AQ490" s="11"/>
      <c r="AR490" s="11"/>
      <c r="AS490" s="11"/>
      <c r="AT490" s="11"/>
      <c r="AU490" s="11"/>
      <c r="AV490" s="11"/>
      <c r="AW490" s="11"/>
      <c r="AX490" s="11"/>
      <c r="AY490" s="11"/>
      <c r="AZ490" s="11"/>
      <c r="BA490" s="11"/>
      <c r="BB490" s="11"/>
      <c r="BC490" s="11"/>
      <c r="BD490" s="11"/>
      <c r="BE490" s="11"/>
      <c r="BF490" s="11"/>
      <c r="BG490" s="11"/>
      <c r="BH490" s="11"/>
      <c r="BI490" s="11"/>
      <c r="BJ490" s="11"/>
      <c r="BK490" s="11"/>
      <c r="BL490" s="11"/>
      <c r="BM490" s="11"/>
      <c r="BN490" s="11"/>
    </row>
    <row r="491" spans="1:66">
      <c r="A491" s="11"/>
      <c r="B491" s="11"/>
      <c r="C491" s="11"/>
      <c r="D491" s="11"/>
      <c r="E491" s="11"/>
      <c r="F491" s="11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  <c r="Y491" s="11"/>
      <c r="Z491" s="11"/>
      <c r="AA491" s="11"/>
      <c r="AB491" s="11"/>
      <c r="AC491" s="11"/>
      <c r="AD491" s="11"/>
      <c r="AE491" s="11"/>
      <c r="AF491" s="11"/>
      <c r="AG491" s="11"/>
      <c r="AH491" s="11"/>
      <c r="AI491" s="11"/>
      <c r="AJ491" s="11"/>
      <c r="AK491" s="11"/>
      <c r="AL491" s="11"/>
      <c r="AM491" s="11"/>
      <c r="AN491" s="11"/>
      <c r="AO491" s="11"/>
      <c r="AP491" s="11"/>
      <c r="AQ491" s="11"/>
      <c r="AR491" s="11"/>
      <c r="AS491" s="11"/>
      <c r="AT491" s="11"/>
      <c r="AU491" s="11"/>
      <c r="AV491" s="11"/>
      <c r="AW491" s="11"/>
      <c r="AX491" s="11"/>
      <c r="AY491" s="11"/>
      <c r="AZ491" s="11"/>
      <c r="BA491" s="11"/>
      <c r="BB491" s="11"/>
      <c r="BC491" s="11"/>
      <c r="BD491" s="11"/>
      <c r="BE491" s="11"/>
      <c r="BF491" s="11"/>
      <c r="BG491" s="11"/>
      <c r="BH491" s="11"/>
      <c r="BI491" s="11"/>
      <c r="BJ491" s="11"/>
      <c r="BK491" s="11"/>
      <c r="BL491" s="11"/>
      <c r="BM491" s="11"/>
      <c r="BN491" s="11"/>
    </row>
    <row r="492" spans="1:66">
      <c r="A492" s="11"/>
      <c r="B492" s="11"/>
      <c r="C492" s="11"/>
      <c r="D492" s="11"/>
      <c r="E492" s="11"/>
      <c r="F492" s="11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  <c r="AA492" s="11"/>
      <c r="AB492" s="11"/>
      <c r="AC492" s="11"/>
      <c r="AD492" s="11"/>
      <c r="AE492" s="11"/>
      <c r="AF492" s="11"/>
      <c r="AG492" s="11"/>
      <c r="AH492" s="11"/>
      <c r="AI492" s="11"/>
      <c r="AJ492" s="11"/>
      <c r="AK492" s="11"/>
      <c r="AL492" s="11"/>
      <c r="AM492" s="11"/>
      <c r="AN492" s="11"/>
      <c r="AO492" s="11"/>
      <c r="AP492" s="11"/>
      <c r="AQ492" s="11"/>
      <c r="AR492" s="11"/>
      <c r="AS492" s="11"/>
      <c r="AT492" s="11"/>
      <c r="AU492" s="11"/>
      <c r="AV492" s="11"/>
      <c r="AW492" s="11"/>
      <c r="AX492" s="11"/>
      <c r="AY492" s="11"/>
      <c r="AZ492" s="11"/>
      <c r="BA492" s="11"/>
      <c r="BB492" s="11"/>
      <c r="BC492" s="11"/>
      <c r="BD492" s="11"/>
      <c r="BE492" s="11"/>
      <c r="BF492" s="11"/>
      <c r="BG492" s="11"/>
      <c r="BH492" s="11"/>
      <c r="BI492" s="11"/>
      <c r="BJ492" s="11"/>
      <c r="BK492" s="11"/>
      <c r="BL492" s="11"/>
      <c r="BM492" s="11"/>
      <c r="BN492" s="11"/>
    </row>
    <row r="493" spans="1:66">
      <c r="A493" s="11"/>
      <c r="B493" s="11"/>
      <c r="C493" s="11"/>
      <c r="D493" s="11"/>
      <c r="E493" s="11"/>
      <c r="F493" s="11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Y493" s="11"/>
      <c r="Z493" s="11"/>
      <c r="AA493" s="11"/>
      <c r="AB493" s="11"/>
      <c r="AC493" s="11"/>
      <c r="AD493" s="11"/>
      <c r="AE493" s="11"/>
      <c r="AF493" s="11"/>
      <c r="AG493" s="11"/>
      <c r="AH493" s="11"/>
      <c r="AI493" s="11"/>
      <c r="AJ493" s="11"/>
      <c r="AK493" s="11"/>
      <c r="AL493" s="11"/>
      <c r="AM493" s="11"/>
      <c r="AN493" s="11"/>
      <c r="AO493" s="11"/>
      <c r="AP493" s="11"/>
      <c r="AQ493" s="11"/>
      <c r="AR493" s="11"/>
      <c r="AS493" s="11"/>
      <c r="AT493" s="11"/>
      <c r="AU493" s="11"/>
      <c r="AV493" s="11"/>
      <c r="AW493" s="11"/>
      <c r="AX493" s="11"/>
      <c r="AY493" s="11"/>
      <c r="AZ493" s="11"/>
      <c r="BA493" s="11"/>
      <c r="BB493" s="11"/>
      <c r="BC493" s="11"/>
      <c r="BD493" s="11"/>
      <c r="BE493" s="11"/>
      <c r="BF493" s="11"/>
      <c r="BG493" s="11"/>
      <c r="BH493" s="11"/>
      <c r="BI493" s="11"/>
      <c r="BJ493" s="11"/>
      <c r="BK493" s="11"/>
      <c r="BL493" s="11"/>
      <c r="BM493" s="11"/>
      <c r="BN493" s="11"/>
    </row>
    <row r="494" spans="1:66">
      <c r="A494" s="11"/>
      <c r="B494" s="11"/>
      <c r="C494" s="11"/>
      <c r="D494" s="11"/>
      <c r="E494" s="11"/>
      <c r="F494" s="11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  <c r="AA494" s="11"/>
      <c r="AB494" s="11"/>
      <c r="AC494" s="11"/>
      <c r="AD494" s="11"/>
      <c r="AE494" s="11"/>
      <c r="AF494" s="11"/>
      <c r="AG494" s="11"/>
      <c r="AH494" s="11"/>
      <c r="AI494" s="11"/>
      <c r="AJ494" s="11"/>
      <c r="AK494" s="11"/>
      <c r="AL494" s="11"/>
      <c r="AM494" s="11"/>
      <c r="AN494" s="11"/>
      <c r="AO494" s="11"/>
      <c r="AP494" s="11"/>
      <c r="AQ494" s="11"/>
      <c r="AR494" s="11"/>
      <c r="AS494" s="11"/>
      <c r="AT494" s="11"/>
      <c r="AU494" s="11"/>
      <c r="AV494" s="11"/>
      <c r="AW494" s="11"/>
      <c r="AX494" s="11"/>
      <c r="AY494" s="11"/>
      <c r="AZ494" s="11"/>
      <c r="BA494" s="11"/>
      <c r="BB494" s="11"/>
      <c r="BC494" s="11"/>
      <c r="BD494" s="11"/>
      <c r="BE494" s="11"/>
      <c r="BF494" s="11"/>
      <c r="BG494" s="11"/>
      <c r="BH494" s="11"/>
      <c r="BI494" s="11"/>
      <c r="BJ494" s="11"/>
      <c r="BK494" s="11"/>
      <c r="BL494" s="11"/>
      <c r="BM494" s="11"/>
      <c r="BN494" s="11"/>
    </row>
    <row r="495" spans="1:66">
      <c r="A495" s="11"/>
      <c r="B495" s="11"/>
      <c r="C495" s="11"/>
      <c r="D495" s="11"/>
      <c r="E495" s="11"/>
      <c r="F495" s="11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Y495" s="11"/>
      <c r="Z495" s="11"/>
      <c r="AA495" s="11"/>
      <c r="AB495" s="11"/>
      <c r="AC495" s="11"/>
      <c r="AD495" s="11"/>
      <c r="AE495" s="11"/>
      <c r="AF495" s="11"/>
      <c r="AG495" s="11"/>
      <c r="AH495" s="11"/>
      <c r="AI495" s="11"/>
      <c r="AJ495" s="11"/>
      <c r="AK495" s="11"/>
      <c r="AL495" s="11"/>
      <c r="AM495" s="11"/>
      <c r="AN495" s="11"/>
      <c r="AO495" s="11"/>
      <c r="AP495" s="11"/>
      <c r="AQ495" s="11"/>
      <c r="AR495" s="11"/>
      <c r="AS495" s="11"/>
      <c r="AT495" s="11"/>
      <c r="AU495" s="11"/>
      <c r="AV495" s="11"/>
      <c r="AW495" s="11"/>
      <c r="AX495" s="11"/>
      <c r="AY495" s="11"/>
      <c r="AZ495" s="11"/>
      <c r="BA495" s="11"/>
      <c r="BB495" s="11"/>
      <c r="BC495" s="11"/>
      <c r="BD495" s="11"/>
      <c r="BE495" s="11"/>
      <c r="BF495" s="11"/>
      <c r="BG495" s="11"/>
      <c r="BH495" s="11"/>
      <c r="BI495" s="11"/>
      <c r="BJ495" s="11"/>
      <c r="BK495" s="11"/>
      <c r="BL495" s="11"/>
      <c r="BM495" s="11"/>
      <c r="BN495" s="11"/>
    </row>
    <row r="496" spans="1:66">
      <c r="A496" s="11"/>
      <c r="B496" s="11"/>
      <c r="C496" s="11"/>
      <c r="D496" s="11"/>
      <c r="E496" s="11"/>
      <c r="F496" s="11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  <c r="AA496" s="11"/>
      <c r="AB496" s="11"/>
      <c r="AC496" s="11"/>
      <c r="AD496" s="11"/>
      <c r="AE496" s="11"/>
      <c r="AF496" s="11"/>
      <c r="AG496" s="11"/>
      <c r="AH496" s="11"/>
      <c r="AI496" s="11"/>
      <c r="AJ496" s="11"/>
      <c r="AK496" s="11"/>
      <c r="AL496" s="11"/>
      <c r="AM496" s="11"/>
      <c r="AN496" s="11"/>
      <c r="AO496" s="11"/>
      <c r="AP496" s="11"/>
      <c r="AQ496" s="11"/>
      <c r="AR496" s="11"/>
      <c r="AS496" s="11"/>
      <c r="AT496" s="11"/>
      <c r="AU496" s="11"/>
      <c r="AV496" s="11"/>
      <c r="AW496" s="11"/>
      <c r="AX496" s="11"/>
      <c r="AY496" s="11"/>
      <c r="AZ496" s="11"/>
      <c r="BA496" s="11"/>
      <c r="BB496" s="11"/>
      <c r="BC496" s="11"/>
      <c r="BD496" s="11"/>
      <c r="BE496" s="11"/>
      <c r="BF496" s="11"/>
      <c r="BG496" s="11"/>
      <c r="BH496" s="11"/>
      <c r="BI496" s="11"/>
      <c r="BJ496" s="11"/>
      <c r="BK496" s="11"/>
      <c r="BL496" s="11"/>
      <c r="BM496" s="11"/>
      <c r="BN496" s="11"/>
    </row>
    <row r="497" spans="1:66">
      <c r="A497" s="11"/>
      <c r="B497" s="11"/>
      <c r="C497" s="11"/>
      <c r="D497" s="11"/>
      <c r="E497" s="11"/>
      <c r="F497" s="11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  <c r="AA497" s="11"/>
      <c r="AB497" s="11"/>
      <c r="AC497" s="11"/>
      <c r="AD497" s="11"/>
      <c r="AE497" s="11"/>
      <c r="AF497" s="11"/>
      <c r="AG497" s="11"/>
      <c r="AH497" s="11"/>
      <c r="AI497" s="11"/>
      <c r="AJ497" s="11"/>
      <c r="AK497" s="11"/>
      <c r="AL497" s="11"/>
      <c r="AM497" s="11"/>
      <c r="AN497" s="11"/>
      <c r="AO497" s="11"/>
      <c r="AP497" s="11"/>
      <c r="AQ497" s="11"/>
      <c r="AR497" s="11"/>
      <c r="AS497" s="11"/>
      <c r="AT497" s="11"/>
      <c r="AU497" s="11"/>
      <c r="AV497" s="11"/>
      <c r="AW497" s="11"/>
      <c r="AX497" s="11"/>
      <c r="AY497" s="11"/>
      <c r="AZ497" s="11"/>
      <c r="BA497" s="11"/>
      <c r="BB497" s="11"/>
      <c r="BC497" s="11"/>
      <c r="BD497" s="11"/>
      <c r="BE497" s="11"/>
      <c r="BF497" s="11"/>
      <c r="BG497" s="11"/>
      <c r="BH497" s="11"/>
      <c r="BI497" s="11"/>
      <c r="BJ497" s="11"/>
      <c r="BK497" s="11"/>
      <c r="BL497" s="11"/>
      <c r="BM497" s="11"/>
      <c r="BN497" s="11"/>
    </row>
    <row r="498" spans="1:66">
      <c r="A498" s="11"/>
      <c r="B498" s="11"/>
      <c r="C498" s="11"/>
      <c r="D498" s="11"/>
      <c r="E498" s="11"/>
      <c r="F498" s="11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11"/>
      <c r="Y498" s="11"/>
      <c r="Z498" s="11"/>
      <c r="AA498" s="11"/>
      <c r="AB498" s="11"/>
      <c r="AC498" s="11"/>
      <c r="AD498" s="11"/>
      <c r="AE498" s="11"/>
      <c r="AF498" s="11"/>
      <c r="AG498" s="11"/>
      <c r="AH498" s="11"/>
      <c r="AI498" s="11"/>
      <c r="AJ498" s="11"/>
      <c r="AK498" s="11"/>
      <c r="AL498" s="11"/>
      <c r="AM498" s="11"/>
      <c r="AN498" s="11"/>
      <c r="AO498" s="11"/>
      <c r="AP498" s="11"/>
      <c r="AQ498" s="11"/>
      <c r="AR498" s="11"/>
      <c r="AS498" s="11"/>
      <c r="AT498" s="11"/>
      <c r="AU498" s="11"/>
      <c r="AV498" s="11"/>
      <c r="AW498" s="11"/>
      <c r="AX498" s="11"/>
      <c r="AY498" s="11"/>
      <c r="AZ498" s="11"/>
      <c r="BA498" s="11"/>
      <c r="BB498" s="11"/>
      <c r="BC498" s="11"/>
      <c r="BD498" s="11"/>
      <c r="BE498" s="11"/>
      <c r="BF498" s="11"/>
      <c r="BG498" s="11"/>
      <c r="BH498" s="11"/>
      <c r="BI498" s="11"/>
      <c r="BJ498" s="11"/>
      <c r="BK498" s="11"/>
      <c r="BL498" s="11"/>
      <c r="BM498" s="11"/>
      <c r="BN498" s="11"/>
    </row>
    <row r="499" spans="1:66">
      <c r="A499" s="11"/>
      <c r="B499" s="11"/>
      <c r="C499" s="11"/>
      <c r="D499" s="11"/>
      <c r="E499" s="11"/>
      <c r="F499" s="11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11"/>
      <c r="Y499" s="11"/>
      <c r="Z499" s="11"/>
      <c r="AA499" s="11"/>
      <c r="AB499" s="11"/>
      <c r="AC499" s="11"/>
      <c r="AD499" s="11"/>
      <c r="AE499" s="11"/>
      <c r="AF499" s="11"/>
      <c r="AG499" s="11"/>
      <c r="AH499" s="11"/>
      <c r="AI499" s="11"/>
      <c r="AJ499" s="11"/>
      <c r="AK499" s="11"/>
      <c r="AL499" s="11"/>
      <c r="AM499" s="11"/>
      <c r="AN499" s="11"/>
      <c r="AO499" s="11"/>
      <c r="AP499" s="11"/>
      <c r="AQ499" s="11"/>
      <c r="AR499" s="11"/>
      <c r="AS499" s="11"/>
      <c r="AT499" s="11"/>
      <c r="AU499" s="11"/>
      <c r="AV499" s="11"/>
      <c r="AW499" s="11"/>
      <c r="AX499" s="11"/>
      <c r="AY499" s="11"/>
      <c r="AZ499" s="11"/>
      <c r="BA499" s="11"/>
      <c r="BB499" s="11"/>
      <c r="BC499" s="11"/>
      <c r="BD499" s="11"/>
      <c r="BE499" s="11"/>
      <c r="BF499" s="11"/>
      <c r="BG499" s="11"/>
      <c r="BH499" s="11"/>
      <c r="BI499" s="11"/>
      <c r="BJ499" s="11"/>
      <c r="BK499" s="11"/>
      <c r="BL499" s="11"/>
      <c r="BM499" s="11"/>
      <c r="BN499" s="11"/>
    </row>
    <row r="500" spans="1:66">
      <c r="A500" s="11"/>
      <c r="B500" s="11"/>
      <c r="C500" s="11"/>
      <c r="D500" s="11"/>
      <c r="E500" s="11"/>
      <c r="F500" s="11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  <c r="AA500" s="11"/>
      <c r="AB500" s="11"/>
      <c r="AC500" s="11"/>
      <c r="AD500" s="11"/>
      <c r="AE500" s="11"/>
      <c r="AF500" s="11"/>
      <c r="AG500" s="11"/>
      <c r="AH500" s="11"/>
      <c r="AI500" s="11"/>
      <c r="AJ500" s="11"/>
      <c r="AK500" s="11"/>
      <c r="AL500" s="11"/>
      <c r="AM500" s="11"/>
      <c r="AN500" s="11"/>
      <c r="AO500" s="11"/>
      <c r="AP500" s="11"/>
      <c r="AQ500" s="11"/>
      <c r="AR500" s="11"/>
      <c r="AS500" s="11"/>
      <c r="AT500" s="11"/>
      <c r="AU500" s="11"/>
      <c r="AV500" s="11"/>
      <c r="AW500" s="11"/>
      <c r="AX500" s="11"/>
      <c r="AY500" s="11"/>
      <c r="AZ500" s="11"/>
      <c r="BA500" s="11"/>
      <c r="BB500" s="11"/>
      <c r="BC500" s="11"/>
      <c r="BD500" s="11"/>
      <c r="BE500" s="11"/>
      <c r="BF500" s="11"/>
      <c r="BG500" s="11"/>
      <c r="BH500" s="11"/>
      <c r="BI500" s="11"/>
      <c r="BJ500" s="11"/>
      <c r="BK500" s="11"/>
      <c r="BL500" s="11"/>
      <c r="BM500" s="11"/>
      <c r="BN500" s="11"/>
    </row>
  </sheetData>
  <phoneticPr fontId="3" type="noConversion"/>
  <pageMargins left="0.75" right="0.75" top="1" bottom="1" header="0.5" footer="0.5"/>
  <pageSetup paperSize="9"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J524"/>
  <sheetViews>
    <sheetView zoomScale="70" zoomScaleNormal="70" workbookViewId="0">
      <pane xSplit="31" ySplit="23" topLeftCell="AF24" activePane="bottomRight" state="frozen"/>
      <selection activeCell="B7" sqref="B7:G8"/>
      <selection pane="topRight" activeCell="B7" sqref="B7:G8"/>
      <selection pane="bottomLeft" activeCell="B7" sqref="B7:G8"/>
      <selection pane="bottomRight" activeCell="N18" sqref="N18"/>
    </sheetView>
  </sheetViews>
  <sheetFormatPr defaultRowHeight="16.5"/>
  <cols>
    <col min="1" max="2" width="11" bestFit="1" customWidth="1"/>
    <col min="3" max="3" width="5.25" customWidth="1"/>
    <col min="4" max="4" width="9.25" bestFit="1" customWidth="1"/>
    <col min="5" max="5" width="8.625" customWidth="1"/>
    <col min="6" max="6" width="9.375" customWidth="1"/>
    <col min="7" max="7" width="8.5" customWidth="1"/>
    <col min="8" max="8" width="7.625" customWidth="1"/>
    <col min="9" max="9" width="9" customWidth="1"/>
    <col min="10" max="10" width="10.625" customWidth="1"/>
    <col min="11" max="11" width="9" customWidth="1"/>
    <col min="13" max="15" width="9" customWidth="1"/>
    <col min="17" max="19" width="9" customWidth="1"/>
    <col min="20" max="21" width="9.125" customWidth="1"/>
    <col min="22" max="23" width="11" customWidth="1"/>
    <col min="24" max="26" width="8.125" customWidth="1"/>
    <col min="27" max="27" width="6.5" customWidth="1"/>
    <col min="28" max="29" width="9" customWidth="1"/>
    <col min="30" max="30" width="7.125" customWidth="1"/>
  </cols>
  <sheetData>
    <row r="1" spans="1:10" ht="17.25" thickBot="1">
      <c r="A1" s="90" t="s">
        <v>60</v>
      </c>
      <c r="B1" s="91" t="s">
        <v>7</v>
      </c>
      <c r="C1" s="91" t="s">
        <v>8</v>
      </c>
      <c r="D1" s="91" t="s">
        <v>61</v>
      </c>
      <c r="E1" s="91" t="s">
        <v>62</v>
      </c>
      <c r="F1" s="98" t="s">
        <v>178</v>
      </c>
      <c r="G1" s="98" t="s">
        <v>179</v>
      </c>
      <c r="H1" s="92" t="s">
        <v>63</v>
      </c>
    </row>
    <row r="2" spans="1:10">
      <c r="A2" s="84" t="str">
        <f>IF(COUNTIF($F$26:$F$555,1)=0,"",1)</f>
        <v/>
      </c>
      <c r="B2" s="85" t="str">
        <f>IF(A2="","",COUNTIFS(임시반번호순!$F$26:$F$524,A2,임시반번호순!$C$26:$C$524,1))</f>
        <v/>
      </c>
      <c r="C2" s="85" t="str">
        <f>IF(A2="","",COUNTIFS(임시반번호순!$F$26:$F$524,A2,임시반번호순!$C$26:$C$524,2))</f>
        <v/>
      </c>
      <c r="D2" s="85" t="str">
        <f>IF(A2="","",ROUND(B2/C2,1))</f>
        <v/>
      </c>
      <c r="E2" s="85" t="str">
        <f>IF(B2="","",SUM(B2:C2))</f>
        <v/>
      </c>
      <c r="F2" s="86" t="str">
        <f>IF(E2="","",AVERAGEIF(임시반번호순!$F$26:$F$524,A2,임시반번호순!$L$26:$L$524))</f>
        <v/>
      </c>
      <c r="G2" s="87" t="str">
        <f>IF(E2="","",AVERAGEIF(임시반번호순!$F$26:$F$524,A2,임시반번호순!$I$26:$I$524))</f>
        <v/>
      </c>
      <c r="H2" s="88" t="str">
        <f>IF(A2="","",COUNTIFS(임시반번호순!$F$26:$F$524,A2,임시반번호순!$AE$26:$AE$524,"&gt;=1"))</f>
        <v/>
      </c>
      <c r="I2" s="79"/>
    </row>
    <row r="3" spans="1:10" ht="17.25">
      <c r="A3" s="84" t="str">
        <f>IF(COUNTIF($F$26:$F$555,2)=0,"",2)</f>
        <v/>
      </c>
      <c r="B3" s="81" t="str">
        <f>IF(A3="","",COUNTIFS(임시반번호순!$F$26:$F$524,A3,임시반번호순!$C$26:$C$524,1))</f>
        <v/>
      </c>
      <c r="C3" s="81" t="str">
        <f>IF(A3="","",COUNTIFS(임시반번호순!$F$26:$F$524,A3,임시반번호순!$C$26:$C$524,2))</f>
        <v/>
      </c>
      <c r="D3" s="81" t="str">
        <f t="shared" ref="D3:D9" si="0">IF(A3="","",ROUND(B3/C3,1))</f>
        <v/>
      </c>
      <c r="E3" s="81" t="str">
        <f t="shared" ref="E3:E9" si="1">IF(B3="","",SUM(B3:C3))</f>
        <v/>
      </c>
      <c r="F3" s="86" t="str">
        <f>IF(E3="","",AVERAGEIF(임시반번호순!$F$26:$F$524,A3,임시반번호순!$L$26:$L$524))</f>
        <v/>
      </c>
      <c r="G3" s="82" t="str">
        <f>IF(E3="","",AVERAGEIF(임시반번호순!$F$26:$F$524,A3,임시반번호순!$I$26:$I$524))</f>
        <v/>
      </c>
      <c r="H3" s="83" t="str">
        <f>IF(A3="","",COUNTIFS(임시반번호순!$F$26:$F$524,A3,임시반번호순!$AE$26:$AE$524,"&gt;=1"))</f>
        <v/>
      </c>
      <c r="I3" s="79"/>
      <c r="J3" s="101"/>
    </row>
    <row r="4" spans="1:10" ht="17.25">
      <c r="A4" s="80" t="str">
        <f>IF(COUNTIF($F$26:$F$555,3)=0,"",3)</f>
        <v/>
      </c>
      <c r="B4" s="81" t="str">
        <f>IF(A4="","",COUNTIFS(임시반번호순!$F$26:$F$524,A4,임시반번호순!$C$26:$C$524,1))</f>
        <v/>
      </c>
      <c r="C4" s="81" t="str">
        <f>IF(A4="","",COUNTIFS(임시반번호순!$F$26:$F$524,A4,임시반번호순!$C$26:$C$524,2))</f>
        <v/>
      </c>
      <c r="D4" s="81" t="str">
        <f t="shared" si="0"/>
        <v/>
      </c>
      <c r="E4" s="81" t="str">
        <f t="shared" si="1"/>
        <v/>
      </c>
      <c r="F4" s="86" t="str">
        <f>IF(E4="","",AVERAGEIF(임시반번호순!$F$26:$F$524,A4,임시반번호순!$L$26:$L$524))</f>
        <v/>
      </c>
      <c r="G4" s="82" t="str">
        <f>IF(E4="","",AVERAGEIF(임시반번호순!$F$26:$F$524,A4,임시반번호순!$I$26:$I$524))</f>
        <v/>
      </c>
      <c r="H4" s="83" t="str">
        <f>IF(A4="","",COUNTIFS(임시반번호순!$F$26:$F$524,A4,임시반번호순!$AE$26:$AE$524,"&gt;=1"))</f>
        <v/>
      </c>
      <c r="I4" s="79"/>
      <c r="J4" s="101"/>
    </row>
    <row r="5" spans="1:10">
      <c r="A5" s="80" t="str">
        <f>IF(COUNTIF($F$26:$F$555,4)=0,"",4)</f>
        <v/>
      </c>
      <c r="B5" s="81" t="str">
        <f>IF(A5="","",COUNTIFS(임시반번호순!$F$26:$F$524,A5,임시반번호순!$C$26:$C$524,1))</f>
        <v/>
      </c>
      <c r="C5" s="81" t="str">
        <f>IF(A5="","",COUNTIFS(임시반번호순!$F$26:$F$524,A5,임시반번호순!$C$26:$C$524,2))</f>
        <v/>
      </c>
      <c r="D5" s="81" t="str">
        <f t="shared" si="0"/>
        <v/>
      </c>
      <c r="E5" s="81" t="str">
        <f t="shared" si="1"/>
        <v/>
      </c>
      <c r="F5" s="86" t="str">
        <f>IF(E5="","",AVERAGEIF(임시반번호순!$F$26:$F$524,A5,임시반번호순!$L$26:$L$524))</f>
        <v/>
      </c>
      <c r="G5" s="82" t="str">
        <f>IF(E5="","",AVERAGEIF(임시반번호순!$F$26:$F$524,A5,임시반번호순!$I$26:$I$524))</f>
        <v/>
      </c>
      <c r="H5" s="83" t="str">
        <f>IF(A5="","",COUNTIFS(임시반번호순!$F$26:$F$524,A5,임시반번호순!$AE$26:$AE$524,"&gt;=1"))</f>
        <v/>
      </c>
      <c r="I5" s="79"/>
    </row>
    <row r="6" spans="1:10" ht="17.25">
      <c r="A6" s="80" t="str">
        <f>IF(COUNTIF($F$26:$F$555,5)=0,"",5)</f>
        <v/>
      </c>
      <c r="B6" s="81" t="str">
        <f>IF(A6="","",COUNTIFS(임시반번호순!$F$26:$F$524,A6,임시반번호순!$C$26:$C$524,1))</f>
        <v/>
      </c>
      <c r="C6" s="81" t="str">
        <f>IF(A6="","",COUNTIFS(임시반번호순!$F$26:$F$524,A6,임시반번호순!$C$26:$C$524,2))</f>
        <v/>
      </c>
      <c r="D6" s="81" t="str">
        <f t="shared" si="0"/>
        <v/>
      </c>
      <c r="E6" s="81" t="str">
        <f t="shared" si="1"/>
        <v/>
      </c>
      <c r="F6" s="86" t="str">
        <f>IF(E6="","",AVERAGEIF(임시반번호순!$F$26:$F$524,A6,임시반번호순!$L$26:$L$524))</f>
        <v/>
      </c>
      <c r="G6" s="82" t="str">
        <f>IF(E6="","",AVERAGEIF(임시반번호순!$F$26:$F$524,A6,임시반번호순!$I$26:$I$524))</f>
        <v/>
      </c>
      <c r="H6" s="83" t="str">
        <f>IF(A6="","",COUNTIFS(임시반번호순!$F$26:$F$524,A6,임시반번호순!$AE$26:$AE$524,"&gt;=1"))</f>
        <v/>
      </c>
      <c r="I6" s="79"/>
      <c r="J6" s="101"/>
    </row>
    <row r="7" spans="1:10">
      <c r="A7" s="80" t="str">
        <f>IF(COUNTIF($F$26:$F$555,6)=0,"",6)</f>
        <v/>
      </c>
      <c r="B7" s="81" t="str">
        <f>IF(A7="","",COUNTIFS(임시반번호순!$F$26:$F$524,A7,임시반번호순!$C$26:$C$524,1))</f>
        <v/>
      </c>
      <c r="C7" s="81" t="str">
        <f>IF(A7="","",COUNTIFS(임시반번호순!$F$26:$F$524,A7,임시반번호순!$C$26:$C$524,2))</f>
        <v/>
      </c>
      <c r="D7" s="81" t="str">
        <f t="shared" si="0"/>
        <v/>
      </c>
      <c r="E7" s="81" t="str">
        <f t="shared" si="1"/>
        <v/>
      </c>
      <c r="F7" s="86" t="str">
        <f>IF(E7="","",AVERAGEIF(임시반번호순!$F$26:$F$524,A7,임시반번호순!$L$26:$L$524))</f>
        <v/>
      </c>
      <c r="G7" s="82" t="str">
        <f>IF(E7="","",AVERAGEIF(임시반번호순!$F$26:$F$524,A7,임시반번호순!$I$26:$I$524))</f>
        <v/>
      </c>
      <c r="H7" s="83" t="str">
        <f>IF(A7="","",COUNTIFS(임시반번호순!$F$26:$F$524,A7,임시반번호순!$AE$26:$AE$524,"&gt;=1"))</f>
        <v/>
      </c>
      <c r="I7" s="79"/>
    </row>
    <row r="8" spans="1:10">
      <c r="A8" s="80" t="str">
        <f>IF(COUNTIF($F$26:$F$555,7)=0,"",7)</f>
        <v/>
      </c>
      <c r="B8" s="81" t="str">
        <f>IF(A8="","",COUNTIFS(임시반번호순!$F$26:$F$524,A8,임시반번호순!$C$26:$C$524,1))</f>
        <v/>
      </c>
      <c r="C8" s="81" t="str">
        <f>IF(A8="","",COUNTIFS(임시반번호순!$F$26:$F$524,A8,임시반번호순!$C$26:$C$524,2))</f>
        <v/>
      </c>
      <c r="D8" s="81" t="str">
        <f t="shared" si="0"/>
        <v/>
      </c>
      <c r="E8" s="81" t="str">
        <f t="shared" si="1"/>
        <v/>
      </c>
      <c r="F8" s="86" t="str">
        <f>IF(E8="","",AVERAGEIF(임시반번호순!$F$26:$F$524,A8,임시반번호순!$L$26:$L$524))</f>
        <v/>
      </c>
      <c r="G8" s="82" t="str">
        <f>IF(E8="","",AVERAGEIF(임시반번호순!$F$26:$F$524,A8,임시반번호순!$I$26:$I$524))</f>
        <v/>
      </c>
      <c r="H8" s="83" t="str">
        <f>IF(A8="","",COUNTIFS(임시반번호순!$F$26:$F$524,A8,임시반번호순!$AE$26:$AE$524,"&gt;=1"))</f>
        <v/>
      </c>
      <c r="I8" s="79"/>
    </row>
    <row r="9" spans="1:10">
      <c r="A9" s="80" t="str">
        <f>IF(COUNTIF($F$26:$F$555,8)=0,"",8)</f>
        <v/>
      </c>
      <c r="B9" s="81" t="str">
        <f>IF(A9="","",COUNTIFS(임시반번호순!$F$26:$F$524,A9,임시반번호순!$C$26:$C$524,1))</f>
        <v/>
      </c>
      <c r="C9" s="81" t="str">
        <f>IF(A9="","",COUNTIFS(임시반번호순!$F$26:$F$524,A9,임시반번호순!$C$26:$C$524,2))</f>
        <v/>
      </c>
      <c r="D9" s="81" t="str">
        <f t="shared" si="0"/>
        <v/>
      </c>
      <c r="E9" s="81" t="str">
        <f t="shared" si="1"/>
        <v/>
      </c>
      <c r="F9" s="86" t="str">
        <f>IF(E9="","",AVERAGEIF(임시반번호순!$F$26:$F$524,A9,임시반번호순!$L$26:$L$524))</f>
        <v/>
      </c>
      <c r="G9" s="82" t="str">
        <f>IF(E9="","",AVERAGEIF(임시반번호순!$F$26:$F$524,A9,임시반번호순!$I$26:$I$524))</f>
        <v/>
      </c>
      <c r="H9" s="83" t="str">
        <f>IF(A9="","",COUNTIFS(임시반번호순!$F$26:$F$524,A9,임시반번호순!$AE$26:$AE$524,"&gt;=1"))</f>
        <v/>
      </c>
      <c r="I9" s="79"/>
    </row>
    <row r="10" spans="1:10">
      <c r="A10" s="80" t="str">
        <f>IF(COUNTIF($F$26:$F$555,9)=0,"",9)</f>
        <v/>
      </c>
      <c r="B10" s="81" t="str">
        <f>IF(A10="","",COUNTIFS(임시반번호순!$F$26:$F$524,A10,임시반번호순!$C$26:$C$524,1))</f>
        <v/>
      </c>
      <c r="C10" s="81" t="str">
        <f>IF(A10="","",COUNTIFS(임시반번호순!$F$26:$F$524,A10,임시반번호순!$C$26:$C$524,2))</f>
        <v/>
      </c>
      <c r="D10" s="81" t="str">
        <f t="shared" ref="D10:D21" si="2">IF(A10="","",ROUND(B10/C10,1))</f>
        <v/>
      </c>
      <c r="E10" s="81" t="str">
        <f t="shared" ref="E10:E21" si="3">IF(B10="","",SUM(B10:C10))</f>
        <v/>
      </c>
      <c r="F10" s="86" t="str">
        <f>IF(E10="","",AVERAGEIF(임시반번호순!$F$26:$F$524,A10,임시반번호순!$L$26:$L$524))</f>
        <v/>
      </c>
      <c r="G10" s="82" t="str">
        <f>IF(E10="","",AVERAGEIF(임시반번호순!$F$26:$F$524,A10,임시반번호순!$I$26:$I$524))</f>
        <v/>
      </c>
      <c r="H10" s="83" t="str">
        <f>IF(A10="","",COUNTIFS(임시반번호순!$F$26:$F$524,A10,임시반번호순!$AE$26:$AE$524,"&gt;=1"))</f>
        <v/>
      </c>
      <c r="I10" s="79"/>
    </row>
    <row r="11" spans="1:10">
      <c r="A11" s="80" t="str">
        <f>IF(COUNTIF($F$26:$F$555,10)=0,"",10)</f>
        <v/>
      </c>
      <c r="B11" s="81" t="str">
        <f>IF(A11="","",COUNTIFS(임시반번호순!$F$26:$F$524,A11,임시반번호순!$C$26:$C$524,1))</f>
        <v/>
      </c>
      <c r="C11" s="81" t="str">
        <f>IF(A11="","",COUNTIFS(임시반번호순!$F$26:$F$524,A11,임시반번호순!$C$26:$C$524,2))</f>
        <v/>
      </c>
      <c r="D11" s="81" t="str">
        <f t="shared" si="2"/>
        <v/>
      </c>
      <c r="E11" s="81" t="str">
        <f t="shared" si="3"/>
        <v/>
      </c>
      <c r="F11" s="86" t="str">
        <f>IF(E11="","",AVERAGEIF(임시반번호순!$F$26:$F$524,A11,임시반번호순!$L$26:$L$524))</f>
        <v/>
      </c>
      <c r="G11" s="82" t="str">
        <f>IF(E11="","",AVERAGEIF(임시반번호순!$F$26:$F$524,A11,임시반번호순!$I$26:$I$524))</f>
        <v/>
      </c>
      <c r="H11" s="83" t="str">
        <f>IF(A11="","",COUNTIFS(임시반번호순!$F$26:$F$524,A11,임시반번호순!$AE$26:$AE$524,"&gt;=1"))</f>
        <v/>
      </c>
      <c r="I11" s="79"/>
    </row>
    <row r="12" spans="1:10">
      <c r="A12" s="80" t="str">
        <f>IF(COUNTIF($F$26:$F$555,11)=0,"",11)</f>
        <v/>
      </c>
      <c r="B12" s="81" t="str">
        <f>IF(A12="","",COUNTIFS(임시반번호순!$F$26:$F$524,A12,임시반번호순!$C$26:$C$524,1))</f>
        <v/>
      </c>
      <c r="C12" s="81" t="str">
        <f>IF(A12="","",COUNTIFS(임시반번호순!$F$26:$F$524,A12,임시반번호순!$C$26:$C$524,2))</f>
        <v/>
      </c>
      <c r="D12" s="81" t="str">
        <f t="shared" si="2"/>
        <v/>
      </c>
      <c r="E12" s="81" t="str">
        <f t="shared" si="3"/>
        <v/>
      </c>
      <c r="F12" s="86" t="str">
        <f>IF(E12="","",AVERAGEIF(임시반번호순!$F$26:$F$524,A12,임시반번호순!$L$26:$L$524))</f>
        <v/>
      </c>
      <c r="G12" s="82" t="str">
        <f>IF(E12="","",AVERAGEIF(임시반번호순!$F$26:$F$524,A12,임시반번호순!$I$26:$I$524))</f>
        <v/>
      </c>
      <c r="H12" s="83" t="str">
        <f>IF(A12="","",COUNTIFS(임시반번호순!$F$26:$F$524,A12,임시반번호순!$AE$26:$AE$524,"&gt;=1"))</f>
        <v/>
      </c>
      <c r="I12" s="79"/>
    </row>
    <row r="13" spans="1:10">
      <c r="A13" s="80" t="str">
        <f>IF(COUNTIF($F$26:$F$555,12)=0,"",12)</f>
        <v/>
      </c>
      <c r="B13" s="81" t="str">
        <f>IF(A13="","",COUNTIFS(임시반번호순!$F$26:$F$524,A13,임시반번호순!$C$26:$C$524,1))</f>
        <v/>
      </c>
      <c r="C13" s="81" t="str">
        <f>IF(A13="","",COUNTIFS(임시반번호순!$F$26:$F$524,A13,임시반번호순!$C$26:$C$524,2))</f>
        <v/>
      </c>
      <c r="D13" s="81" t="str">
        <f t="shared" si="2"/>
        <v/>
      </c>
      <c r="E13" s="81" t="str">
        <f t="shared" si="3"/>
        <v/>
      </c>
      <c r="F13" s="86" t="str">
        <f>IF(E13="","",AVERAGEIF(임시반번호순!$F$26:$F$524,A13,임시반번호순!$L$26:$L$524))</f>
        <v/>
      </c>
      <c r="G13" s="82" t="str">
        <f>IF(E13="","",AVERAGEIF(임시반번호순!$F$26:$F$524,A13,임시반번호순!$I$26:$I$524))</f>
        <v/>
      </c>
      <c r="H13" s="83" t="str">
        <f>IF(A13="","",COUNTIFS(임시반번호순!$F$26:$F$524,A13,임시반번호순!$AE$26:$AE$524,"&gt;=1"))</f>
        <v/>
      </c>
      <c r="I13" s="79"/>
    </row>
    <row r="14" spans="1:10">
      <c r="A14" s="80" t="str">
        <f>IF(COUNTIF($F$26:$F$555,13)=0,"",13)</f>
        <v/>
      </c>
      <c r="B14" s="81" t="str">
        <f>IF(A14="","",COUNTIFS(임시반번호순!$F$26:$F$524,A14,임시반번호순!$C$26:$C$524,1))</f>
        <v/>
      </c>
      <c r="C14" s="81" t="str">
        <f>IF(A14="","",COUNTIFS(임시반번호순!$F$26:$F$524,A14,임시반번호순!$C$26:$C$524,2))</f>
        <v/>
      </c>
      <c r="D14" s="81" t="str">
        <f t="shared" si="2"/>
        <v/>
      </c>
      <c r="E14" s="81" t="str">
        <f t="shared" si="3"/>
        <v/>
      </c>
      <c r="F14" s="86" t="str">
        <f>IF(E14="","",AVERAGEIF(임시반번호순!$F$26:$F$524,A14,임시반번호순!$L$26:$L$524))</f>
        <v/>
      </c>
      <c r="G14" s="82" t="str">
        <f>IF(E14="","",AVERAGEIF(임시반번호순!$F$26:$F$524,A14,임시반번호순!$I$26:$I$524))</f>
        <v/>
      </c>
      <c r="H14" s="83" t="str">
        <f>IF(A14="","",COUNTIFS(임시반번호순!$F$26:$F$524,A14,임시반번호순!$AE$26:$AE$524,"&gt;=1"))</f>
        <v/>
      </c>
      <c r="I14" s="79"/>
    </row>
    <row r="15" spans="1:10">
      <c r="A15" s="80" t="str">
        <f>IF(COUNTIF($F$26:$F$555,14)=0,"",14)</f>
        <v/>
      </c>
      <c r="B15" s="81" t="str">
        <f>IF(A15="","",COUNTIFS(임시반번호순!$F$26:$F$524,A15,임시반번호순!$C$26:$C$524,1))</f>
        <v/>
      </c>
      <c r="C15" s="81" t="str">
        <f>IF(A15="","",COUNTIFS(임시반번호순!$F$26:$F$524,A15,임시반번호순!$C$26:$C$524,2))</f>
        <v/>
      </c>
      <c r="D15" s="81" t="str">
        <f t="shared" si="2"/>
        <v/>
      </c>
      <c r="E15" s="81" t="str">
        <f t="shared" si="3"/>
        <v/>
      </c>
      <c r="F15" s="86" t="str">
        <f>IF(E15="","",AVERAGEIF(임시반번호순!$F$26:$F$524,A15,임시반번호순!$L$26:$L$524))</f>
        <v/>
      </c>
      <c r="G15" s="82" t="str">
        <f>IF(E15="","",AVERAGEIF(임시반번호순!$F$26:$F$524,A15,임시반번호순!$I$26:$I$524))</f>
        <v/>
      </c>
      <c r="H15" s="83" t="str">
        <f>IF(A15="","",COUNTIFS(임시반번호순!$F$26:$F$524,A15,임시반번호순!$AE$26:$AE$524,"&gt;=1"))</f>
        <v/>
      </c>
      <c r="I15" s="79">
        <v>9</v>
      </c>
    </row>
    <row r="16" spans="1:10">
      <c r="A16" s="80" t="str">
        <f>IF(COUNTIF($F$26:$F$555,15)=0,"",15)</f>
        <v/>
      </c>
      <c r="B16" s="81" t="str">
        <f>IF(A16="","",COUNTIFS(임시반번호순!$F$26:$F$524,A16,임시반번호순!$C$26:$C$524,1))</f>
        <v/>
      </c>
      <c r="C16" s="81" t="str">
        <f>IF(A16="","",COUNTIFS(임시반번호순!$F$26:$F$524,A16,임시반번호순!$C$26:$C$524,2))</f>
        <v/>
      </c>
      <c r="D16" s="81" t="str">
        <f t="shared" si="2"/>
        <v/>
      </c>
      <c r="E16" s="81" t="str">
        <f t="shared" si="3"/>
        <v/>
      </c>
      <c r="F16" s="86" t="str">
        <f>IF(E16="","",AVERAGEIF(임시반번호순!$F$26:$F$524,A16,임시반번호순!$L$26:$L$524))</f>
        <v/>
      </c>
      <c r="G16" s="82" t="str">
        <f>IF(E16="","",AVERAGEIF(임시반번호순!$F$26:$F$524,A16,임시반번호순!$I$26:$I$524))</f>
        <v/>
      </c>
      <c r="H16" s="83" t="str">
        <f>IF(A16="","",COUNTIFS(임시반번호순!$F$26:$F$524,A16,임시반번호순!$AE$26:$AE$524,"&gt;=1"))</f>
        <v/>
      </c>
      <c r="I16" s="79">
        <v>10</v>
      </c>
    </row>
    <row r="17" spans="1:33">
      <c r="A17" s="80" t="str">
        <f>IF(COUNTIF($F$26:$F$555,16)=0,"",16)</f>
        <v/>
      </c>
      <c r="B17" s="81" t="str">
        <f>IF(A17="","",COUNTIFS(임시반번호순!$F$26:$F$524,A17,임시반번호순!$C$26:$C$524,1))</f>
        <v/>
      </c>
      <c r="C17" s="81" t="str">
        <f>IF(A17="","",COUNTIFS(임시반번호순!$F$26:$F$524,A17,임시반번호순!$C$26:$C$524,2))</f>
        <v/>
      </c>
      <c r="D17" s="81" t="str">
        <f t="shared" si="2"/>
        <v/>
      </c>
      <c r="E17" s="81" t="str">
        <f t="shared" si="3"/>
        <v/>
      </c>
      <c r="F17" s="86" t="str">
        <f>IF(E17="","",AVERAGEIF(임시반번호순!$F$26:$F$524,A17,임시반번호순!$L$26:$L$524))</f>
        <v/>
      </c>
      <c r="G17" s="82" t="str">
        <f>IF(E17="","",AVERAGEIF(임시반번호순!$F$26:$F$524,A17,임시반번호순!$I$26:$I$524))</f>
        <v/>
      </c>
      <c r="H17" s="83" t="str">
        <f>IF(A17="","",COUNTIFS(임시반번호순!$F$26:$F$524,A17,임시반번호순!$AE$26:$AE$524,"&gt;=1"))</f>
        <v/>
      </c>
      <c r="I17" s="79">
        <v>11</v>
      </c>
    </row>
    <row r="18" spans="1:33">
      <c r="A18" s="80" t="str">
        <f>IF(COUNTIF($F$26:$F$555,17)=0,"",17)</f>
        <v/>
      </c>
      <c r="B18" s="81" t="str">
        <f>IF(A18="","",COUNTIFS(임시반번호순!$F$26:$F$524,A18,임시반번호순!$C$26:$C$524,1))</f>
        <v/>
      </c>
      <c r="C18" s="81" t="str">
        <f>IF(A18="","",COUNTIFS(임시반번호순!$F$26:$F$524,A18,임시반번호순!$C$26:$C$524,2))</f>
        <v/>
      </c>
      <c r="D18" s="81" t="str">
        <f t="shared" si="2"/>
        <v/>
      </c>
      <c r="E18" s="81" t="str">
        <f t="shared" si="3"/>
        <v/>
      </c>
      <c r="F18" s="86" t="str">
        <f>IF(E18="","",AVERAGEIF(임시반번호순!$F$26:$F$524,A18,임시반번호순!$L$26:$L$524))</f>
        <v/>
      </c>
      <c r="G18" s="82" t="str">
        <f>IF(E18="","",AVERAGEIF(임시반번호순!$F$26:$F$524,A18,임시반번호순!$I$26:$I$524))</f>
        <v/>
      </c>
      <c r="H18" s="83" t="str">
        <f>IF(A18="","",COUNTIFS(임시반번호순!$F$26:$F$524,A18,임시반번호순!$AE$26:$AE$524,"&gt;=1"))</f>
        <v/>
      </c>
      <c r="I18" s="79">
        <v>12</v>
      </c>
    </row>
    <row r="19" spans="1:33">
      <c r="A19" s="80" t="str">
        <f>IF(COUNTIF($F$26:$F$555,18)=0,"",18)</f>
        <v/>
      </c>
      <c r="B19" s="81" t="str">
        <f>IF(A19="","",COUNTIFS(임시반번호순!$F$26:$F$524,A19,임시반번호순!$C$26:$C$524,1))</f>
        <v/>
      </c>
      <c r="C19" s="81" t="str">
        <f>IF(A19="","",COUNTIFS(임시반번호순!$F$26:$F$524,A19,임시반번호순!$C$26:$C$524,2))</f>
        <v/>
      </c>
      <c r="D19" s="81" t="str">
        <f t="shared" si="2"/>
        <v/>
      </c>
      <c r="E19" s="81" t="str">
        <f t="shared" si="3"/>
        <v/>
      </c>
      <c r="F19" s="86" t="str">
        <f>IF(E19="","",AVERAGEIF(임시반번호순!$F$26:$F$524,A19,임시반번호순!$L$26:$L$524))</f>
        <v/>
      </c>
      <c r="G19" s="82" t="str">
        <f>IF(E19="","",AVERAGEIF(임시반번호순!$F$26:$F$524,A19,임시반번호순!$I$26:$I$524))</f>
        <v/>
      </c>
      <c r="H19" s="83" t="str">
        <f>IF(A19="","",COUNTIFS(임시반번호순!$F$26:$F$524,A19,임시반번호순!$AE$26:$AE$524,"&gt;=1"))</f>
        <v/>
      </c>
      <c r="I19" s="79">
        <v>13</v>
      </c>
    </row>
    <row r="20" spans="1:33">
      <c r="A20" s="80" t="str">
        <f>IF(COUNTIF($F$26:$F$555,19)=0,"",19)</f>
        <v/>
      </c>
      <c r="B20" s="81" t="str">
        <f>IF(A20="","",COUNTIFS(임시반번호순!$F$26:$F$524,A20,임시반번호순!$C$26:$C$524,1))</f>
        <v/>
      </c>
      <c r="C20" s="81" t="str">
        <f>IF(A20="","",COUNTIFS(임시반번호순!$F$26:$F$524,A20,임시반번호순!$C$26:$C$524,2))</f>
        <v/>
      </c>
      <c r="D20" s="81" t="str">
        <f t="shared" si="2"/>
        <v/>
      </c>
      <c r="E20" s="81" t="str">
        <f t="shared" si="3"/>
        <v/>
      </c>
      <c r="F20" s="86" t="str">
        <f>IF(E20="","",AVERAGEIF(임시반번호순!$F$26:$F$524,A20,임시반번호순!$L$26:$L$524))</f>
        <v/>
      </c>
      <c r="G20" s="82" t="str">
        <f>IF(E20="","",AVERAGEIF(임시반번호순!$F$26:$F$524,A20,임시반번호순!$I$26:$I$524))</f>
        <v/>
      </c>
      <c r="H20" s="83" t="str">
        <f>IF(A20="","",COUNTIFS(임시반번호순!$F$26:$F$524,A20,임시반번호순!$AE$26:$AE$524,"&gt;=1"))</f>
        <v/>
      </c>
      <c r="I20" s="79">
        <v>14</v>
      </c>
    </row>
    <row r="21" spans="1:33">
      <c r="A21" s="89" t="str">
        <f>IF(COUNTIF($F$26:$F$555,20)=0,"",20)</f>
        <v/>
      </c>
      <c r="B21" s="108" t="str">
        <f>IF(A21="","",COUNTIFS(임시반번호순!$F$26:$F$524,A21,임시반번호순!$C$26:$C$524,1))</f>
        <v/>
      </c>
      <c r="C21" s="108" t="str">
        <f>IF(A21="","",COUNTIFS(임시반번호순!$F$26:$F$524,A21,임시반번호순!$C$26:$C$524,2))</f>
        <v/>
      </c>
      <c r="D21" s="108" t="str">
        <f t="shared" si="2"/>
        <v/>
      </c>
      <c r="E21" s="108" t="str">
        <f t="shared" si="3"/>
        <v/>
      </c>
      <c r="F21" s="86" t="str">
        <f>IF(E21="","",AVERAGEIF(임시반번호순!$F$26:$F$524,A21,임시반번호순!$L$26:$L$524))</f>
        <v/>
      </c>
      <c r="G21" s="112" t="str">
        <f>IF(E21="","",AVERAGEIF(임시반번호순!$F$26:$F$524,A21,임시반번호순!$I$26:$I$524))</f>
        <v/>
      </c>
      <c r="H21" s="113" t="str">
        <f>IF(A21="","",COUNTIFS(임시반번호순!$F$26:$F$524,A21,임시반번호순!$AE$26:$AE$524,"&gt;=1"))</f>
        <v/>
      </c>
      <c r="I21" s="79">
        <v>15</v>
      </c>
    </row>
    <row r="22" spans="1:33" s="25" customFormat="1">
      <c r="A22" s="93"/>
      <c r="B22" s="94"/>
      <c r="C22" s="94"/>
      <c r="D22" s="109" t="s">
        <v>131</v>
      </c>
      <c r="E22" s="110" t="str">
        <f>IF(SUM(E2:E21)=0,"",SUM(E2:E21))</f>
        <v/>
      </c>
      <c r="F22" s="110" t="str">
        <f t="shared" ref="F22:H22" si="4">IF(SUM(F2:F21)=0,"",SUM(F2:F21))</f>
        <v/>
      </c>
      <c r="G22" s="110" t="str">
        <f t="shared" si="4"/>
        <v/>
      </c>
      <c r="H22" s="111" t="str">
        <f t="shared" si="4"/>
        <v/>
      </c>
    </row>
    <row r="23" spans="1:33" s="25" customFormat="1" ht="17.25" thickBot="1">
      <c r="A23" s="95"/>
      <c r="B23" s="96"/>
      <c r="C23" s="96"/>
      <c r="D23" s="97" t="s">
        <v>132</v>
      </c>
      <c r="E23" s="99" t="str">
        <f>IFERROR(AVERAGE(E2:E21),"")</f>
        <v/>
      </c>
      <c r="F23" s="99" t="str">
        <f t="shared" ref="F23:G23" si="5">IFERROR(AVERAGE(F2:F21),"")</f>
        <v/>
      </c>
      <c r="G23" s="99" t="str">
        <f t="shared" si="5"/>
        <v/>
      </c>
      <c r="H23" s="100" t="str">
        <f>IFERROR(AVERAGE(H2:H21),"")</f>
        <v/>
      </c>
    </row>
    <row r="24" spans="1:33" s="25" customFormat="1">
      <c r="E24" s="33"/>
      <c r="G24" s="33"/>
      <c r="H24" s="33"/>
    </row>
    <row r="25" spans="1:33" s="25" customFormat="1" ht="33">
      <c r="A25" s="34" t="s">
        <v>12</v>
      </c>
      <c r="B25" s="22" t="s">
        <v>0</v>
      </c>
      <c r="C25" s="22" t="s">
        <v>13</v>
      </c>
      <c r="D25" s="22" t="s">
        <v>4</v>
      </c>
      <c r="E25" s="34" t="s">
        <v>56</v>
      </c>
      <c r="F25" s="34" t="s">
        <v>57</v>
      </c>
      <c r="G25" s="22" t="s">
        <v>58</v>
      </c>
      <c r="H25" s="35" t="s">
        <v>14</v>
      </c>
      <c r="I25" s="36" t="s">
        <v>158</v>
      </c>
      <c r="J25" s="35" t="s">
        <v>159</v>
      </c>
      <c r="K25" s="38" t="s">
        <v>83</v>
      </c>
      <c r="L25" s="37" t="s">
        <v>15</v>
      </c>
      <c r="M25" s="38" t="s">
        <v>16</v>
      </c>
      <c r="N25" s="38" t="s">
        <v>17</v>
      </c>
      <c r="O25" s="38" t="s">
        <v>18</v>
      </c>
      <c r="P25" s="39" t="s">
        <v>19</v>
      </c>
      <c r="Q25" s="40" t="s">
        <v>20</v>
      </c>
      <c r="R25" s="40" t="s">
        <v>21</v>
      </c>
      <c r="S25" s="40" t="s">
        <v>22</v>
      </c>
      <c r="T25" s="40" t="s">
        <v>23</v>
      </c>
      <c r="U25" s="40" t="s">
        <v>24</v>
      </c>
      <c r="V25" s="40" t="s">
        <v>37</v>
      </c>
      <c r="W25" s="40" t="s">
        <v>177</v>
      </c>
      <c r="X25" s="40" t="s">
        <v>25</v>
      </c>
      <c r="Y25" s="40" t="s">
        <v>26</v>
      </c>
      <c r="Z25" s="40" t="s">
        <v>27</v>
      </c>
      <c r="AA25" s="40" t="s">
        <v>28</v>
      </c>
      <c r="AB25" s="40" t="s">
        <v>29</v>
      </c>
      <c r="AC25" s="40" t="s">
        <v>30</v>
      </c>
      <c r="AD25" s="41" t="s">
        <v>31</v>
      </c>
      <c r="AE25" s="42" t="s">
        <v>36</v>
      </c>
      <c r="AG25" s="31"/>
    </row>
    <row r="26" spans="1:33" s="25" customFormat="1">
      <c r="A26" s="2"/>
      <c r="B26" s="2"/>
      <c r="C26" s="2"/>
      <c r="D26" s="2"/>
      <c r="E26" s="11"/>
      <c r="F26" s="11"/>
      <c r="G26" s="2"/>
      <c r="H26" s="18"/>
      <c r="I26" s="19"/>
      <c r="J26" s="18"/>
      <c r="K26" s="6"/>
      <c r="L26" s="14"/>
      <c r="M26" s="6"/>
      <c r="N26" s="6"/>
      <c r="O26" s="6"/>
      <c r="P26" s="13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15"/>
    </row>
    <row r="27" spans="1:33">
      <c r="A27" s="2"/>
      <c r="B27" s="2"/>
      <c r="C27" s="2"/>
      <c r="D27" s="2"/>
      <c r="E27" s="11"/>
      <c r="F27" s="11"/>
      <c r="G27" s="2"/>
      <c r="H27" s="18"/>
      <c r="I27" s="19"/>
      <c r="J27" s="18"/>
      <c r="K27" s="6"/>
      <c r="L27" s="14"/>
      <c r="M27" s="6"/>
      <c r="N27" s="6"/>
      <c r="O27" s="6"/>
      <c r="P27" s="13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15"/>
    </row>
    <row r="28" spans="1:33">
      <c r="A28" s="2"/>
      <c r="B28" s="2"/>
      <c r="C28" s="2"/>
      <c r="D28" s="2"/>
      <c r="E28" s="11"/>
      <c r="F28" s="11"/>
      <c r="G28" s="2"/>
      <c r="H28" s="18"/>
      <c r="I28" s="19"/>
      <c r="J28" s="18"/>
      <c r="K28" s="6"/>
      <c r="L28" s="14"/>
      <c r="M28" s="6"/>
      <c r="N28" s="6"/>
      <c r="O28" s="6"/>
      <c r="P28" s="13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15"/>
    </row>
    <row r="29" spans="1:33">
      <c r="A29" s="2"/>
      <c r="B29" s="2"/>
      <c r="C29" s="2"/>
      <c r="D29" s="2"/>
      <c r="E29" s="11"/>
      <c r="F29" s="11"/>
      <c r="G29" s="2"/>
      <c r="H29" s="18"/>
      <c r="I29" s="19"/>
      <c r="J29" s="18"/>
      <c r="K29" s="6"/>
      <c r="L29" s="14"/>
      <c r="M29" s="6"/>
      <c r="N29" s="6"/>
      <c r="O29" s="6"/>
      <c r="P29" s="13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15"/>
    </row>
    <row r="30" spans="1:33">
      <c r="A30" s="2"/>
      <c r="B30" s="2"/>
      <c r="C30" s="2"/>
      <c r="D30" s="2"/>
      <c r="E30" s="11"/>
      <c r="F30" s="11"/>
      <c r="G30" s="2"/>
      <c r="H30" s="18"/>
      <c r="I30" s="19"/>
      <c r="J30" s="18"/>
      <c r="K30" s="6"/>
      <c r="L30" s="14"/>
      <c r="M30" s="6"/>
      <c r="N30" s="6"/>
      <c r="O30" s="6"/>
      <c r="P30" s="13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15"/>
    </row>
    <row r="31" spans="1:33">
      <c r="A31" s="2"/>
      <c r="B31" s="2"/>
      <c r="C31" s="2"/>
      <c r="D31" s="2"/>
      <c r="E31" s="11"/>
      <c r="F31" s="11"/>
      <c r="G31" s="2"/>
      <c r="H31" s="18"/>
      <c r="I31" s="19"/>
      <c r="J31" s="18"/>
      <c r="K31" s="6"/>
      <c r="L31" s="14"/>
      <c r="M31" s="6"/>
      <c r="N31" s="6"/>
      <c r="O31" s="6"/>
      <c r="P31" s="13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15"/>
    </row>
    <row r="32" spans="1:33">
      <c r="A32" s="2"/>
      <c r="B32" s="2"/>
      <c r="C32" s="2"/>
      <c r="D32" s="2"/>
      <c r="E32" s="11"/>
      <c r="F32" s="11"/>
      <c r="G32" s="2"/>
      <c r="H32" s="18"/>
      <c r="I32" s="19"/>
      <c r="J32" s="18"/>
      <c r="K32" s="6"/>
      <c r="L32" s="14"/>
      <c r="M32" s="6"/>
      <c r="N32" s="6"/>
      <c r="O32" s="6"/>
      <c r="P32" s="13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15"/>
    </row>
    <row r="33" spans="1:31">
      <c r="A33" s="11"/>
      <c r="B33" s="2"/>
      <c r="C33" s="2"/>
      <c r="D33" s="2"/>
      <c r="E33" s="11"/>
      <c r="F33" s="11"/>
      <c r="G33" s="2"/>
      <c r="H33" s="18"/>
      <c r="I33" s="19"/>
      <c r="J33" s="18"/>
      <c r="K33" s="6"/>
      <c r="L33" s="14"/>
      <c r="M33" s="6"/>
      <c r="N33" s="6"/>
      <c r="O33" s="6"/>
      <c r="P33" s="13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15"/>
    </row>
    <row r="34" spans="1:31">
      <c r="A34" s="2"/>
      <c r="B34" s="2"/>
      <c r="C34" s="2"/>
      <c r="D34" s="2"/>
      <c r="E34" s="11"/>
      <c r="F34" s="11"/>
      <c r="G34" s="2"/>
      <c r="H34" s="18"/>
      <c r="I34" s="19"/>
      <c r="J34" s="18"/>
      <c r="K34" s="6"/>
      <c r="L34" s="14"/>
      <c r="M34" s="6"/>
      <c r="N34" s="6"/>
      <c r="O34" s="6"/>
      <c r="P34" s="13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15"/>
    </row>
    <row r="35" spans="1:31">
      <c r="A35" s="11"/>
      <c r="B35" s="2"/>
      <c r="C35" s="2"/>
      <c r="D35" s="2"/>
      <c r="E35" s="11"/>
      <c r="F35" s="11"/>
      <c r="G35" s="2"/>
      <c r="H35" s="18"/>
      <c r="I35" s="19"/>
      <c r="J35" s="18"/>
      <c r="K35" s="6"/>
      <c r="L35" s="14"/>
      <c r="M35" s="6"/>
      <c r="N35" s="6"/>
      <c r="O35" s="6"/>
      <c r="P35" s="13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15"/>
    </row>
    <row r="36" spans="1:31">
      <c r="A36" s="2"/>
      <c r="B36" s="2"/>
      <c r="C36" s="2"/>
      <c r="D36" s="2"/>
      <c r="E36" s="11"/>
      <c r="F36" s="11"/>
      <c r="G36" s="2"/>
      <c r="H36" s="18"/>
      <c r="I36" s="19"/>
      <c r="J36" s="18"/>
      <c r="K36" s="6"/>
      <c r="L36" s="14"/>
      <c r="M36" s="6"/>
      <c r="N36" s="6"/>
      <c r="O36" s="6"/>
      <c r="P36" s="13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15"/>
    </row>
    <row r="37" spans="1:31">
      <c r="A37" s="2"/>
      <c r="B37" s="2"/>
      <c r="C37" s="2"/>
      <c r="D37" s="2"/>
      <c r="E37" s="11"/>
      <c r="F37" s="11"/>
      <c r="G37" s="2"/>
      <c r="H37" s="18"/>
      <c r="I37" s="19"/>
      <c r="J37" s="18"/>
      <c r="K37" s="6"/>
      <c r="L37" s="14"/>
      <c r="M37" s="6"/>
      <c r="N37" s="6"/>
      <c r="O37" s="6"/>
      <c r="P37" s="13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15"/>
    </row>
    <row r="38" spans="1:31">
      <c r="A38" s="11"/>
      <c r="B38" s="2"/>
      <c r="C38" s="2"/>
      <c r="D38" s="2"/>
      <c r="E38" s="11"/>
      <c r="F38" s="11"/>
      <c r="G38" s="2"/>
      <c r="H38" s="18"/>
      <c r="I38" s="19"/>
      <c r="J38" s="18"/>
      <c r="K38" s="6"/>
      <c r="L38" s="14"/>
      <c r="M38" s="6"/>
      <c r="N38" s="6"/>
      <c r="O38" s="6"/>
      <c r="P38" s="13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15"/>
    </row>
    <row r="39" spans="1:31">
      <c r="A39" s="2"/>
      <c r="B39" s="2"/>
      <c r="C39" s="2"/>
      <c r="D39" s="2"/>
      <c r="E39" s="11"/>
      <c r="F39" s="11"/>
      <c r="G39" s="2"/>
      <c r="H39" s="18"/>
      <c r="I39" s="19"/>
      <c r="J39" s="18"/>
      <c r="K39" s="6"/>
      <c r="L39" s="14"/>
      <c r="M39" s="6"/>
      <c r="N39" s="6"/>
      <c r="O39" s="6"/>
      <c r="P39" s="13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15"/>
    </row>
    <row r="40" spans="1:31">
      <c r="A40" s="2"/>
      <c r="B40" s="2"/>
      <c r="C40" s="2"/>
      <c r="D40" s="2"/>
      <c r="E40" s="11"/>
      <c r="F40" s="11"/>
      <c r="G40" s="2"/>
      <c r="H40" s="18"/>
      <c r="I40" s="19"/>
      <c r="J40" s="18"/>
      <c r="K40" s="6"/>
      <c r="L40" s="14"/>
      <c r="M40" s="6"/>
      <c r="N40" s="6"/>
      <c r="O40" s="6"/>
      <c r="P40" s="13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15"/>
    </row>
    <row r="41" spans="1:31">
      <c r="A41" s="11"/>
      <c r="B41" s="2"/>
      <c r="C41" s="2"/>
      <c r="D41" s="2"/>
      <c r="E41" s="11"/>
      <c r="F41" s="11"/>
      <c r="G41" s="2"/>
      <c r="H41" s="18"/>
      <c r="I41" s="19"/>
      <c r="J41" s="18"/>
      <c r="K41" s="6"/>
      <c r="L41" s="14"/>
      <c r="M41" s="6"/>
      <c r="N41" s="6"/>
      <c r="O41" s="6"/>
      <c r="P41" s="13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15"/>
    </row>
    <row r="42" spans="1:31">
      <c r="A42" s="2"/>
      <c r="B42" s="2"/>
      <c r="C42" s="2"/>
      <c r="D42" s="2"/>
      <c r="E42" s="11"/>
      <c r="F42" s="11"/>
      <c r="G42" s="2"/>
      <c r="H42" s="18"/>
      <c r="I42" s="19"/>
      <c r="J42" s="18"/>
      <c r="K42" s="6"/>
      <c r="L42" s="14"/>
      <c r="M42" s="6"/>
      <c r="N42" s="6"/>
      <c r="O42" s="6"/>
      <c r="P42" s="13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15"/>
    </row>
    <row r="43" spans="1:31">
      <c r="A43" s="2"/>
      <c r="B43" s="2"/>
      <c r="C43" s="2"/>
      <c r="D43" s="2"/>
      <c r="E43" s="11"/>
      <c r="F43" s="11"/>
      <c r="G43" s="2"/>
      <c r="H43" s="18"/>
      <c r="I43" s="19"/>
      <c r="J43" s="18"/>
      <c r="K43" s="6"/>
      <c r="L43" s="14"/>
      <c r="M43" s="6"/>
      <c r="N43" s="6"/>
      <c r="O43" s="6"/>
      <c r="P43" s="13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15"/>
    </row>
    <row r="44" spans="1:31">
      <c r="A44" s="2"/>
      <c r="B44" s="2"/>
      <c r="C44" s="2"/>
      <c r="D44" s="2"/>
      <c r="E44" s="11"/>
      <c r="F44" s="11"/>
      <c r="G44" s="2"/>
      <c r="H44" s="18"/>
      <c r="I44" s="19"/>
      <c r="J44" s="18"/>
      <c r="K44" s="6"/>
      <c r="L44" s="14"/>
      <c r="M44" s="6"/>
      <c r="N44" s="6"/>
      <c r="O44" s="6"/>
      <c r="P44" s="13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15"/>
    </row>
    <row r="45" spans="1:31">
      <c r="A45" s="2"/>
      <c r="B45" s="2"/>
      <c r="C45" s="2"/>
      <c r="D45" s="2"/>
      <c r="E45" s="11"/>
      <c r="F45" s="11"/>
      <c r="G45" s="2"/>
      <c r="H45" s="18"/>
      <c r="I45" s="19"/>
      <c r="J45" s="18"/>
      <c r="K45" s="6"/>
      <c r="L45" s="14"/>
      <c r="M45" s="6"/>
      <c r="N45" s="6"/>
      <c r="O45" s="6"/>
      <c r="P45" s="13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15"/>
    </row>
    <row r="46" spans="1:31">
      <c r="A46" s="2"/>
      <c r="B46" s="2"/>
      <c r="C46" s="2"/>
      <c r="D46" s="2"/>
      <c r="E46" s="11"/>
      <c r="F46" s="11"/>
      <c r="G46" s="2"/>
      <c r="H46" s="18"/>
      <c r="I46" s="19"/>
      <c r="J46" s="18"/>
      <c r="K46" s="6"/>
      <c r="L46" s="14"/>
      <c r="M46" s="6"/>
      <c r="N46" s="6"/>
      <c r="O46" s="6"/>
      <c r="P46" s="13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15"/>
    </row>
    <row r="47" spans="1:31">
      <c r="A47" s="2"/>
      <c r="B47" s="2"/>
      <c r="C47" s="2"/>
      <c r="D47" s="2"/>
      <c r="E47" s="11"/>
      <c r="F47" s="11"/>
      <c r="G47" s="2"/>
      <c r="H47" s="18"/>
      <c r="I47" s="19"/>
      <c r="J47" s="18"/>
      <c r="K47" s="6"/>
      <c r="L47" s="14"/>
      <c r="M47" s="6"/>
      <c r="N47" s="6"/>
      <c r="O47" s="6"/>
      <c r="P47" s="13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15"/>
    </row>
    <row r="48" spans="1:31">
      <c r="A48" s="2"/>
      <c r="B48" s="2"/>
      <c r="C48" s="2"/>
      <c r="D48" s="2"/>
      <c r="E48" s="11"/>
      <c r="F48" s="11"/>
      <c r="G48" s="2"/>
      <c r="H48" s="18"/>
      <c r="I48" s="19"/>
      <c r="J48" s="18"/>
      <c r="K48" s="6"/>
      <c r="L48" s="14"/>
      <c r="M48" s="6"/>
      <c r="N48" s="6"/>
      <c r="O48" s="6"/>
      <c r="P48" s="13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15"/>
    </row>
    <row r="49" spans="1:31">
      <c r="A49" s="2"/>
      <c r="B49" s="2"/>
      <c r="C49" s="2"/>
      <c r="D49" s="2"/>
      <c r="E49" s="11"/>
      <c r="F49" s="11"/>
      <c r="G49" s="2"/>
      <c r="H49" s="18"/>
      <c r="I49" s="19"/>
      <c r="J49" s="18"/>
      <c r="K49" s="6"/>
      <c r="L49" s="14"/>
      <c r="M49" s="6"/>
      <c r="N49" s="6"/>
      <c r="O49" s="6"/>
      <c r="P49" s="13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15"/>
    </row>
    <row r="50" spans="1:31">
      <c r="A50" s="2"/>
      <c r="B50" s="2"/>
      <c r="C50" s="2"/>
      <c r="D50" s="2"/>
      <c r="E50" s="11"/>
      <c r="F50" s="11"/>
      <c r="G50" s="2"/>
      <c r="H50" s="18"/>
      <c r="I50" s="19"/>
      <c r="J50" s="18"/>
      <c r="K50" s="6"/>
      <c r="L50" s="14"/>
      <c r="M50" s="6"/>
      <c r="N50" s="6"/>
      <c r="O50" s="6"/>
      <c r="P50" s="13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15"/>
    </row>
    <row r="51" spans="1:31">
      <c r="A51" s="2"/>
      <c r="B51" s="2"/>
      <c r="C51" s="2"/>
      <c r="D51" s="2"/>
      <c r="E51" s="11"/>
      <c r="F51" s="11"/>
      <c r="G51" s="2"/>
      <c r="H51" s="18"/>
      <c r="I51" s="19"/>
      <c r="J51" s="18"/>
      <c r="K51" s="6"/>
      <c r="L51" s="14"/>
      <c r="M51" s="6"/>
      <c r="N51" s="6"/>
      <c r="O51" s="6"/>
      <c r="P51" s="13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15"/>
    </row>
    <row r="52" spans="1:31">
      <c r="A52" s="11"/>
      <c r="B52" s="2"/>
      <c r="C52" s="2"/>
      <c r="D52" s="2"/>
      <c r="E52" s="11"/>
      <c r="F52" s="11"/>
      <c r="G52" s="2"/>
      <c r="H52" s="18"/>
      <c r="I52" s="19"/>
      <c r="J52" s="18"/>
      <c r="K52" s="6"/>
      <c r="L52" s="14"/>
      <c r="M52" s="6"/>
      <c r="N52" s="6"/>
      <c r="O52" s="6"/>
      <c r="P52" s="13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15"/>
    </row>
    <row r="53" spans="1:31">
      <c r="A53" s="2"/>
      <c r="B53" s="2"/>
      <c r="C53" s="2"/>
      <c r="D53" s="2"/>
      <c r="E53" s="11"/>
      <c r="F53" s="11"/>
      <c r="G53" s="2"/>
      <c r="H53" s="18"/>
      <c r="I53" s="19"/>
      <c r="J53" s="18"/>
      <c r="K53" s="6"/>
      <c r="L53" s="14"/>
      <c r="M53" s="6"/>
      <c r="N53" s="6"/>
      <c r="O53" s="6"/>
      <c r="P53" s="13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15"/>
    </row>
    <row r="54" spans="1:31">
      <c r="A54" s="2"/>
      <c r="B54" s="2"/>
      <c r="C54" s="2"/>
      <c r="D54" s="2"/>
      <c r="E54" s="11"/>
      <c r="F54" s="11"/>
      <c r="G54" s="2"/>
      <c r="H54" s="18"/>
      <c r="I54" s="19"/>
      <c r="J54" s="18"/>
      <c r="K54" s="6"/>
      <c r="L54" s="14"/>
      <c r="M54" s="6"/>
      <c r="N54" s="6"/>
      <c r="O54" s="6"/>
      <c r="P54" s="13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15"/>
    </row>
    <row r="55" spans="1:31">
      <c r="A55" s="2"/>
      <c r="B55" s="2"/>
      <c r="C55" s="2"/>
      <c r="D55" s="2"/>
      <c r="E55" s="11"/>
      <c r="F55" s="11"/>
      <c r="G55" s="2"/>
      <c r="H55" s="18"/>
      <c r="I55" s="19"/>
      <c r="J55" s="18"/>
      <c r="K55" s="6"/>
      <c r="L55" s="14"/>
      <c r="M55" s="6"/>
      <c r="N55" s="6"/>
      <c r="O55" s="6"/>
      <c r="P55" s="13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15"/>
    </row>
    <row r="56" spans="1:31">
      <c r="A56" s="11"/>
      <c r="B56" s="2"/>
      <c r="C56" s="2"/>
      <c r="D56" s="2"/>
      <c r="E56" s="11"/>
      <c r="F56" s="11"/>
      <c r="G56" s="2"/>
      <c r="H56" s="18"/>
      <c r="I56" s="19"/>
      <c r="J56" s="18"/>
      <c r="K56" s="6"/>
      <c r="L56" s="14"/>
      <c r="M56" s="6"/>
      <c r="N56" s="6"/>
      <c r="O56" s="6"/>
      <c r="P56" s="13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15"/>
    </row>
    <row r="57" spans="1:31">
      <c r="A57" s="2"/>
      <c r="B57" s="2"/>
      <c r="C57" s="2"/>
      <c r="D57" s="2"/>
      <c r="E57" s="11"/>
      <c r="F57" s="11"/>
      <c r="G57" s="2"/>
      <c r="H57" s="18"/>
      <c r="I57" s="19"/>
      <c r="J57" s="18"/>
      <c r="K57" s="6"/>
      <c r="L57" s="14"/>
      <c r="M57" s="6"/>
      <c r="N57" s="6"/>
      <c r="O57" s="6"/>
      <c r="P57" s="13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15"/>
    </row>
    <row r="58" spans="1:31">
      <c r="A58" s="2"/>
      <c r="B58" s="2"/>
      <c r="C58" s="2"/>
      <c r="D58" s="2"/>
      <c r="E58" s="11"/>
      <c r="F58" s="11"/>
      <c r="G58" s="2"/>
      <c r="H58" s="18"/>
      <c r="I58" s="19"/>
      <c r="J58" s="18"/>
      <c r="K58" s="6"/>
      <c r="L58" s="14"/>
      <c r="M58" s="6"/>
      <c r="N58" s="6"/>
      <c r="O58" s="6"/>
      <c r="P58" s="13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15"/>
    </row>
    <row r="59" spans="1:31">
      <c r="A59" s="2"/>
      <c r="B59" s="2"/>
      <c r="C59" s="2"/>
      <c r="D59" s="2"/>
      <c r="E59" s="11"/>
      <c r="F59" s="11"/>
      <c r="G59" s="2"/>
      <c r="H59" s="18"/>
      <c r="I59" s="19"/>
      <c r="J59" s="18"/>
      <c r="K59" s="6"/>
      <c r="L59" s="14"/>
      <c r="M59" s="6"/>
      <c r="N59" s="6"/>
      <c r="O59" s="6"/>
      <c r="P59" s="13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15"/>
    </row>
    <row r="60" spans="1:31">
      <c r="A60" s="11"/>
      <c r="B60" s="2"/>
      <c r="C60" s="2"/>
      <c r="D60" s="2"/>
      <c r="E60" s="11"/>
      <c r="F60" s="11"/>
      <c r="G60" s="2"/>
      <c r="H60" s="18"/>
      <c r="I60" s="19"/>
      <c r="J60" s="18"/>
      <c r="K60" s="6"/>
      <c r="L60" s="14"/>
      <c r="M60" s="6"/>
      <c r="N60" s="6"/>
      <c r="O60" s="6"/>
      <c r="P60" s="13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15"/>
    </row>
    <row r="61" spans="1:31">
      <c r="A61" s="2"/>
      <c r="B61" s="2"/>
      <c r="C61" s="2"/>
      <c r="D61" s="2"/>
      <c r="E61" s="11"/>
      <c r="F61" s="11"/>
      <c r="G61" s="2"/>
      <c r="H61" s="18"/>
      <c r="I61" s="19"/>
      <c r="J61" s="18"/>
      <c r="K61" s="6"/>
      <c r="L61" s="14"/>
      <c r="M61" s="6"/>
      <c r="N61" s="6"/>
      <c r="O61" s="6"/>
      <c r="P61" s="13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15"/>
    </row>
    <row r="62" spans="1:31">
      <c r="A62" s="2"/>
      <c r="B62" s="2"/>
      <c r="C62" s="2"/>
      <c r="D62" s="2"/>
      <c r="E62" s="11"/>
      <c r="F62" s="11"/>
      <c r="G62" s="2"/>
      <c r="H62" s="18"/>
      <c r="I62" s="19"/>
      <c r="J62" s="18"/>
      <c r="K62" s="6"/>
      <c r="L62" s="14"/>
      <c r="M62" s="6"/>
      <c r="N62" s="6"/>
      <c r="O62" s="6"/>
      <c r="P62" s="13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15"/>
    </row>
    <row r="63" spans="1:31">
      <c r="A63" s="2"/>
      <c r="B63" s="2"/>
      <c r="C63" s="2"/>
      <c r="D63" s="2"/>
      <c r="E63" s="11"/>
      <c r="F63" s="11"/>
      <c r="G63" s="2"/>
      <c r="H63" s="18"/>
      <c r="I63" s="19"/>
      <c r="J63" s="18"/>
      <c r="K63" s="6"/>
      <c r="L63" s="14"/>
      <c r="M63" s="6"/>
      <c r="N63" s="6"/>
      <c r="O63" s="6"/>
      <c r="P63" s="13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15"/>
    </row>
    <row r="64" spans="1:31">
      <c r="A64" s="11"/>
      <c r="B64" s="2"/>
      <c r="C64" s="2"/>
      <c r="D64" s="2"/>
      <c r="E64" s="11"/>
      <c r="F64" s="11"/>
      <c r="G64" s="2"/>
      <c r="H64" s="18"/>
      <c r="I64" s="19"/>
      <c r="J64" s="18"/>
      <c r="K64" s="6"/>
      <c r="L64" s="14"/>
      <c r="M64" s="6"/>
      <c r="N64" s="6"/>
      <c r="O64" s="6"/>
      <c r="P64" s="13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15"/>
    </row>
    <row r="65" spans="1:31">
      <c r="A65" s="2"/>
      <c r="B65" s="2"/>
      <c r="C65" s="2"/>
      <c r="D65" s="2"/>
      <c r="E65" s="11"/>
      <c r="F65" s="11"/>
      <c r="G65" s="2"/>
      <c r="H65" s="18"/>
      <c r="I65" s="19"/>
      <c r="J65" s="18"/>
      <c r="K65" s="6"/>
      <c r="L65" s="14"/>
      <c r="M65" s="6"/>
      <c r="N65" s="6"/>
      <c r="O65" s="6"/>
      <c r="P65" s="13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15"/>
    </row>
    <row r="66" spans="1:31">
      <c r="A66" s="2"/>
      <c r="B66" s="2"/>
      <c r="C66" s="2"/>
      <c r="D66" s="2"/>
      <c r="E66" s="11"/>
      <c r="F66" s="11"/>
      <c r="G66" s="2"/>
      <c r="H66" s="18"/>
      <c r="I66" s="19"/>
      <c r="J66" s="18"/>
      <c r="K66" s="6"/>
      <c r="L66" s="14"/>
      <c r="M66" s="6"/>
      <c r="N66" s="6"/>
      <c r="O66" s="6"/>
      <c r="P66" s="13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15"/>
    </row>
    <row r="67" spans="1:31">
      <c r="A67" s="2"/>
      <c r="B67" s="2"/>
      <c r="C67" s="2"/>
      <c r="D67" s="2"/>
      <c r="E67" s="11"/>
      <c r="F67" s="11"/>
      <c r="G67" s="2"/>
      <c r="H67" s="18"/>
      <c r="I67" s="19"/>
      <c r="J67" s="18"/>
      <c r="K67" s="6"/>
      <c r="L67" s="14"/>
      <c r="M67" s="6"/>
      <c r="N67" s="6"/>
      <c r="O67" s="6"/>
      <c r="P67" s="13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15"/>
    </row>
    <row r="68" spans="1:31">
      <c r="A68" s="11"/>
      <c r="B68" s="2"/>
      <c r="C68" s="2"/>
      <c r="D68" s="2"/>
      <c r="E68" s="11"/>
      <c r="F68" s="11"/>
      <c r="G68" s="2"/>
      <c r="H68" s="18"/>
      <c r="I68" s="19"/>
      <c r="J68" s="18"/>
      <c r="K68" s="6"/>
      <c r="L68" s="14"/>
      <c r="M68" s="6"/>
      <c r="N68" s="6"/>
      <c r="O68" s="6"/>
      <c r="P68" s="13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15"/>
    </row>
    <row r="69" spans="1:31">
      <c r="A69" s="2"/>
      <c r="B69" s="2"/>
      <c r="C69" s="2"/>
      <c r="D69" s="2"/>
      <c r="E69" s="11"/>
      <c r="F69" s="11"/>
      <c r="G69" s="2"/>
      <c r="H69" s="18"/>
      <c r="I69" s="19"/>
      <c r="J69" s="18"/>
      <c r="K69" s="6"/>
      <c r="L69" s="14"/>
      <c r="M69" s="6"/>
      <c r="N69" s="6"/>
      <c r="O69" s="6"/>
      <c r="P69" s="13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15"/>
    </row>
    <row r="70" spans="1:31">
      <c r="A70" s="2"/>
      <c r="B70" s="2"/>
      <c r="C70" s="2"/>
      <c r="D70" s="2"/>
      <c r="E70" s="11"/>
      <c r="F70" s="11"/>
      <c r="G70" s="2"/>
      <c r="H70" s="18"/>
      <c r="I70" s="19"/>
      <c r="J70" s="18"/>
      <c r="K70" s="6"/>
      <c r="L70" s="14"/>
      <c r="M70" s="6"/>
      <c r="N70" s="6"/>
      <c r="O70" s="6"/>
      <c r="P70" s="13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15"/>
    </row>
    <row r="71" spans="1:31">
      <c r="A71" s="2"/>
      <c r="B71" s="2"/>
      <c r="C71" s="2"/>
      <c r="D71" s="2"/>
      <c r="E71" s="11"/>
      <c r="F71" s="11"/>
      <c r="G71" s="2"/>
      <c r="H71" s="18"/>
      <c r="I71" s="19"/>
      <c r="J71" s="18"/>
      <c r="K71" s="6"/>
      <c r="L71" s="14"/>
      <c r="M71" s="6"/>
      <c r="N71" s="6"/>
      <c r="O71" s="6"/>
      <c r="P71" s="13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15"/>
    </row>
    <row r="72" spans="1:31">
      <c r="A72" s="2"/>
      <c r="B72" s="2"/>
      <c r="C72" s="2"/>
      <c r="D72" s="2"/>
      <c r="E72" s="11"/>
      <c r="F72" s="11"/>
      <c r="G72" s="2"/>
      <c r="H72" s="18"/>
      <c r="I72" s="19"/>
      <c r="J72" s="18"/>
      <c r="K72" s="6"/>
      <c r="L72" s="14"/>
      <c r="M72" s="6"/>
      <c r="N72" s="6"/>
      <c r="O72" s="6"/>
      <c r="P72" s="13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15"/>
    </row>
    <row r="73" spans="1:31">
      <c r="A73" s="2"/>
      <c r="B73" s="2"/>
      <c r="C73" s="2"/>
      <c r="D73" s="2"/>
      <c r="E73" s="11"/>
      <c r="F73" s="11"/>
      <c r="G73" s="2"/>
      <c r="H73" s="18"/>
      <c r="I73" s="19"/>
      <c r="J73" s="18"/>
      <c r="K73" s="6"/>
      <c r="L73" s="14"/>
      <c r="M73" s="6"/>
      <c r="N73" s="6"/>
      <c r="O73" s="6"/>
      <c r="P73" s="13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15"/>
    </row>
    <row r="74" spans="1:31">
      <c r="A74" s="2"/>
      <c r="B74" s="2"/>
      <c r="C74" s="2"/>
      <c r="D74" s="2"/>
      <c r="E74" s="11"/>
      <c r="F74" s="11"/>
      <c r="G74" s="2"/>
      <c r="H74" s="18"/>
      <c r="I74" s="19"/>
      <c r="J74" s="18"/>
      <c r="K74" s="6"/>
      <c r="L74" s="14"/>
      <c r="M74" s="6"/>
      <c r="N74" s="6"/>
      <c r="O74" s="6"/>
      <c r="P74" s="13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15"/>
    </row>
    <row r="75" spans="1:31">
      <c r="A75" s="11"/>
      <c r="B75" s="2"/>
      <c r="C75" s="2"/>
      <c r="D75" s="2"/>
      <c r="E75" s="11"/>
      <c r="F75" s="11"/>
      <c r="G75" s="2"/>
      <c r="H75" s="18"/>
      <c r="I75" s="19"/>
      <c r="J75" s="18"/>
      <c r="K75" s="6"/>
      <c r="L75" s="14"/>
      <c r="M75" s="6"/>
      <c r="N75" s="6"/>
      <c r="O75" s="6"/>
      <c r="P75" s="13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15"/>
    </row>
    <row r="76" spans="1:31">
      <c r="A76" s="11"/>
      <c r="B76" s="2"/>
      <c r="C76" s="2"/>
      <c r="D76" s="2"/>
      <c r="E76" s="11"/>
      <c r="F76" s="11"/>
      <c r="G76" s="2"/>
      <c r="H76" s="18"/>
      <c r="I76" s="19"/>
      <c r="J76" s="18"/>
      <c r="K76" s="6"/>
      <c r="L76" s="14"/>
      <c r="M76" s="6"/>
      <c r="N76" s="6"/>
      <c r="O76" s="6"/>
      <c r="P76" s="13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15"/>
    </row>
    <row r="77" spans="1:31">
      <c r="A77" s="11"/>
      <c r="B77" s="2"/>
      <c r="C77" s="2"/>
      <c r="D77" s="2"/>
      <c r="E77" s="11"/>
      <c r="F77" s="11"/>
      <c r="G77" s="2"/>
      <c r="H77" s="18"/>
      <c r="I77" s="19"/>
      <c r="J77" s="18"/>
      <c r="K77" s="6"/>
      <c r="L77" s="14"/>
      <c r="M77" s="6"/>
      <c r="N77" s="6"/>
      <c r="O77" s="6"/>
      <c r="P77" s="13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15"/>
    </row>
    <row r="78" spans="1:31">
      <c r="A78" s="2"/>
      <c r="B78" s="2"/>
      <c r="C78" s="2"/>
      <c r="D78" s="2"/>
      <c r="E78" s="11"/>
      <c r="F78" s="11"/>
      <c r="G78" s="2"/>
      <c r="H78" s="18"/>
      <c r="I78" s="19"/>
      <c r="J78" s="18"/>
      <c r="K78" s="6"/>
      <c r="L78" s="14"/>
      <c r="M78" s="6"/>
      <c r="N78" s="6"/>
      <c r="O78" s="6"/>
      <c r="P78" s="13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15"/>
    </row>
    <row r="79" spans="1:31">
      <c r="A79" s="2"/>
      <c r="B79" s="2"/>
      <c r="C79" s="2"/>
      <c r="D79" s="2"/>
      <c r="E79" s="11"/>
      <c r="F79" s="11"/>
      <c r="G79" s="2"/>
      <c r="H79" s="18"/>
      <c r="I79" s="19"/>
      <c r="J79" s="18"/>
      <c r="K79" s="6"/>
      <c r="L79" s="14"/>
      <c r="M79" s="6"/>
      <c r="N79" s="6"/>
      <c r="O79" s="6"/>
      <c r="P79" s="13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15"/>
    </row>
    <row r="80" spans="1:31">
      <c r="A80" s="2"/>
      <c r="B80" s="2"/>
      <c r="C80" s="2"/>
      <c r="D80" s="2"/>
      <c r="E80" s="11"/>
      <c r="F80" s="11"/>
      <c r="G80" s="2"/>
      <c r="H80" s="18"/>
      <c r="I80" s="19"/>
      <c r="J80" s="18"/>
      <c r="K80" s="6"/>
      <c r="L80" s="14"/>
      <c r="M80" s="6"/>
      <c r="N80" s="6"/>
      <c r="O80" s="6"/>
      <c r="P80" s="13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15"/>
    </row>
    <row r="81" spans="1:31">
      <c r="A81" s="11"/>
      <c r="B81" s="2"/>
      <c r="C81" s="2"/>
      <c r="D81" s="2"/>
      <c r="E81" s="11"/>
      <c r="F81" s="11"/>
      <c r="G81" s="2"/>
      <c r="H81" s="18"/>
      <c r="I81" s="19"/>
      <c r="J81" s="18"/>
      <c r="K81" s="6"/>
      <c r="L81" s="14"/>
      <c r="M81" s="6"/>
      <c r="N81" s="6"/>
      <c r="O81" s="6"/>
      <c r="P81" s="13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15"/>
    </row>
    <row r="82" spans="1:31">
      <c r="A82" s="2"/>
      <c r="B82" s="2"/>
      <c r="C82" s="2"/>
      <c r="D82" s="2"/>
      <c r="E82" s="11"/>
      <c r="F82" s="11"/>
      <c r="G82" s="2"/>
      <c r="H82" s="18"/>
      <c r="I82" s="19"/>
      <c r="J82" s="18"/>
      <c r="K82" s="6"/>
      <c r="L82" s="14"/>
      <c r="M82" s="6"/>
      <c r="N82" s="6"/>
      <c r="O82" s="6"/>
      <c r="P82" s="13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15"/>
    </row>
    <row r="83" spans="1:31">
      <c r="A83" s="2"/>
      <c r="B83" s="2"/>
      <c r="C83" s="2"/>
      <c r="D83" s="2"/>
      <c r="E83" s="11"/>
      <c r="F83" s="11"/>
      <c r="G83" s="2"/>
      <c r="H83" s="18"/>
      <c r="I83" s="19"/>
      <c r="J83" s="18"/>
      <c r="K83" s="6"/>
      <c r="L83" s="14"/>
      <c r="M83" s="6"/>
      <c r="N83" s="6"/>
      <c r="O83" s="6"/>
      <c r="P83" s="13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15"/>
    </row>
    <row r="84" spans="1:31">
      <c r="A84" s="2"/>
      <c r="B84" s="2"/>
      <c r="C84" s="2"/>
      <c r="D84" s="2"/>
      <c r="E84" s="11"/>
      <c r="F84" s="11"/>
      <c r="G84" s="2"/>
      <c r="H84" s="18"/>
      <c r="I84" s="19"/>
      <c r="J84" s="18"/>
      <c r="K84" s="6"/>
      <c r="L84" s="14"/>
      <c r="M84" s="6"/>
      <c r="N84" s="6"/>
      <c r="O84" s="6"/>
      <c r="P84" s="13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15"/>
    </row>
    <row r="85" spans="1:31">
      <c r="A85" s="2"/>
      <c r="B85" s="2"/>
      <c r="C85" s="2"/>
      <c r="D85" s="2"/>
      <c r="E85" s="11"/>
      <c r="F85" s="11"/>
      <c r="G85" s="2"/>
      <c r="H85" s="18"/>
      <c r="I85" s="19"/>
      <c r="J85" s="18"/>
      <c r="K85" s="6"/>
      <c r="L85" s="14"/>
      <c r="M85" s="6"/>
      <c r="N85" s="6"/>
      <c r="O85" s="6"/>
      <c r="P85" s="13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15"/>
    </row>
    <row r="86" spans="1:31">
      <c r="A86" s="2"/>
      <c r="B86" s="2"/>
      <c r="C86" s="2"/>
      <c r="D86" s="2"/>
      <c r="E86" s="11"/>
      <c r="F86" s="11"/>
      <c r="G86" s="2"/>
      <c r="H86" s="18"/>
      <c r="I86" s="19"/>
      <c r="J86" s="18"/>
      <c r="K86" s="6"/>
      <c r="L86" s="14"/>
      <c r="M86" s="6"/>
      <c r="N86" s="6"/>
      <c r="O86" s="6"/>
      <c r="P86" s="13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15"/>
    </row>
    <row r="87" spans="1:31">
      <c r="A87" s="2"/>
      <c r="B87" s="2"/>
      <c r="C87" s="2"/>
      <c r="D87" s="2"/>
      <c r="E87" s="11"/>
      <c r="F87" s="11"/>
      <c r="G87" s="2"/>
      <c r="H87" s="18"/>
      <c r="I87" s="19"/>
      <c r="J87" s="18"/>
      <c r="K87" s="6"/>
      <c r="L87" s="14"/>
      <c r="M87" s="6"/>
      <c r="N87" s="6"/>
      <c r="O87" s="6"/>
      <c r="P87" s="13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15"/>
    </row>
    <row r="88" spans="1:31">
      <c r="A88" s="2"/>
      <c r="B88" s="2"/>
      <c r="C88" s="2"/>
      <c r="D88" s="2"/>
      <c r="E88" s="11"/>
      <c r="F88" s="11"/>
      <c r="G88" s="2"/>
      <c r="H88" s="18"/>
      <c r="I88" s="19"/>
      <c r="J88" s="18"/>
      <c r="K88" s="6"/>
      <c r="L88" s="14"/>
      <c r="M88" s="6"/>
      <c r="N88" s="6"/>
      <c r="O88" s="6"/>
      <c r="P88" s="13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15"/>
    </row>
    <row r="89" spans="1:31">
      <c r="A89" s="2"/>
      <c r="B89" s="2"/>
      <c r="C89" s="2"/>
      <c r="D89" s="2"/>
      <c r="E89" s="11"/>
      <c r="F89" s="11"/>
      <c r="G89" s="2"/>
      <c r="H89" s="18"/>
      <c r="I89" s="19"/>
      <c r="J89" s="18"/>
      <c r="K89" s="6"/>
      <c r="L89" s="14"/>
      <c r="M89" s="6"/>
      <c r="N89" s="6"/>
      <c r="O89" s="6"/>
      <c r="P89" s="13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15"/>
    </row>
    <row r="90" spans="1:31">
      <c r="A90" s="2"/>
      <c r="B90" s="2"/>
      <c r="C90" s="2"/>
      <c r="D90" s="2"/>
      <c r="E90" s="11"/>
      <c r="F90" s="11"/>
      <c r="G90" s="2"/>
      <c r="H90" s="18"/>
      <c r="I90" s="19"/>
      <c r="J90" s="18"/>
      <c r="K90" s="6"/>
      <c r="L90" s="14"/>
      <c r="M90" s="6"/>
      <c r="N90" s="6"/>
      <c r="O90" s="6"/>
      <c r="P90" s="13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15"/>
    </row>
    <row r="91" spans="1:31">
      <c r="A91" s="2"/>
      <c r="B91" s="2"/>
      <c r="C91" s="2"/>
      <c r="D91" s="2"/>
      <c r="E91" s="11"/>
      <c r="F91" s="11"/>
      <c r="G91" s="2"/>
      <c r="H91" s="18"/>
      <c r="I91" s="19"/>
      <c r="J91" s="18"/>
      <c r="K91" s="6"/>
      <c r="L91" s="14"/>
      <c r="M91" s="6"/>
      <c r="N91" s="6"/>
      <c r="O91" s="6"/>
      <c r="P91" s="13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15"/>
    </row>
    <row r="92" spans="1:31">
      <c r="A92" s="2"/>
      <c r="B92" s="2"/>
      <c r="C92" s="2"/>
      <c r="D92" s="2"/>
      <c r="E92" s="11"/>
      <c r="F92" s="11"/>
      <c r="G92" s="2"/>
      <c r="H92" s="18"/>
      <c r="I92" s="19"/>
      <c r="J92" s="18"/>
      <c r="K92" s="6"/>
      <c r="L92" s="14"/>
      <c r="M92" s="6"/>
      <c r="N92" s="6"/>
      <c r="O92" s="6"/>
      <c r="P92" s="13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15"/>
    </row>
    <row r="93" spans="1:31">
      <c r="A93" s="11"/>
      <c r="B93" s="2"/>
      <c r="C93" s="2"/>
      <c r="D93" s="2"/>
      <c r="E93" s="11"/>
      <c r="F93" s="11"/>
      <c r="G93" s="2"/>
      <c r="H93" s="18"/>
      <c r="I93" s="19"/>
      <c r="J93" s="18"/>
      <c r="K93" s="6"/>
      <c r="L93" s="14"/>
      <c r="M93" s="6"/>
      <c r="N93" s="6"/>
      <c r="O93" s="6"/>
      <c r="P93" s="13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15"/>
    </row>
    <row r="94" spans="1:31">
      <c r="A94" s="2"/>
      <c r="B94" s="2"/>
      <c r="C94" s="2"/>
      <c r="D94" s="2"/>
      <c r="E94" s="11"/>
      <c r="F94" s="11"/>
      <c r="G94" s="2"/>
      <c r="H94" s="18"/>
      <c r="I94" s="19"/>
      <c r="J94" s="18"/>
      <c r="K94" s="6"/>
      <c r="L94" s="14"/>
      <c r="M94" s="6"/>
      <c r="N94" s="6"/>
      <c r="O94" s="6"/>
      <c r="P94" s="13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15"/>
    </row>
    <row r="95" spans="1:31">
      <c r="A95" s="2"/>
      <c r="B95" s="2"/>
      <c r="C95" s="2"/>
      <c r="D95" s="2"/>
      <c r="E95" s="11"/>
      <c r="F95" s="11"/>
      <c r="G95" s="2"/>
      <c r="H95" s="18"/>
      <c r="I95" s="19"/>
      <c r="J95" s="18"/>
      <c r="K95" s="6"/>
      <c r="L95" s="14"/>
      <c r="M95" s="6"/>
      <c r="N95" s="6"/>
      <c r="O95" s="6"/>
      <c r="P95" s="13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15"/>
    </row>
    <row r="96" spans="1:31">
      <c r="A96" s="2"/>
      <c r="B96" s="2"/>
      <c r="C96" s="2"/>
      <c r="D96" s="2"/>
      <c r="E96" s="11"/>
      <c r="F96" s="11"/>
      <c r="G96" s="2"/>
      <c r="H96" s="18"/>
      <c r="I96" s="19"/>
      <c r="J96" s="18"/>
      <c r="K96" s="6"/>
      <c r="L96" s="14"/>
      <c r="M96" s="6"/>
      <c r="N96" s="6"/>
      <c r="O96" s="6"/>
      <c r="P96" s="13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15"/>
    </row>
    <row r="97" spans="1:31">
      <c r="A97" s="2"/>
      <c r="B97" s="2"/>
      <c r="C97" s="2"/>
      <c r="D97" s="2"/>
      <c r="E97" s="11"/>
      <c r="F97" s="11"/>
      <c r="G97" s="2"/>
      <c r="H97" s="18"/>
      <c r="I97" s="19"/>
      <c r="J97" s="18"/>
      <c r="K97" s="6"/>
      <c r="L97" s="14"/>
      <c r="M97" s="6"/>
      <c r="N97" s="6"/>
      <c r="O97" s="6"/>
      <c r="P97" s="13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15"/>
    </row>
    <row r="98" spans="1:31">
      <c r="A98" s="2"/>
      <c r="B98" s="2"/>
      <c r="C98" s="2"/>
      <c r="D98" s="2"/>
      <c r="E98" s="11"/>
      <c r="F98" s="11"/>
      <c r="G98" s="2"/>
      <c r="H98" s="18"/>
      <c r="I98" s="19"/>
      <c r="J98" s="18"/>
      <c r="K98" s="6"/>
      <c r="L98" s="14"/>
      <c r="M98" s="6"/>
      <c r="N98" s="6"/>
      <c r="O98" s="6"/>
      <c r="P98" s="13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15"/>
    </row>
    <row r="99" spans="1:31">
      <c r="A99" s="2"/>
      <c r="B99" s="2"/>
      <c r="C99" s="2"/>
      <c r="D99" s="2"/>
      <c r="E99" s="11"/>
      <c r="F99" s="11"/>
      <c r="G99" s="2"/>
      <c r="H99" s="18"/>
      <c r="I99" s="19"/>
      <c r="J99" s="18"/>
      <c r="K99" s="6"/>
      <c r="L99" s="14"/>
      <c r="M99" s="6"/>
      <c r="N99" s="6"/>
      <c r="O99" s="6"/>
      <c r="P99" s="13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15"/>
    </row>
    <row r="100" spans="1:31">
      <c r="A100" s="2"/>
      <c r="B100" s="2"/>
      <c r="C100" s="2"/>
      <c r="D100" s="2"/>
      <c r="E100" s="11"/>
      <c r="F100" s="11"/>
      <c r="G100" s="2"/>
      <c r="H100" s="18"/>
      <c r="I100" s="19"/>
      <c r="J100" s="18"/>
      <c r="K100" s="6"/>
      <c r="L100" s="14"/>
      <c r="M100" s="6"/>
      <c r="N100" s="6"/>
      <c r="O100" s="6"/>
      <c r="P100" s="13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15"/>
    </row>
    <row r="101" spans="1:31">
      <c r="A101" s="2"/>
      <c r="B101" s="2"/>
      <c r="C101" s="2"/>
      <c r="D101" s="2"/>
      <c r="E101" s="11"/>
      <c r="F101" s="11"/>
      <c r="G101" s="2"/>
      <c r="H101" s="18"/>
      <c r="I101" s="19"/>
      <c r="J101" s="18"/>
      <c r="K101" s="6"/>
      <c r="L101" s="14"/>
      <c r="M101" s="6"/>
      <c r="N101" s="6"/>
      <c r="O101" s="6"/>
      <c r="P101" s="13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15"/>
    </row>
    <row r="102" spans="1:31">
      <c r="A102" s="2"/>
      <c r="B102" s="2"/>
      <c r="C102" s="2"/>
      <c r="D102" s="2"/>
      <c r="E102" s="11"/>
      <c r="F102" s="11"/>
      <c r="G102" s="2"/>
      <c r="H102" s="18"/>
      <c r="I102" s="19"/>
      <c r="J102" s="18"/>
      <c r="K102" s="6"/>
      <c r="L102" s="14"/>
      <c r="M102" s="6"/>
      <c r="N102" s="6"/>
      <c r="O102" s="6"/>
      <c r="P102" s="13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15"/>
    </row>
    <row r="103" spans="1:31">
      <c r="A103" s="11"/>
      <c r="B103" s="2"/>
      <c r="C103" s="2"/>
      <c r="D103" s="2"/>
      <c r="E103" s="11"/>
      <c r="F103" s="11"/>
      <c r="G103" s="2"/>
      <c r="H103" s="18"/>
      <c r="I103" s="19"/>
      <c r="J103" s="18"/>
      <c r="K103" s="6"/>
      <c r="L103" s="14"/>
      <c r="M103" s="6"/>
      <c r="N103" s="6"/>
      <c r="O103" s="6"/>
      <c r="P103" s="13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15"/>
    </row>
    <row r="104" spans="1:31">
      <c r="A104" s="2"/>
      <c r="B104" s="2"/>
      <c r="C104" s="2"/>
      <c r="D104" s="2"/>
      <c r="E104" s="11"/>
      <c r="F104" s="11"/>
      <c r="G104" s="2"/>
      <c r="H104" s="18"/>
      <c r="I104" s="19"/>
      <c r="J104" s="18"/>
      <c r="K104" s="6"/>
      <c r="L104" s="14"/>
      <c r="M104" s="6"/>
      <c r="N104" s="6"/>
      <c r="O104" s="6"/>
      <c r="P104" s="13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15"/>
    </row>
    <row r="105" spans="1:31">
      <c r="A105" s="2"/>
      <c r="B105" s="2"/>
      <c r="C105" s="2"/>
      <c r="D105" s="2"/>
      <c r="E105" s="11"/>
      <c r="F105" s="11"/>
      <c r="G105" s="2"/>
      <c r="H105" s="18"/>
      <c r="I105" s="19"/>
      <c r="J105" s="18"/>
      <c r="K105" s="6"/>
      <c r="L105" s="14"/>
      <c r="M105" s="6"/>
      <c r="N105" s="6"/>
      <c r="O105" s="6"/>
      <c r="P105" s="13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15"/>
    </row>
    <row r="106" spans="1:31">
      <c r="A106" s="11"/>
      <c r="B106" s="2"/>
      <c r="C106" s="2"/>
      <c r="D106" s="2"/>
      <c r="E106" s="11"/>
      <c r="F106" s="11"/>
      <c r="G106" s="2"/>
      <c r="H106" s="18"/>
      <c r="I106" s="19"/>
      <c r="J106" s="18"/>
      <c r="K106" s="6"/>
      <c r="L106" s="14"/>
      <c r="M106" s="6"/>
      <c r="N106" s="6"/>
      <c r="O106" s="6"/>
      <c r="P106" s="13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15"/>
    </row>
    <row r="107" spans="1:31">
      <c r="A107" s="2"/>
      <c r="B107" s="2"/>
      <c r="C107" s="2"/>
      <c r="D107" s="2"/>
      <c r="E107" s="11"/>
      <c r="F107" s="11"/>
      <c r="G107" s="2"/>
      <c r="H107" s="18"/>
      <c r="I107" s="19"/>
      <c r="J107" s="18"/>
      <c r="K107" s="6"/>
      <c r="L107" s="14"/>
      <c r="M107" s="6"/>
      <c r="N107" s="6"/>
      <c r="O107" s="6"/>
      <c r="P107" s="13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15"/>
    </row>
    <row r="108" spans="1:31">
      <c r="A108" s="2"/>
      <c r="B108" s="2"/>
      <c r="C108" s="2"/>
      <c r="D108" s="2"/>
      <c r="E108" s="11"/>
      <c r="F108" s="11"/>
      <c r="G108" s="2"/>
      <c r="H108" s="18"/>
      <c r="I108" s="19"/>
      <c r="J108" s="18"/>
      <c r="K108" s="6"/>
      <c r="L108" s="14"/>
      <c r="M108" s="6"/>
      <c r="N108" s="6"/>
      <c r="O108" s="6"/>
      <c r="P108" s="13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15"/>
    </row>
    <row r="109" spans="1:31">
      <c r="A109" s="2"/>
      <c r="B109" s="2"/>
      <c r="C109" s="2"/>
      <c r="D109" s="2"/>
      <c r="E109" s="11"/>
      <c r="F109" s="11"/>
      <c r="G109" s="2"/>
      <c r="H109" s="18"/>
      <c r="I109" s="19"/>
      <c r="J109" s="18"/>
      <c r="K109" s="6"/>
      <c r="L109" s="14"/>
      <c r="M109" s="6"/>
      <c r="N109" s="6"/>
      <c r="O109" s="6"/>
      <c r="P109" s="13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15"/>
    </row>
    <row r="110" spans="1:31">
      <c r="A110" s="2"/>
      <c r="B110" s="2"/>
      <c r="C110" s="2"/>
      <c r="D110" s="2"/>
      <c r="E110" s="11"/>
      <c r="F110" s="11"/>
      <c r="G110" s="2"/>
      <c r="H110" s="18"/>
      <c r="I110" s="19"/>
      <c r="J110" s="18"/>
      <c r="K110" s="6"/>
      <c r="L110" s="14"/>
      <c r="M110" s="6"/>
      <c r="N110" s="6"/>
      <c r="O110" s="6"/>
      <c r="P110" s="13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15"/>
    </row>
    <row r="111" spans="1:31">
      <c r="A111" s="2"/>
      <c r="B111" s="2"/>
      <c r="C111" s="2"/>
      <c r="D111" s="2"/>
      <c r="E111" s="11"/>
      <c r="F111" s="11"/>
      <c r="G111" s="2"/>
      <c r="H111" s="18"/>
      <c r="I111" s="19"/>
      <c r="J111" s="18"/>
      <c r="K111" s="6"/>
      <c r="L111" s="14"/>
      <c r="M111" s="6"/>
      <c r="N111" s="6"/>
      <c r="O111" s="6"/>
      <c r="P111" s="13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15"/>
    </row>
    <row r="112" spans="1:31">
      <c r="A112" s="11"/>
      <c r="B112" s="2"/>
      <c r="C112" s="2"/>
      <c r="D112" s="2"/>
      <c r="E112" s="11"/>
      <c r="F112" s="11"/>
      <c r="G112" s="2"/>
      <c r="H112" s="18"/>
      <c r="I112" s="19"/>
      <c r="J112" s="18"/>
      <c r="K112" s="6"/>
      <c r="L112" s="14"/>
      <c r="M112" s="6"/>
      <c r="N112" s="6"/>
      <c r="O112" s="6"/>
      <c r="P112" s="13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15"/>
    </row>
    <row r="113" spans="1:31">
      <c r="A113" s="2"/>
      <c r="B113" s="2"/>
      <c r="C113" s="2"/>
      <c r="D113" s="2"/>
      <c r="E113" s="11"/>
      <c r="F113" s="11"/>
      <c r="G113" s="2"/>
      <c r="H113" s="18"/>
      <c r="I113" s="19"/>
      <c r="J113" s="18"/>
      <c r="K113" s="6"/>
      <c r="L113" s="14"/>
      <c r="M113" s="6"/>
      <c r="N113" s="6"/>
      <c r="O113" s="6"/>
      <c r="P113" s="13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15"/>
    </row>
    <row r="114" spans="1:31">
      <c r="A114" s="2"/>
      <c r="B114" s="2"/>
      <c r="C114" s="2"/>
      <c r="D114" s="2"/>
      <c r="E114" s="11"/>
      <c r="F114" s="11"/>
      <c r="G114" s="2"/>
      <c r="H114" s="18"/>
      <c r="I114" s="19"/>
      <c r="J114" s="18"/>
      <c r="K114" s="6"/>
      <c r="L114" s="14"/>
      <c r="M114" s="6"/>
      <c r="N114" s="6"/>
      <c r="O114" s="6"/>
      <c r="P114" s="13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15"/>
    </row>
    <row r="115" spans="1:31">
      <c r="A115" s="2"/>
      <c r="B115" s="2"/>
      <c r="C115" s="2"/>
      <c r="D115" s="2"/>
      <c r="E115" s="11"/>
      <c r="F115" s="11"/>
      <c r="G115" s="2"/>
      <c r="H115" s="18"/>
      <c r="I115" s="19"/>
      <c r="J115" s="18"/>
      <c r="K115" s="6"/>
      <c r="L115" s="14"/>
      <c r="M115" s="6"/>
      <c r="N115" s="6"/>
      <c r="O115" s="6"/>
      <c r="P115" s="13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15"/>
    </row>
    <row r="116" spans="1:31">
      <c r="A116" s="2"/>
      <c r="B116" s="2"/>
      <c r="C116" s="2"/>
      <c r="D116" s="2"/>
      <c r="E116" s="11"/>
      <c r="F116" s="11"/>
      <c r="G116" s="2"/>
      <c r="H116" s="18"/>
      <c r="I116" s="19"/>
      <c r="J116" s="18"/>
      <c r="K116" s="6"/>
      <c r="L116" s="14"/>
      <c r="M116" s="6"/>
      <c r="N116" s="6"/>
      <c r="O116" s="6"/>
      <c r="P116" s="13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15"/>
    </row>
    <row r="117" spans="1:31">
      <c r="A117" s="2"/>
      <c r="B117" s="2"/>
      <c r="C117" s="2"/>
      <c r="D117" s="2"/>
      <c r="E117" s="11"/>
      <c r="F117" s="11"/>
      <c r="G117" s="2"/>
      <c r="H117" s="18"/>
      <c r="I117" s="19"/>
      <c r="J117" s="18"/>
      <c r="K117" s="6"/>
      <c r="L117" s="14"/>
      <c r="M117" s="6"/>
      <c r="N117" s="6"/>
      <c r="O117" s="6"/>
      <c r="P117" s="13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15"/>
    </row>
    <row r="118" spans="1:31">
      <c r="A118" s="2"/>
      <c r="B118" s="2"/>
      <c r="C118" s="2"/>
      <c r="D118" s="2"/>
      <c r="E118" s="11"/>
      <c r="F118" s="11"/>
      <c r="G118" s="2"/>
      <c r="H118" s="18"/>
      <c r="I118" s="19"/>
      <c r="J118" s="18"/>
      <c r="K118" s="6"/>
      <c r="L118" s="14"/>
      <c r="M118" s="6"/>
      <c r="N118" s="6"/>
      <c r="O118" s="6"/>
      <c r="P118" s="13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15"/>
    </row>
    <row r="119" spans="1:31">
      <c r="A119" s="2"/>
      <c r="B119" s="2"/>
      <c r="C119" s="2"/>
      <c r="D119" s="2"/>
      <c r="E119" s="11"/>
      <c r="F119" s="11"/>
      <c r="G119" s="2"/>
      <c r="H119" s="18"/>
      <c r="I119" s="19"/>
      <c r="J119" s="18"/>
      <c r="K119" s="6"/>
      <c r="L119" s="14"/>
      <c r="M119" s="6"/>
      <c r="N119" s="6"/>
      <c r="O119" s="6"/>
      <c r="P119" s="13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15"/>
    </row>
    <row r="120" spans="1:31">
      <c r="A120" s="2"/>
      <c r="B120" s="2"/>
      <c r="C120" s="2"/>
      <c r="D120" s="2"/>
      <c r="E120" s="11"/>
      <c r="F120" s="11"/>
      <c r="G120" s="2"/>
      <c r="H120" s="18"/>
      <c r="I120" s="19"/>
      <c r="J120" s="18"/>
      <c r="K120" s="6"/>
      <c r="L120" s="14"/>
      <c r="M120" s="6"/>
      <c r="N120" s="6"/>
      <c r="O120" s="6"/>
      <c r="P120" s="13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15"/>
    </row>
    <row r="121" spans="1:31">
      <c r="A121" s="2"/>
      <c r="B121" s="2"/>
      <c r="C121" s="2"/>
      <c r="D121" s="2"/>
      <c r="E121" s="11"/>
      <c r="F121" s="11"/>
      <c r="G121" s="2"/>
      <c r="H121" s="18"/>
      <c r="I121" s="19"/>
      <c r="J121" s="18"/>
      <c r="K121" s="6"/>
      <c r="L121" s="14"/>
      <c r="M121" s="6"/>
      <c r="N121" s="6"/>
      <c r="O121" s="6"/>
      <c r="P121" s="13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15"/>
    </row>
    <row r="122" spans="1:31">
      <c r="A122" s="2"/>
      <c r="B122" s="2"/>
      <c r="C122" s="2"/>
      <c r="D122" s="2"/>
      <c r="E122" s="11"/>
      <c r="F122" s="11"/>
      <c r="G122" s="2"/>
      <c r="H122" s="18"/>
      <c r="I122" s="19"/>
      <c r="J122" s="18"/>
      <c r="K122" s="6"/>
      <c r="L122" s="14"/>
      <c r="M122" s="6"/>
      <c r="N122" s="6"/>
      <c r="O122" s="6"/>
      <c r="P122" s="13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15"/>
    </row>
    <row r="123" spans="1:31">
      <c r="A123" s="2"/>
      <c r="B123" s="2"/>
      <c r="C123" s="2"/>
      <c r="D123" s="2"/>
      <c r="E123" s="11"/>
      <c r="F123" s="11"/>
      <c r="G123" s="2"/>
      <c r="H123" s="18"/>
      <c r="I123" s="19"/>
      <c r="J123" s="18"/>
      <c r="K123" s="6"/>
      <c r="L123" s="14"/>
      <c r="M123" s="6"/>
      <c r="N123" s="6"/>
      <c r="O123" s="6"/>
      <c r="P123" s="13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15"/>
    </row>
    <row r="124" spans="1:31">
      <c r="A124" s="2"/>
      <c r="B124" s="2"/>
      <c r="C124" s="2"/>
      <c r="D124" s="2"/>
      <c r="E124" s="11"/>
      <c r="F124" s="11"/>
      <c r="G124" s="2"/>
      <c r="H124" s="18"/>
      <c r="I124" s="19"/>
      <c r="J124" s="18"/>
      <c r="K124" s="6"/>
      <c r="L124" s="14"/>
      <c r="M124" s="6"/>
      <c r="N124" s="6"/>
      <c r="O124" s="6"/>
      <c r="P124" s="13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15"/>
    </row>
    <row r="125" spans="1:31">
      <c r="A125" s="2"/>
      <c r="B125" s="2"/>
      <c r="C125" s="2"/>
      <c r="D125" s="2"/>
      <c r="E125" s="11"/>
      <c r="F125" s="11"/>
      <c r="G125" s="2"/>
      <c r="H125" s="18"/>
      <c r="I125" s="19"/>
      <c r="J125" s="18"/>
      <c r="K125" s="6"/>
      <c r="L125" s="14"/>
      <c r="M125" s="6"/>
      <c r="N125" s="6"/>
      <c r="O125" s="6"/>
      <c r="P125" s="13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15"/>
    </row>
    <row r="126" spans="1:31">
      <c r="A126" s="2"/>
      <c r="B126" s="2"/>
      <c r="C126" s="2"/>
      <c r="D126" s="2"/>
      <c r="E126" s="11"/>
      <c r="F126" s="11"/>
      <c r="G126" s="2"/>
      <c r="H126" s="18"/>
      <c r="I126" s="19"/>
      <c r="J126" s="18"/>
      <c r="K126" s="6"/>
      <c r="L126" s="14"/>
      <c r="M126" s="6"/>
      <c r="N126" s="6"/>
      <c r="O126" s="6"/>
      <c r="P126" s="13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15"/>
    </row>
    <row r="127" spans="1:31">
      <c r="A127" s="2"/>
      <c r="B127" s="2"/>
      <c r="C127" s="2"/>
      <c r="D127" s="2"/>
      <c r="E127" s="11"/>
      <c r="F127" s="11"/>
      <c r="G127" s="2"/>
      <c r="H127" s="18"/>
      <c r="I127" s="19"/>
      <c r="J127" s="18"/>
      <c r="K127" s="6"/>
      <c r="L127" s="14"/>
      <c r="M127" s="6"/>
      <c r="N127" s="6"/>
      <c r="O127" s="6"/>
      <c r="P127" s="13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15"/>
    </row>
    <row r="128" spans="1:31">
      <c r="A128" s="11"/>
      <c r="B128" s="2"/>
      <c r="C128" s="2"/>
      <c r="D128" s="2"/>
      <c r="E128" s="11"/>
      <c r="F128" s="11"/>
      <c r="G128" s="2"/>
      <c r="H128" s="18"/>
      <c r="I128" s="19"/>
      <c r="J128" s="18"/>
      <c r="K128" s="6"/>
      <c r="L128" s="14"/>
      <c r="M128" s="6"/>
      <c r="N128" s="6"/>
      <c r="O128" s="6"/>
      <c r="P128" s="13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15"/>
    </row>
    <row r="129" spans="1:31">
      <c r="A129" s="11"/>
      <c r="B129" s="2"/>
      <c r="C129" s="2"/>
      <c r="D129" s="2"/>
      <c r="E129" s="11"/>
      <c r="F129" s="11"/>
      <c r="G129" s="2"/>
      <c r="H129" s="18"/>
      <c r="I129" s="19"/>
      <c r="J129" s="18"/>
      <c r="K129" s="6"/>
      <c r="L129" s="14"/>
      <c r="M129" s="6"/>
      <c r="N129" s="6"/>
      <c r="O129" s="6"/>
      <c r="P129" s="13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15"/>
    </row>
    <row r="130" spans="1:31">
      <c r="A130" s="2"/>
      <c r="B130" s="2"/>
      <c r="C130" s="2"/>
      <c r="D130" s="2"/>
      <c r="E130" s="11"/>
      <c r="F130" s="11"/>
      <c r="G130" s="2"/>
      <c r="H130" s="18"/>
      <c r="I130" s="19"/>
      <c r="J130" s="18"/>
      <c r="K130" s="6"/>
      <c r="L130" s="14"/>
      <c r="M130" s="6"/>
      <c r="N130" s="6"/>
      <c r="O130" s="6"/>
      <c r="P130" s="13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15"/>
    </row>
    <row r="131" spans="1:31">
      <c r="A131" s="2"/>
      <c r="B131" s="2"/>
      <c r="C131" s="2"/>
      <c r="D131" s="2"/>
      <c r="E131" s="11"/>
      <c r="F131" s="11"/>
      <c r="G131" s="2"/>
      <c r="H131" s="18"/>
      <c r="I131" s="19"/>
      <c r="J131" s="18"/>
      <c r="K131" s="6"/>
      <c r="L131" s="14"/>
      <c r="M131" s="6"/>
      <c r="N131" s="6"/>
      <c r="O131" s="6"/>
      <c r="P131" s="13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15"/>
    </row>
    <row r="132" spans="1:31">
      <c r="A132" s="2"/>
      <c r="B132" s="2"/>
      <c r="C132" s="2"/>
      <c r="D132" s="2"/>
      <c r="E132" s="11"/>
      <c r="F132" s="11"/>
      <c r="G132" s="2"/>
      <c r="H132" s="18"/>
      <c r="I132" s="19"/>
      <c r="J132" s="18"/>
      <c r="K132" s="6"/>
      <c r="L132" s="14"/>
      <c r="M132" s="6"/>
      <c r="N132" s="6"/>
      <c r="O132" s="6"/>
      <c r="P132" s="13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15"/>
    </row>
    <row r="133" spans="1:31">
      <c r="A133" s="2"/>
      <c r="B133" s="2"/>
      <c r="C133" s="2"/>
      <c r="D133" s="2"/>
      <c r="E133" s="11"/>
      <c r="F133" s="11"/>
      <c r="G133" s="2"/>
      <c r="H133" s="18"/>
      <c r="I133" s="19"/>
      <c r="J133" s="18"/>
      <c r="K133" s="6"/>
      <c r="L133" s="14"/>
      <c r="M133" s="6"/>
      <c r="N133" s="6"/>
      <c r="O133" s="6"/>
      <c r="P133" s="13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15"/>
    </row>
    <row r="134" spans="1:31">
      <c r="A134" s="11"/>
      <c r="B134" s="2"/>
      <c r="C134" s="2"/>
      <c r="D134" s="2"/>
      <c r="E134" s="11"/>
      <c r="F134" s="11"/>
      <c r="G134" s="2"/>
      <c r="H134" s="18"/>
      <c r="I134" s="19"/>
      <c r="J134" s="18"/>
      <c r="K134" s="6"/>
      <c r="L134" s="14"/>
      <c r="M134" s="6"/>
      <c r="N134" s="6"/>
      <c r="O134" s="6"/>
      <c r="P134" s="13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15"/>
    </row>
    <row r="135" spans="1:31">
      <c r="A135" s="2"/>
      <c r="B135" s="2"/>
      <c r="C135" s="2"/>
      <c r="D135" s="2"/>
      <c r="E135" s="11"/>
      <c r="F135" s="11"/>
      <c r="G135" s="2"/>
      <c r="H135" s="18"/>
      <c r="I135" s="19"/>
      <c r="J135" s="18"/>
      <c r="K135" s="6"/>
      <c r="L135" s="14"/>
      <c r="M135" s="6"/>
      <c r="N135" s="6"/>
      <c r="O135" s="6"/>
      <c r="P135" s="13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15"/>
    </row>
    <row r="136" spans="1:31">
      <c r="A136" s="2"/>
      <c r="B136" s="2"/>
      <c r="C136" s="2"/>
      <c r="D136" s="2"/>
      <c r="E136" s="11"/>
      <c r="F136" s="11"/>
      <c r="G136" s="2"/>
      <c r="H136" s="18"/>
      <c r="I136" s="19"/>
      <c r="J136" s="18"/>
      <c r="K136" s="6"/>
      <c r="L136" s="14"/>
      <c r="M136" s="6"/>
      <c r="N136" s="6"/>
      <c r="O136" s="6"/>
      <c r="P136" s="13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15"/>
    </row>
    <row r="137" spans="1:31">
      <c r="A137" s="2"/>
      <c r="B137" s="2"/>
      <c r="C137" s="2"/>
      <c r="D137" s="2"/>
      <c r="E137" s="11"/>
      <c r="F137" s="11"/>
      <c r="G137" s="2"/>
      <c r="H137" s="18"/>
      <c r="I137" s="19"/>
      <c r="J137" s="18"/>
      <c r="K137" s="6"/>
      <c r="L137" s="14"/>
      <c r="M137" s="6"/>
      <c r="N137" s="6"/>
      <c r="O137" s="6"/>
      <c r="P137" s="13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15"/>
    </row>
    <row r="138" spans="1:31">
      <c r="A138" s="2"/>
      <c r="B138" s="2"/>
      <c r="C138" s="2"/>
      <c r="D138" s="2"/>
      <c r="E138" s="11"/>
      <c r="F138" s="11"/>
      <c r="G138" s="2"/>
      <c r="H138" s="18"/>
      <c r="I138" s="19"/>
      <c r="J138" s="18"/>
      <c r="K138" s="6"/>
      <c r="L138" s="14"/>
      <c r="M138" s="6"/>
      <c r="N138" s="6"/>
      <c r="O138" s="6"/>
      <c r="P138" s="13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15"/>
    </row>
    <row r="139" spans="1:31">
      <c r="A139" s="2"/>
      <c r="B139" s="2"/>
      <c r="C139" s="2"/>
      <c r="D139" s="2"/>
      <c r="E139" s="11"/>
      <c r="F139" s="11"/>
      <c r="G139" s="2"/>
      <c r="H139" s="18"/>
      <c r="I139" s="19"/>
      <c r="J139" s="18"/>
      <c r="K139" s="6"/>
      <c r="L139" s="14"/>
      <c r="M139" s="6"/>
      <c r="N139" s="6"/>
      <c r="O139" s="6"/>
      <c r="P139" s="13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15"/>
    </row>
    <row r="140" spans="1:31">
      <c r="A140" s="2"/>
      <c r="B140" s="2"/>
      <c r="C140" s="2"/>
      <c r="D140" s="2"/>
      <c r="E140" s="11"/>
      <c r="F140" s="11"/>
      <c r="G140" s="2"/>
      <c r="H140" s="18"/>
      <c r="I140" s="19"/>
      <c r="J140" s="18"/>
      <c r="K140" s="6"/>
      <c r="L140" s="14"/>
      <c r="M140" s="6"/>
      <c r="N140" s="6"/>
      <c r="O140" s="6"/>
      <c r="P140" s="13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15"/>
    </row>
    <row r="141" spans="1:31">
      <c r="A141" s="2"/>
      <c r="B141" s="2"/>
      <c r="C141" s="2"/>
      <c r="D141" s="2"/>
      <c r="E141" s="11"/>
      <c r="F141" s="11"/>
      <c r="G141" s="2"/>
      <c r="H141" s="18"/>
      <c r="I141" s="19"/>
      <c r="J141" s="18"/>
      <c r="K141" s="6"/>
      <c r="L141" s="14"/>
      <c r="M141" s="6"/>
      <c r="N141" s="6"/>
      <c r="O141" s="6"/>
      <c r="P141" s="13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15"/>
    </row>
    <row r="142" spans="1:31">
      <c r="A142" s="11"/>
      <c r="B142" s="2"/>
      <c r="C142" s="2"/>
      <c r="D142" s="2"/>
      <c r="E142" s="11"/>
      <c r="F142" s="11"/>
      <c r="G142" s="2"/>
      <c r="H142" s="18"/>
      <c r="I142" s="19"/>
      <c r="J142" s="18"/>
      <c r="K142" s="6"/>
      <c r="L142" s="14"/>
      <c r="M142" s="6"/>
      <c r="N142" s="6"/>
      <c r="O142" s="6"/>
      <c r="P142" s="13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15"/>
    </row>
    <row r="143" spans="1:31">
      <c r="A143" s="2"/>
      <c r="B143" s="2"/>
      <c r="C143" s="2"/>
      <c r="D143" s="2"/>
      <c r="E143" s="11"/>
      <c r="F143" s="11"/>
      <c r="G143" s="2"/>
      <c r="H143" s="18"/>
      <c r="I143" s="19"/>
      <c r="J143" s="18"/>
      <c r="K143" s="6"/>
      <c r="L143" s="14"/>
      <c r="M143" s="6"/>
      <c r="N143" s="6"/>
      <c r="O143" s="6"/>
      <c r="P143" s="13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15"/>
    </row>
    <row r="144" spans="1:31">
      <c r="A144" s="2"/>
      <c r="B144" s="2"/>
      <c r="C144" s="2"/>
      <c r="D144" s="2"/>
      <c r="E144" s="11"/>
      <c r="F144" s="11"/>
      <c r="G144" s="2"/>
      <c r="H144" s="18"/>
      <c r="I144" s="19"/>
      <c r="J144" s="18"/>
      <c r="K144" s="6"/>
      <c r="L144" s="14"/>
      <c r="M144" s="6"/>
      <c r="N144" s="6"/>
      <c r="O144" s="6"/>
      <c r="P144" s="13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15"/>
    </row>
    <row r="145" spans="1:31">
      <c r="A145" s="2"/>
      <c r="B145" s="2"/>
      <c r="C145" s="2"/>
      <c r="D145" s="2"/>
      <c r="E145" s="11"/>
      <c r="F145" s="11"/>
      <c r="G145" s="2"/>
      <c r="H145" s="18"/>
      <c r="I145" s="19"/>
      <c r="J145" s="18"/>
      <c r="K145" s="6"/>
      <c r="L145" s="14"/>
      <c r="M145" s="6"/>
      <c r="N145" s="6"/>
      <c r="O145" s="6"/>
      <c r="P145" s="13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15"/>
    </row>
    <row r="146" spans="1:31">
      <c r="A146" s="2"/>
      <c r="B146" s="2"/>
      <c r="C146" s="2"/>
      <c r="D146" s="2"/>
      <c r="E146" s="11"/>
      <c r="F146" s="11"/>
      <c r="G146" s="2"/>
      <c r="H146" s="18"/>
      <c r="I146" s="19"/>
      <c r="J146" s="18"/>
      <c r="K146" s="6"/>
      <c r="L146" s="14"/>
      <c r="M146" s="6"/>
      <c r="N146" s="6"/>
      <c r="O146" s="6"/>
      <c r="P146" s="13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15"/>
    </row>
    <row r="147" spans="1:31">
      <c r="A147" s="2"/>
      <c r="B147" s="2"/>
      <c r="C147" s="2"/>
      <c r="D147" s="2"/>
      <c r="E147" s="11"/>
      <c r="F147" s="11"/>
      <c r="G147" s="2"/>
      <c r="H147" s="18"/>
      <c r="I147" s="19"/>
      <c r="J147" s="18"/>
      <c r="K147" s="6"/>
      <c r="L147" s="14"/>
      <c r="M147" s="6"/>
      <c r="N147" s="6"/>
      <c r="O147" s="6"/>
      <c r="P147" s="13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15"/>
    </row>
    <row r="148" spans="1:31">
      <c r="A148" s="2"/>
      <c r="B148" s="2"/>
      <c r="C148" s="2"/>
      <c r="D148" s="2"/>
      <c r="E148" s="11"/>
      <c r="F148" s="11"/>
      <c r="G148" s="2"/>
      <c r="H148" s="18"/>
      <c r="I148" s="19"/>
      <c r="J148" s="18"/>
      <c r="K148" s="6"/>
      <c r="L148" s="14"/>
      <c r="M148" s="6"/>
      <c r="N148" s="6"/>
      <c r="O148" s="6"/>
      <c r="P148" s="13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12"/>
    </row>
    <row r="149" spans="1:31">
      <c r="A149" s="11"/>
      <c r="B149" s="2"/>
      <c r="C149" s="2"/>
      <c r="D149" s="2"/>
      <c r="E149" s="11"/>
      <c r="F149" s="11"/>
      <c r="G149" s="2"/>
      <c r="H149" s="18"/>
      <c r="I149" s="19"/>
      <c r="J149" s="18"/>
      <c r="K149" s="6"/>
      <c r="L149" s="14"/>
      <c r="M149" s="6"/>
      <c r="N149" s="6"/>
      <c r="O149" s="6"/>
      <c r="P149" s="13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15"/>
    </row>
    <row r="150" spans="1:31">
      <c r="A150" s="2"/>
      <c r="B150" s="2"/>
      <c r="C150" s="2"/>
      <c r="D150" s="2"/>
      <c r="E150" s="11"/>
      <c r="F150" s="11"/>
      <c r="G150" s="2"/>
      <c r="H150" s="18"/>
      <c r="I150" s="19"/>
      <c r="J150" s="18"/>
      <c r="K150" s="6"/>
      <c r="L150" s="14"/>
      <c r="M150" s="6"/>
      <c r="N150" s="6"/>
      <c r="O150" s="6"/>
      <c r="P150" s="13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15"/>
    </row>
    <row r="151" spans="1:31">
      <c r="A151" s="2"/>
      <c r="B151" s="2"/>
      <c r="C151" s="2"/>
      <c r="D151" s="2"/>
      <c r="E151" s="11"/>
      <c r="F151" s="11"/>
      <c r="G151" s="2"/>
      <c r="H151" s="18"/>
      <c r="I151" s="19"/>
      <c r="J151" s="18"/>
      <c r="K151" s="6"/>
      <c r="L151" s="14"/>
      <c r="M151" s="6"/>
      <c r="N151" s="6"/>
      <c r="O151" s="6"/>
      <c r="P151" s="13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15"/>
    </row>
    <row r="152" spans="1:31">
      <c r="A152" s="2"/>
      <c r="B152" s="2"/>
      <c r="C152" s="2"/>
      <c r="D152" s="2"/>
      <c r="E152" s="11"/>
      <c r="F152" s="11"/>
      <c r="G152" s="2"/>
      <c r="H152" s="18"/>
      <c r="I152" s="19"/>
      <c r="J152" s="18"/>
      <c r="K152" s="6"/>
      <c r="L152" s="14"/>
      <c r="M152" s="6"/>
      <c r="N152" s="6"/>
      <c r="O152" s="6"/>
      <c r="P152" s="13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15"/>
    </row>
    <row r="153" spans="1:31">
      <c r="A153" s="2"/>
      <c r="B153" s="2"/>
      <c r="C153" s="2"/>
      <c r="D153" s="2"/>
      <c r="E153" s="11"/>
      <c r="F153" s="11"/>
      <c r="G153" s="2"/>
      <c r="H153" s="18"/>
      <c r="I153" s="19"/>
      <c r="J153" s="18"/>
      <c r="K153" s="6"/>
      <c r="L153" s="14"/>
      <c r="M153" s="6"/>
      <c r="N153" s="6"/>
      <c r="O153" s="6"/>
      <c r="P153" s="13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15"/>
    </row>
    <row r="154" spans="1:31">
      <c r="A154" s="2"/>
      <c r="B154" s="2"/>
      <c r="C154" s="2"/>
      <c r="D154" s="2"/>
      <c r="E154" s="11"/>
      <c r="F154" s="11"/>
      <c r="G154" s="2"/>
      <c r="H154" s="18"/>
      <c r="I154" s="19"/>
      <c r="J154" s="18"/>
      <c r="K154" s="6"/>
      <c r="L154" s="14"/>
      <c r="M154" s="6"/>
      <c r="N154" s="6"/>
      <c r="O154" s="6"/>
      <c r="P154" s="13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15"/>
    </row>
    <row r="155" spans="1:31">
      <c r="A155" s="2"/>
      <c r="B155" s="2"/>
      <c r="C155" s="2"/>
      <c r="D155" s="2"/>
      <c r="E155" s="11"/>
      <c r="F155" s="11"/>
      <c r="G155" s="2"/>
      <c r="H155" s="18"/>
      <c r="I155" s="19"/>
      <c r="J155" s="18"/>
      <c r="K155" s="6"/>
      <c r="L155" s="14"/>
      <c r="M155" s="6"/>
      <c r="N155" s="6"/>
      <c r="O155" s="6"/>
      <c r="P155" s="13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15"/>
    </row>
    <row r="156" spans="1:31">
      <c r="A156" s="2"/>
      <c r="B156" s="2"/>
      <c r="C156" s="2"/>
      <c r="D156" s="2"/>
      <c r="E156" s="11"/>
      <c r="F156" s="11"/>
      <c r="G156" s="2"/>
      <c r="H156" s="18"/>
      <c r="I156" s="19"/>
      <c r="J156" s="18"/>
      <c r="K156" s="6"/>
      <c r="L156" s="14"/>
      <c r="M156" s="6"/>
      <c r="N156" s="6"/>
      <c r="O156" s="6"/>
      <c r="P156" s="13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15"/>
    </row>
    <row r="157" spans="1:31">
      <c r="A157" s="2"/>
      <c r="B157" s="2"/>
      <c r="C157" s="2"/>
      <c r="D157" s="2"/>
      <c r="E157" s="11"/>
      <c r="F157" s="11"/>
      <c r="G157" s="2"/>
      <c r="H157" s="18"/>
      <c r="I157" s="19"/>
      <c r="J157" s="18"/>
      <c r="K157" s="6"/>
      <c r="L157" s="14"/>
      <c r="M157" s="6"/>
      <c r="N157" s="6"/>
      <c r="O157" s="6"/>
      <c r="P157" s="13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15"/>
    </row>
    <row r="158" spans="1:31">
      <c r="A158" s="2"/>
      <c r="B158" s="2"/>
      <c r="C158" s="2"/>
      <c r="D158" s="2"/>
      <c r="E158" s="11"/>
      <c r="F158" s="11"/>
      <c r="G158" s="2"/>
      <c r="H158" s="18"/>
      <c r="I158" s="19"/>
      <c r="J158" s="18"/>
      <c r="K158" s="6"/>
      <c r="L158" s="14"/>
      <c r="M158" s="6"/>
      <c r="N158" s="6"/>
      <c r="O158" s="6"/>
      <c r="P158" s="13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15"/>
    </row>
    <row r="159" spans="1:31">
      <c r="A159" s="2"/>
      <c r="B159" s="2"/>
      <c r="C159" s="2"/>
      <c r="D159" s="2"/>
      <c r="E159" s="11"/>
      <c r="F159" s="11"/>
      <c r="G159" s="2"/>
      <c r="H159" s="18"/>
      <c r="I159" s="19"/>
      <c r="J159" s="18"/>
      <c r="K159" s="6"/>
      <c r="L159" s="14"/>
      <c r="M159" s="6"/>
      <c r="N159" s="6"/>
      <c r="O159" s="6"/>
      <c r="P159" s="13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15"/>
    </row>
    <row r="160" spans="1:31">
      <c r="A160" s="2"/>
      <c r="B160" s="2"/>
      <c r="C160" s="2"/>
      <c r="D160" s="2"/>
      <c r="E160" s="11"/>
      <c r="F160" s="11"/>
      <c r="G160" s="2"/>
      <c r="H160" s="18"/>
      <c r="I160" s="19"/>
      <c r="J160" s="18"/>
      <c r="K160" s="6"/>
      <c r="L160" s="14"/>
      <c r="M160" s="6"/>
      <c r="N160" s="6"/>
      <c r="O160" s="6"/>
      <c r="P160" s="13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15"/>
    </row>
    <row r="161" spans="1:31">
      <c r="A161" s="2"/>
      <c r="B161" s="2"/>
      <c r="C161" s="2"/>
      <c r="D161" s="2"/>
      <c r="E161" s="11"/>
      <c r="F161" s="11"/>
      <c r="G161" s="2"/>
      <c r="H161" s="18"/>
      <c r="I161" s="19"/>
      <c r="J161" s="18"/>
      <c r="K161" s="6"/>
      <c r="L161" s="14"/>
      <c r="M161" s="6"/>
      <c r="N161" s="6"/>
      <c r="O161" s="6"/>
      <c r="P161" s="13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15"/>
    </row>
    <row r="162" spans="1:31">
      <c r="A162" s="2"/>
      <c r="B162" s="2"/>
      <c r="C162" s="2"/>
      <c r="D162" s="2"/>
      <c r="E162" s="11"/>
      <c r="F162" s="11"/>
      <c r="G162" s="2"/>
      <c r="H162" s="18"/>
      <c r="I162" s="19"/>
      <c r="J162" s="18"/>
      <c r="K162" s="6"/>
      <c r="L162" s="14"/>
      <c r="M162" s="6"/>
      <c r="N162" s="6"/>
      <c r="O162" s="6"/>
      <c r="P162" s="13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15"/>
    </row>
    <row r="163" spans="1:31">
      <c r="A163" s="11"/>
      <c r="B163" s="2"/>
      <c r="C163" s="2"/>
      <c r="D163" s="2"/>
      <c r="E163" s="11"/>
      <c r="F163" s="11"/>
      <c r="G163" s="2"/>
      <c r="H163" s="18"/>
      <c r="I163" s="19"/>
      <c r="J163" s="18"/>
      <c r="K163" s="6"/>
      <c r="L163" s="14"/>
      <c r="M163" s="6"/>
      <c r="N163" s="6"/>
      <c r="O163" s="6"/>
      <c r="P163" s="13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15"/>
    </row>
    <row r="164" spans="1:31">
      <c r="A164" s="11"/>
      <c r="B164" s="2"/>
      <c r="C164" s="2"/>
      <c r="D164" s="2"/>
      <c r="E164" s="11"/>
      <c r="F164" s="11"/>
      <c r="G164" s="2"/>
      <c r="H164" s="18"/>
      <c r="I164" s="19"/>
      <c r="J164" s="18"/>
      <c r="K164" s="6"/>
      <c r="L164" s="14"/>
      <c r="M164" s="6"/>
      <c r="N164" s="6"/>
      <c r="O164" s="6"/>
      <c r="P164" s="13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15"/>
    </row>
    <row r="165" spans="1:31">
      <c r="A165" s="2"/>
      <c r="B165" s="2"/>
      <c r="C165" s="2"/>
      <c r="D165" s="2"/>
      <c r="E165" s="11"/>
      <c r="F165" s="11"/>
      <c r="G165" s="2"/>
      <c r="H165" s="18"/>
      <c r="I165" s="19"/>
      <c r="J165" s="18"/>
      <c r="K165" s="6"/>
      <c r="L165" s="14"/>
      <c r="M165" s="6"/>
      <c r="N165" s="6"/>
      <c r="O165" s="6"/>
      <c r="P165" s="13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15"/>
    </row>
    <row r="166" spans="1:31">
      <c r="A166" s="11"/>
      <c r="B166" s="2"/>
      <c r="C166" s="2"/>
      <c r="D166" s="2"/>
      <c r="E166" s="11"/>
      <c r="F166" s="11"/>
      <c r="G166" s="2"/>
      <c r="H166" s="18"/>
      <c r="I166" s="19"/>
      <c r="J166" s="18"/>
      <c r="K166" s="6"/>
      <c r="L166" s="14"/>
      <c r="M166" s="6"/>
      <c r="N166" s="6"/>
      <c r="O166" s="6"/>
      <c r="P166" s="13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15"/>
    </row>
    <row r="167" spans="1:31">
      <c r="A167" s="2"/>
      <c r="B167" s="2"/>
      <c r="C167" s="2"/>
      <c r="D167" s="2"/>
      <c r="E167" s="11"/>
      <c r="F167" s="11"/>
      <c r="G167" s="2"/>
      <c r="H167" s="18"/>
      <c r="I167" s="19"/>
      <c r="J167" s="18"/>
      <c r="K167" s="6"/>
      <c r="L167" s="14"/>
      <c r="M167" s="6"/>
      <c r="N167" s="6"/>
      <c r="O167" s="6"/>
      <c r="P167" s="13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15"/>
    </row>
    <row r="168" spans="1:31">
      <c r="A168" s="2"/>
      <c r="B168" s="2"/>
      <c r="C168" s="2"/>
      <c r="D168" s="2"/>
      <c r="E168" s="11"/>
      <c r="F168" s="11"/>
      <c r="G168" s="2"/>
      <c r="H168" s="18"/>
      <c r="I168" s="19"/>
      <c r="J168" s="18"/>
      <c r="K168" s="6"/>
      <c r="L168" s="14"/>
      <c r="M168" s="6"/>
      <c r="N168" s="6"/>
      <c r="O168" s="6"/>
      <c r="P168" s="13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15"/>
    </row>
    <row r="169" spans="1:31">
      <c r="A169" s="2"/>
      <c r="B169" s="2"/>
      <c r="C169" s="2"/>
      <c r="D169" s="2"/>
      <c r="E169" s="11"/>
      <c r="F169" s="11"/>
      <c r="G169" s="2"/>
      <c r="H169" s="18"/>
      <c r="I169" s="19"/>
      <c r="J169" s="18"/>
      <c r="K169" s="6"/>
      <c r="L169" s="14"/>
      <c r="M169" s="6"/>
      <c r="N169" s="6"/>
      <c r="O169" s="6"/>
      <c r="P169" s="13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15"/>
    </row>
    <row r="170" spans="1:31">
      <c r="A170" s="2"/>
      <c r="B170" s="2"/>
      <c r="C170" s="2"/>
      <c r="D170" s="2"/>
      <c r="E170" s="11"/>
      <c r="F170" s="11"/>
      <c r="G170" s="2"/>
      <c r="H170" s="18"/>
      <c r="I170" s="19"/>
      <c r="J170" s="18"/>
      <c r="K170" s="6"/>
      <c r="L170" s="14"/>
      <c r="M170" s="6"/>
      <c r="N170" s="6"/>
      <c r="O170" s="6"/>
      <c r="P170" s="13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15"/>
    </row>
    <row r="171" spans="1:31">
      <c r="A171" s="2"/>
      <c r="B171" s="2"/>
      <c r="C171" s="2"/>
      <c r="D171" s="2"/>
      <c r="E171" s="11"/>
      <c r="F171" s="11"/>
      <c r="G171" s="2"/>
      <c r="H171" s="18"/>
      <c r="I171" s="19"/>
      <c r="J171" s="18"/>
      <c r="K171" s="6"/>
      <c r="L171" s="14"/>
      <c r="M171" s="6"/>
      <c r="N171" s="6"/>
      <c r="O171" s="6"/>
      <c r="P171" s="13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15"/>
    </row>
    <row r="172" spans="1:31">
      <c r="A172" s="2"/>
      <c r="B172" s="2"/>
      <c r="C172" s="2"/>
      <c r="D172" s="2"/>
      <c r="E172" s="11"/>
      <c r="F172" s="11"/>
      <c r="G172" s="2"/>
      <c r="H172" s="18"/>
      <c r="I172" s="19"/>
      <c r="J172" s="18"/>
      <c r="K172" s="6"/>
      <c r="L172" s="14"/>
      <c r="M172" s="6"/>
      <c r="N172" s="6"/>
      <c r="O172" s="6"/>
      <c r="P172" s="13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15"/>
    </row>
    <row r="173" spans="1:31">
      <c r="A173" s="2"/>
      <c r="B173" s="2"/>
      <c r="C173" s="2"/>
      <c r="D173" s="2"/>
      <c r="E173" s="11"/>
      <c r="F173" s="11"/>
      <c r="G173" s="2"/>
      <c r="H173" s="18"/>
      <c r="I173" s="19"/>
      <c r="J173" s="18"/>
      <c r="K173" s="6"/>
      <c r="L173" s="14"/>
      <c r="M173" s="6"/>
      <c r="N173" s="6"/>
      <c r="O173" s="6"/>
      <c r="P173" s="13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15"/>
    </row>
    <row r="174" spans="1:31">
      <c r="A174" s="2"/>
      <c r="B174" s="2"/>
      <c r="C174" s="2"/>
      <c r="D174" s="2"/>
      <c r="E174" s="11"/>
      <c r="F174" s="11"/>
      <c r="G174" s="2"/>
      <c r="H174" s="18"/>
      <c r="I174" s="19"/>
      <c r="J174" s="18"/>
      <c r="K174" s="6"/>
      <c r="L174" s="14"/>
      <c r="M174" s="6"/>
      <c r="N174" s="6"/>
      <c r="O174" s="6"/>
      <c r="P174" s="13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15"/>
    </row>
    <row r="175" spans="1:31">
      <c r="A175" s="11"/>
      <c r="B175" s="2"/>
      <c r="C175" s="2"/>
      <c r="D175" s="2"/>
      <c r="E175" s="11"/>
      <c r="F175" s="11"/>
      <c r="G175" s="2"/>
      <c r="H175" s="18"/>
      <c r="I175" s="19"/>
      <c r="J175" s="18"/>
      <c r="K175" s="6"/>
      <c r="L175" s="14"/>
      <c r="M175" s="6"/>
      <c r="N175" s="6"/>
      <c r="O175" s="6"/>
      <c r="P175" s="13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15"/>
    </row>
    <row r="176" spans="1:31">
      <c r="A176" s="2"/>
      <c r="B176" s="2"/>
      <c r="C176" s="2"/>
      <c r="D176" s="2"/>
      <c r="E176" s="11"/>
      <c r="F176" s="11"/>
      <c r="G176" s="2"/>
      <c r="H176" s="18"/>
      <c r="I176" s="19"/>
      <c r="J176" s="18"/>
      <c r="K176" s="6"/>
      <c r="L176" s="14"/>
      <c r="M176" s="6"/>
      <c r="N176" s="6"/>
      <c r="O176" s="6"/>
      <c r="P176" s="13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15"/>
    </row>
    <row r="177" spans="1:31">
      <c r="A177" s="2"/>
      <c r="B177" s="2"/>
      <c r="C177" s="2"/>
      <c r="D177" s="2"/>
      <c r="E177" s="11"/>
      <c r="F177" s="11"/>
      <c r="G177" s="2"/>
      <c r="H177" s="18"/>
      <c r="I177" s="19"/>
      <c r="J177" s="18"/>
      <c r="K177" s="6"/>
      <c r="L177" s="14"/>
      <c r="M177" s="6"/>
      <c r="N177" s="6"/>
      <c r="O177" s="6"/>
      <c r="P177" s="13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15"/>
    </row>
    <row r="178" spans="1:31">
      <c r="A178" s="2"/>
      <c r="B178" s="2"/>
      <c r="C178" s="2"/>
      <c r="D178" s="2"/>
      <c r="E178" s="11"/>
      <c r="F178" s="11"/>
      <c r="G178" s="2"/>
      <c r="H178" s="18"/>
      <c r="I178" s="19"/>
      <c r="J178" s="18"/>
      <c r="K178" s="6"/>
      <c r="L178" s="14"/>
      <c r="M178" s="6"/>
      <c r="N178" s="6"/>
      <c r="O178" s="6"/>
      <c r="P178" s="13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15"/>
    </row>
    <row r="179" spans="1:31">
      <c r="A179" s="11"/>
      <c r="B179" s="2"/>
      <c r="C179" s="2"/>
      <c r="D179" s="2"/>
      <c r="E179" s="11"/>
      <c r="F179" s="11"/>
      <c r="G179" s="2"/>
      <c r="H179" s="18"/>
      <c r="I179" s="19"/>
      <c r="J179" s="18"/>
      <c r="K179" s="6"/>
      <c r="L179" s="14"/>
      <c r="M179" s="6"/>
      <c r="N179" s="6"/>
      <c r="O179" s="6"/>
      <c r="P179" s="13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15"/>
    </row>
    <row r="180" spans="1:31">
      <c r="A180" s="2"/>
      <c r="B180" s="2"/>
      <c r="C180" s="2"/>
      <c r="D180" s="2"/>
      <c r="E180" s="11"/>
      <c r="F180" s="11"/>
      <c r="G180" s="2"/>
      <c r="H180" s="18"/>
      <c r="I180" s="19"/>
      <c r="J180" s="18"/>
      <c r="K180" s="6"/>
      <c r="L180" s="14"/>
      <c r="M180" s="6"/>
      <c r="N180" s="6"/>
      <c r="O180" s="6"/>
      <c r="P180" s="13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15"/>
    </row>
    <row r="181" spans="1:31">
      <c r="A181" s="11"/>
      <c r="B181" s="2"/>
      <c r="C181" s="2"/>
      <c r="D181" s="2"/>
      <c r="E181" s="11"/>
      <c r="F181" s="11"/>
      <c r="G181" s="2"/>
      <c r="H181" s="18"/>
      <c r="I181" s="19"/>
      <c r="J181" s="18"/>
      <c r="K181" s="6"/>
      <c r="L181" s="14"/>
      <c r="M181" s="6"/>
      <c r="N181" s="6"/>
      <c r="O181" s="6"/>
      <c r="P181" s="13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15"/>
    </row>
    <row r="182" spans="1:31">
      <c r="A182" s="11"/>
      <c r="B182" s="2"/>
      <c r="C182" s="2"/>
      <c r="D182" s="2"/>
      <c r="E182" s="11"/>
      <c r="F182" s="11"/>
      <c r="G182" s="2"/>
      <c r="H182" s="18"/>
      <c r="I182" s="19"/>
      <c r="J182" s="18"/>
      <c r="K182" s="6"/>
      <c r="L182" s="14"/>
      <c r="M182" s="6"/>
      <c r="N182" s="6"/>
      <c r="O182" s="6"/>
      <c r="P182" s="13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15"/>
    </row>
    <row r="183" spans="1:31">
      <c r="A183" s="11"/>
      <c r="B183" s="2"/>
      <c r="C183" s="2"/>
      <c r="D183" s="2"/>
      <c r="E183" s="11"/>
      <c r="F183" s="11"/>
      <c r="G183" s="2"/>
      <c r="H183" s="18"/>
      <c r="I183" s="19"/>
      <c r="J183" s="18"/>
      <c r="K183" s="6"/>
      <c r="L183" s="14"/>
      <c r="M183" s="6"/>
      <c r="N183" s="6"/>
      <c r="O183" s="6"/>
      <c r="P183" s="13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15"/>
    </row>
    <row r="184" spans="1:31">
      <c r="A184" s="2"/>
      <c r="B184" s="2"/>
      <c r="C184" s="2"/>
      <c r="D184" s="2"/>
      <c r="E184" s="11"/>
      <c r="F184" s="11"/>
      <c r="G184" s="2"/>
      <c r="H184" s="18"/>
      <c r="I184" s="19"/>
      <c r="J184" s="18"/>
      <c r="K184" s="6"/>
      <c r="L184" s="14"/>
      <c r="M184" s="6"/>
      <c r="N184" s="6"/>
      <c r="O184" s="6"/>
      <c r="P184" s="13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15"/>
    </row>
    <row r="185" spans="1:31">
      <c r="A185" s="2"/>
      <c r="B185" s="2"/>
      <c r="C185" s="2"/>
      <c r="D185" s="2"/>
      <c r="E185" s="11"/>
      <c r="F185" s="11"/>
      <c r="G185" s="2"/>
      <c r="H185" s="18"/>
      <c r="I185" s="19"/>
      <c r="J185" s="18"/>
      <c r="K185" s="6"/>
      <c r="L185" s="14"/>
      <c r="M185" s="6"/>
      <c r="N185" s="6"/>
      <c r="O185" s="6"/>
      <c r="P185" s="13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15"/>
    </row>
    <row r="186" spans="1:31">
      <c r="A186" s="2"/>
      <c r="B186" s="2"/>
      <c r="C186" s="2"/>
      <c r="D186" s="2"/>
      <c r="E186" s="11"/>
      <c r="F186" s="11"/>
      <c r="G186" s="2"/>
      <c r="H186" s="18"/>
      <c r="I186" s="19"/>
      <c r="J186" s="18"/>
      <c r="K186" s="6"/>
      <c r="L186" s="14"/>
      <c r="M186" s="6"/>
      <c r="N186" s="6"/>
      <c r="O186" s="6"/>
      <c r="P186" s="13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15"/>
    </row>
    <row r="187" spans="1:31">
      <c r="A187" s="2"/>
      <c r="B187" s="2"/>
      <c r="C187" s="2"/>
      <c r="D187" s="2"/>
      <c r="E187" s="11"/>
      <c r="F187" s="11"/>
      <c r="G187" s="2"/>
      <c r="H187" s="18"/>
      <c r="I187" s="19"/>
      <c r="J187" s="18"/>
      <c r="K187" s="6"/>
      <c r="L187" s="14"/>
      <c r="M187" s="6"/>
      <c r="N187" s="6"/>
      <c r="O187" s="6"/>
      <c r="P187" s="13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15"/>
    </row>
    <row r="188" spans="1:31">
      <c r="A188" s="2"/>
      <c r="B188" s="2"/>
      <c r="C188" s="2"/>
      <c r="D188" s="2"/>
      <c r="E188" s="11"/>
      <c r="F188" s="11"/>
      <c r="G188" s="2"/>
      <c r="H188" s="18"/>
      <c r="I188" s="19"/>
      <c r="J188" s="18"/>
      <c r="K188" s="6"/>
      <c r="L188" s="14"/>
      <c r="M188" s="6"/>
      <c r="N188" s="6"/>
      <c r="O188" s="6"/>
      <c r="P188" s="13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15"/>
    </row>
    <row r="189" spans="1:31">
      <c r="A189" s="2"/>
      <c r="B189" s="2"/>
      <c r="C189" s="2"/>
      <c r="D189" s="2"/>
      <c r="E189" s="11"/>
      <c r="F189" s="11"/>
      <c r="G189" s="2"/>
      <c r="H189" s="18"/>
      <c r="I189" s="19"/>
      <c r="J189" s="18"/>
      <c r="K189" s="6"/>
      <c r="L189" s="14"/>
      <c r="M189" s="6"/>
      <c r="N189" s="6"/>
      <c r="O189" s="6"/>
      <c r="P189" s="13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15"/>
    </row>
    <row r="190" spans="1:31">
      <c r="A190" s="2"/>
      <c r="B190" s="2"/>
      <c r="C190" s="2"/>
      <c r="D190" s="2"/>
      <c r="E190" s="11"/>
      <c r="F190" s="11"/>
      <c r="G190" s="2"/>
      <c r="H190" s="18"/>
      <c r="I190" s="19"/>
      <c r="J190" s="18"/>
      <c r="K190" s="6"/>
      <c r="L190" s="14"/>
      <c r="M190" s="6"/>
      <c r="N190" s="6"/>
      <c r="O190" s="6"/>
      <c r="P190" s="13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15"/>
    </row>
    <row r="191" spans="1:31">
      <c r="A191" s="11"/>
      <c r="B191" s="2"/>
      <c r="C191" s="2"/>
      <c r="D191" s="2"/>
      <c r="E191" s="11"/>
      <c r="F191" s="11"/>
      <c r="G191" s="2"/>
      <c r="H191" s="18"/>
      <c r="I191" s="19"/>
      <c r="J191" s="18"/>
      <c r="K191" s="6"/>
      <c r="L191" s="14"/>
      <c r="M191" s="6"/>
      <c r="N191" s="6"/>
      <c r="O191" s="6"/>
      <c r="P191" s="13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15"/>
    </row>
    <row r="192" spans="1:31">
      <c r="A192" s="2"/>
      <c r="B192" s="2"/>
      <c r="C192" s="2"/>
      <c r="D192" s="2"/>
      <c r="E192" s="11"/>
      <c r="F192" s="11"/>
      <c r="G192" s="2"/>
      <c r="H192" s="18"/>
      <c r="I192" s="19"/>
      <c r="J192" s="18"/>
      <c r="K192" s="6"/>
      <c r="L192" s="14"/>
      <c r="M192" s="6"/>
      <c r="N192" s="6"/>
      <c r="O192" s="6"/>
      <c r="P192" s="13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15"/>
    </row>
    <row r="193" spans="1:31">
      <c r="A193" s="2"/>
      <c r="B193" s="2"/>
      <c r="C193" s="2"/>
      <c r="D193" s="2"/>
      <c r="E193" s="11"/>
      <c r="F193" s="11"/>
      <c r="G193" s="2"/>
      <c r="H193" s="18"/>
      <c r="I193" s="19"/>
      <c r="J193" s="18"/>
      <c r="K193" s="6"/>
      <c r="L193" s="14"/>
      <c r="M193" s="6"/>
      <c r="N193" s="6"/>
      <c r="O193" s="6"/>
      <c r="P193" s="13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15"/>
    </row>
    <row r="194" spans="1:31">
      <c r="A194" s="2"/>
      <c r="B194" s="2"/>
      <c r="C194" s="2"/>
      <c r="D194" s="2"/>
      <c r="E194" s="11"/>
      <c r="F194" s="11"/>
      <c r="G194" s="2"/>
      <c r="H194" s="18"/>
      <c r="I194" s="19"/>
      <c r="J194" s="18"/>
      <c r="K194" s="6"/>
      <c r="L194" s="14"/>
      <c r="M194" s="6"/>
      <c r="N194" s="6"/>
      <c r="O194" s="6"/>
      <c r="P194" s="13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15"/>
    </row>
    <row r="195" spans="1:31">
      <c r="A195" s="2"/>
      <c r="B195" s="2"/>
      <c r="C195" s="2"/>
      <c r="D195" s="2"/>
      <c r="E195" s="11"/>
      <c r="F195" s="11"/>
      <c r="G195" s="2"/>
      <c r="H195" s="18"/>
      <c r="I195" s="19"/>
      <c r="J195" s="18"/>
      <c r="K195" s="6"/>
      <c r="L195" s="14"/>
      <c r="M195" s="6"/>
      <c r="N195" s="6"/>
      <c r="O195" s="6"/>
      <c r="P195" s="13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15"/>
    </row>
    <row r="196" spans="1:31">
      <c r="A196" s="2"/>
      <c r="B196" s="2"/>
      <c r="C196" s="2"/>
      <c r="D196" s="2"/>
      <c r="E196" s="11"/>
      <c r="F196" s="11"/>
      <c r="G196" s="2"/>
      <c r="H196" s="18"/>
      <c r="I196" s="19"/>
      <c r="J196" s="18"/>
      <c r="K196" s="6"/>
      <c r="L196" s="14"/>
      <c r="M196" s="6"/>
      <c r="N196" s="6"/>
      <c r="O196" s="6"/>
      <c r="P196" s="13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15"/>
    </row>
    <row r="197" spans="1:31">
      <c r="A197" s="2"/>
      <c r="B197" s="2"/>
      <c r="C197" s="2"/>
      <c r="D197" s="2"/>
      <c r="E197" s="11"/>
      <c r="F197" s="11"/>
      <c r="G197" s="2"/>
      <c r="H197" s="18"/>
      <c r="I197" s="19"/>
      <c r="J197" s="18"/>
      <c r="K197" s="6"/>
      <c r="L197" s="14"/>
      <c r="M197" s="6"/>
      <c r="N197" s="6"/>
      <c r="O197" s="6"/>
      <c r="P197" s="13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15"/>
    </row>
    <row r="198" spans="1:31">
      <c r="A198" s="2"/>
      <c r="B198" s="2"/>
      <c r="C198" s="2"/>
      <c r="D198" s="2"/>
      <c r="E198" s="11"/>
      <c r="F198" s="11"/>
      <c r="G198" s="2"/>
      <c r="H198" s="18"/>
      <c r="I198" s="19"/>
      <c r="J198" s="18"/>
      <c r="K198" s="6"/>
      <c r="L198" s="14"/>
      <c r="M198" s="6"/>
      <c r="N198" s="6"/>
      <c r="O198" s="6"/>
      <c r="P198" s="13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15"/>
    </row>
    <row r="199" spans="1:31">
      <c r="A199" s="2"/>
      <c r="B199" s="2"/>
      <c r="C199" s="2"/>
      <c r="D199" s="2"/>
      <c r="E199" s="11"/>
      <c r="F199" s="11"/>
      <c r="G199" s="2"/>
      <c r="H199" s="18"/>
      <c r="I199" s="19"/>
      <c r="J199" s="18"/>
      <c r="K199" s="6"/>
      <c r="L199" s="14"/>
      <c r="M199" s="6"/>
      <c r="N199" s="6"/>
      <c r="O199" s="6"/>
      <c r="P199" s="13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15"/>
    </row>
    <row r="200" spans="1:31">
      <c r="A200" s="2"/>
      <c r="B200" s="2"/>
      <c r="C200" s="2"/>
      <c r="D200" s="2"/>
      <c r="E200" s="11"/>
      <c r="F200" s="11"/>
      <c r="G200" s="2"/>
      <c r="H200" s="18"/>
      <c r="I200" s="19"/>
      <c r="J200" s="18"/>
      <c r="K200" s="6"/>
      <c r="L200" s="14"/>
      <c r="M200" s="6"/>
      <c r="N200" s="6"/>
      <c r="O200" s="6"/>
      <c r="P200" s="13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15"/>
    </row>
    <row r="201" spans="1:31">
      <c r="A201" s="2"/>
      <c r="B201" s="2"/>
      <c r="C201" s="2"/>
      <c r="D201" s="2"/>
      <c r="E201" s="11"/>
      <c r="F201" s="11"/>
      <c r="G201" s="2"/>
      <c r="H201" s="18"/>
      <c r="I201" s="19"/>
      <c r="J201" s="18"/>
      <c r="K201" s="6"/>
      <c r="L201" s="14"/>
      <c r="M201" s="6"/>
      <c r="N201" s="6"/>
      <c r="O201" s="6"/>
      <c r="P201" s="13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15"/>
    </row>
    <row r="202" spans="1:31">
      <c r="A202" s="2"/>
      <c r="B202" s="2"/>
      <c r="C202" s="2"/>
      <c r="D202" s="2"/>
      <c r="E202" s="11"/>
      <c r="F202" s="11"/>
      <c r="G202" s="2"/>
      <c r="H202" s="18"/>
      <c r="I202" s="19"/>
      <c r="J202" s="18"/>
      <c r="K202" s="6"/>
      <c r="L202" s="14"/>
      <c r="M202" s="6"/>
      <c r="N202" s="6"/>
      <c r="O202" s="6"/>
      <c r="P202" s="13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15"/>
    </row>
    <row r="203" spans="1:31">
      <c r="A203" s="11"/>
      <c r="B203" s="2"/>
      <c r="C203" s="2"/>
      <c r="D203" s="2"/>
      <c r="E203" s="11"/>
      <c r="F203" s="11"/>
      <c r="G203" s="2"/>
      <c r="H203" s="18"/>
      <c r="I203" s="19"/>
      <c r="J203" s="18"/>
      <c r="K203" s="6"/>
      <c r="L203" s="14"/>
      <c r="M203" s="6"/>
      <c r="N203" s="6"/>
      <c r="O203" s="6"/>
      <c r="P203" s="13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15"/>
    </row>
    <row r="204" spans="1:31">
      <c r="A204" s="2"/>
      <c r="B204" s="2"/>
      <c r="C204" s="2"/>
      <c r="D204" s="2"/>
      <c r="E204" s="11"/>
      <c r="F204" s="11"/>
      <c r="G204" s="2"/>
      <c r="H204" s="18"/>
      <c r="I204" s="19"/>
      <c r="J204" s="18"/>
      <c r="K204" s="6"/>
      <c r="L204" s="14"/>
      <c r="M204" s="6"/>
      <c r="N204" s="6"/>
      <c r="O204" s="6"/>
      <c r="P204" s="13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15"/>
    </row>
    <row r="205" spans="1:31">
      <c r="A205" s="2"/>
      <c r="B205" s="2"/>
      <c r="C205" s="2"/>
      <c r="D205" s="2"/>
      <c r="E205" s="11"/>
      <c r="F205" s="11"/>
      <c r="G205" s="2"/>
      <c r="H205" s="18"/>
      <c r="I205" s="19"/>
      <c r="J205" s="18"/>
      <c r="K205" s="6"/>
      <c r="L205" s="14"/>
      <c r="M205" s="6"/>
      <c r="N205" s="6"/>
      <c r="O205" s="6"/>
      <c r="P205" s="13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15"/>
    </row>
    <row r="206" spans="1:31">
      <c r="A206" s="11"/>
      <c r="B206" s="2"/>
      <c r="C206" s="2"/>
      <c r="D206" s="2"/>
      <c r="E206" s="11"/>
      <c r="F206" s="11"/>
      <c r="G206" s="2"/>
      <c r="H206" s="18"/>
      <c r="I206" s="19"/>
      <c r="J206" s="18"/>
      <c r="K206" s="6"/>
      <c r="L206" s="14"/>
      <c r="M206" s="6"/>
      <c r="N206" s="6"/>
      <c r="O206" s="6"/>
      <c r="P206" s="13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15"/>
    </row>
    <row r="207" spans="1:31">
      <c r="A207" s="2"/>
      <c r="B207" s="2"/>
      <c r="C207" s="2"/>
      <c r="D207" s="2"/>
      <c r="E207" s="11"/>
      <c r="F207" s="11"/>
      <c r="G207" s="2"/>
      <c r="H207" s="18"/>
      <c r="I207" s="19"/>
      <c r="J207" s="18"/>
      <c r="K207" s="6"/>
      <c r="L207" s="14"/>
      <c r="M207" s="6"/>
      <c r="N207" s="6"/>
      <c r="O207" s="6"/>
      <c r="P207" s="13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15"/>
    </row>
    <row r="208" spans="1:31">
      <c r="A208" s="2"/>
      <c r="B208" s="2"/>
      <c r="C208" s="2"/>
      <c r="D208" s="2"/>
      <c r="E208" s="11"/>
      <c r="F208" s="11"/>
      <c r="G208" s="2"/>
      <c r="H208" s="18"/>
      <c r="I208" s="19"/>
      <c r="J208" s="18"/>
      <c r="K208" s="6"/>
      <c r="L208" s="14"/>
      <c r="M208" s="6"/>
      <c r="N208" s="6"/>
      <c r="O208" s="6"/>
      <c r="P208" s="13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15"/>
    </row>
    <row r="209" spans="1:31">
      <c r="A209" s="11"/>
      <c r="B209" s="2"/>
      <c r="C209" s="2"/>
      <c r="D209" s="2"/>
      <c r="E209" s="11"/>
      <c r="F209" s="11"/>
      <c r="G209" s="2"/>
      <c r="H209" s="18"/>
      <c r="I209" s="19"/>
      <c r="J209" s="18"/>
      <c r="K209" s="6"/>
      <c r="L209" s="14"/>
      <c r="M209" s="6"/>
      <c r="N209" s="6"/>
      <c r="O209" s="6"/>
      <c r="P209" s="13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15"/>
    </row>
    <row r="210" spans="1:31">
      <c r="A210" s="2"/>
      <c r="B210" s="2"/>
      <c r="C210" s="2"/>
      <c r="D210" s="2"/>
      <c r="E210" s="11"/>
      <c r="F210" s="11"/>
      <c r="G210" s="2"/>
      <c r="H210" s="18"/>
      <c r="I210" s="19"/>
      <c r="J210" s="18"/>
      <c r="K210" s="6"/>
      <c r="L210" s="14"/>
      <c r="M210" s="6"/>
      <c r="N210" s="6"/>
      <c r="O210" s="6"/>
      <c r="P210" s="13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15"/>
    </row>
    <row r="211" spans="1:31">
      <c r="A211" s="2"/>
      <c r="B211" s="2"/>
      <c r="C211" s="2"/>
      <c r="D211" s="2"/>
      <c r="E211" s="11"/>
      <c r="F211" s="11"/>
      <c r="G211" s="2"/>
      <c r="H211" s="18"/>
      <c r="I211" s="19"/>
      <c r="J211" s="18"/>
      <c r="K211" s="6"/>
      <c r="L211" s="14"/>
      <c r="M211" s="6"/>
      <c r="N211" s="6"/>
      <c r="O211" s="6"/>
      <c r="P211" s="13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15"/>
    </row>
    <row r="212" spans="1:31">
      <c r="A212" s="2"/>
      <c r="B212" s="2"/>
      <c r="C212" s="2"/>
      <c r="D212" s="2"/>
      <c r="E212" s="11"/>
      <c r="F212" s="11"/>
      <c r="G212" s="2"/>
      <c r="H212" s="18"/>
      <c r="I212" s="19"/>
      <c r="J212" s="18"/>
      <c r="K212" s="6"/>
      <c r="L212" s="14"/>
      <c r="M212" s="6"/>
      <c r="N212" s="6"/>
      <c r="O212" s="6"/>
      <c r="P212" s="13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15"/>
    </row>
    <row r="213" spans="1:31">
      <c r="A213" s="11"/>
      <c r="B213" s="2"/>
      <c r="C213" s="2"/>
      <c r="D213" s="2"/>
      <c r="E213" s="11"/>
      <c r="F213" s="11"/>
      <c r="G213" s="2"/>
      <c r="H213" s="18"/>
      <c r="I213" s="19"/>
      <c r="J213" s="18"/>
      <c r="K213" s="6"/>
      <c r="L213" s="14"/>
      <c r="M213" s="6"/>
      <c r="N213" s="6"/>
      <c r="O213" s="6"/>
      <c r="P213" s="13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15"/>
    </row>
    <row r="214" spans="1:31">
      <c r="A214" s="2"/>
      <c r="B214" s="2"/>
      <c r="C214" s="2"/>
      <c r="D214" s="2"/>
      <c r="E214" s="11"/>
      <c r="F214" s="11"/>
      <c r="G214" s="2"/>
      <c r="H214" s="18"/>
      <c r="I214" s="19"/>
      <c r="J214" s="18"/>
      <c r="K214" s="6"/>
      <c r="L214" s="14"/>
      <c r="M214" s="6"/>
      <c r="N214" s="6"/>
      <c r="O214" s="6"/>
      <c r="P214" s="13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15"/>
    </row>
    <row r="215" spans="1:31">
      <c r="A215" s="2"/>
      <c r="B215" s="2"/>
      <c r="C215" s="2"/>
      <c r="D215" s="2"/>
      <c r="E215" s="11"/>
      <c r="F215" s="11"/>
      <c r="G215" s="2"/>
      <c r="H215" s="18"/>
      <c r="I215" s="19"/>
      <c r="J215" s="18"/>
      <c r="K215" s="6"/>
      <c r="L215" s="14"/>
      <c r="M215" s="6"/>
      <c r="N215" s="6"/>
      <c r="O215" s="6"/>
      <c r="P215" s="13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15"/>
    </row>
    <row r="216" spans="1:31">
      <c r="A216" s="11"/>
      <c r="B216" s="2"/>
      <c r="C216" s="2"/>
      <c r="D216" s="2"/>
      <c r="E216" s="11"/>
      <c r="F216" s="11"/>
      <c r="G216" s="2"/>
      <c r="H216" s="18"/>
      <c r="I216" s="19"/>
      <c r="J216" s="18"/>
      <c r="K216" s="6"/>
      <c r="L216" s="14"/>
      <c r="M216" s="6"/>
      <c r="N216" s="6"/>
      <c r="O216" s="6"/>
      <c r="P216" s="13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15"/>
    </row>
    <row r="217" spans="1:31">
      <c r="A217" s="2"/>
      <c r="B217" s="2"/>
      <c r="C217" s="2"/>
      <c r="D217" s="2"/>
      <c r="E217" s="11"/>
      <c r="F217" s="11"/>
      <c r="G217" s="2"/>
      <c r="H217" s="18"/>
      <c r="I217" s="19"/>
      <c r="J217" s="18"/>
      <c r="K217" s="6"/>
      <c r="L217" s="14"/>
      <c r="M217" s="6"/>
      <c r="N217" s="6"/>
      <c r="O217" s="6"/>
      <c r="P217" s="13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15"/>
    </row>
    <row r="218" spans="1:31">
      <c r="A218" s="2"/>
      <c r="B218" s="2"/>
      <c r="C218" s="2"/>
      <c r="D218" s="2"/>
      <c r="E218" s="11"/>
      <c r="F218" s="11"/>
      <c r="G218" s="2"/>
      <c r="H218" s="18"/>
      <c r="I218" s="19"/>
      <c r="J218" s="18"/>
      <c r="K218" s="6"/>
      <c r="L218" s="14"/>
      <c r="M218" s="6"/>
      <c r="N218" s="6"/>
      <c r="O218" s="6"/>
      <c r="P218" s="13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15"/>
    </row>
    <row r="219" spans="1:31">
      <c r="A219" s="2"/>
      <c r="B219" s="2"/>
      <c r="C219" s="2"/>
      <c r="D219" s="2"/>
      <c r="E219" s="11"/>
      <c r="F219" s="11"/>
      <c r="G219" s="2"/>
      <c r="H219" s="18"/>
      <c r="I219" s="19"/>
      <c r="J219" s="18"/>
      <c r="K219" s="6"/>
      <c r="L219" s="14"/>
      <c r="M219" s="6"/>
      <c r="N219" s="6"/>
      <c r="O219" s="6"/>
      <c r="P219" s="13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15"/>
    </row>
    <row r="220" spans="1:31">
      <c r="A220" s="2"/>
      <c r="B220" s="2"/>
      <c r="C220" s="2"/>
      <c r="D220" s="2"/>
      <c r="E220" s="11"/>
      <c r="F220" s="11"/>
      <c r="G220" s="2"/>
      <c r="H220" s="18"/>
      <c r="I220" s="19"/>
      <c r="J220" s="18"/>
      <c r="K220" s="6"/>
      <c r="L220" s="14"/>
      <c r="M220" s="6"/>
      <c r="N220" s="6"/>
      <c r="O220" s="6"/>
      <c r="P220" s="13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15"/>
    </row>
    <row r="221" spans="1:31">
      <c r="A221" s="11"/>
      <c r="B221" s="2"/>
      <c r="C221" s="2"/>
      <c r="D221" s="2"/>
      <c r="E221" s="11"/>
      <c r="F221" s="11"/>
      <c r="G221" s="2"/>
      <c r="H221" s="18"/>
      <c r="I221" s="19"/>
      <c r="J221" s="18"/>
      <c r="K221" s="6"/>
      <c r="L221" s="14"/>
      <c r="M221" s="6"/>
      <c r="N221" s="6"/>
      <c r="O221" s="6"/>
      <c r="P221" s="13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15"/>
    </row>
    <row r="222" spans="1:31">
      <c r="A222" s="2"/>
      <c r="B222" s="2"/>
      <c r="C222" s="2"/>
      <c r="D222" s="2"/>
      <c r="E222" s="11"/>
      <c r="F222" s="11"/>
      <c r="G222" s="2"/>
      <c r="H222" s="18"/>
      <c r="I222" s="19"/>
      <c r="J222" s="18"/>
      <c r="K222" s="6"/>
      <c r="L222" s="14"/>
      <c r="M222" s="6"/>
      <c r="N222" s="6"/>
      <c r="O222" s="6"/>
      <c r="P222" s="13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15"/>
    </row>
    <row r="223" spans="1:31">
      <c r="A223" s="2"/>
      <c r="B223" s="2"/>
      <c r="C223" s="2"/>
      <c r="D223" s="2"/>
      <c r="E223" s="11"/>
      <c r="F223" s="11"/>
      <c r="G223" s="2"/>
      <c r="H223" s="18"/>
      <c r="I223" s="19"/>
      <c r="J223" s="18"/>
      <c r="K223" s="6"/>
      <c r="L223" s="14"/>
      <c r="M223" s="6"/>
      <c r="N223" s="6"/>
      <c r="O223" s="6"/>
      <c r="P223" s="13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15"/>
    </row>
    <row r="224" spans="1:31">
      <c r="A224" s="2"/>
      <c r="B224" s="2"/>
      <c r="C224" s="2"/>
      <c r="D224" s="2"/>
      <c r="E224" s="11"/>
      <c r="F224" s="11"/>
      <c r="G224" s="2"/>
      <c r="H224" s="18"/>
      <c r="I224" s="19"/>
      <c r="J224" s="18"/>
      <c r="K224" s="6"/>
      <c r="L224" s="14"/>
      <c r="M224" s="6"/>
      <c r="N224" s="6"/>
      <c r="O224" s="6"/>
      <c r="P224" s="13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15"/>
    </row>
    <row r="225" spans="1:31">
      <c r="A225" s="2"/>
      <c r="B225" s="2"/>
      <c r="C225" s="2"/>
      <c r="D225" s="2"/>
      <c r="E225" s="11"/>
      <c r="F225" s="11"/>
      <c r="G225" s="2"/>
      <c r="H225" s="18"/>
      <c r="I225" s="19"/>
      <c r="J225" s="18"/>
      <c r="K225" s="6"/>
      <c r="L225" s="14"/>
      <c r="M225" s="6"/>
      <c r="N225" s="6"/>
      <c r="O225" s="6"/>
      <c r="P225" s="13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15"/>
    </row>
    <row r="226" spans="1:31">
      <c r="A226" s="2"/>
      <c r="B226" s="2"/>
      <c r="C226" s="2"/>
      <c r="D226" s="2"/>
      <c r="E226" s="11"/>
      <c r="F226" s="11"/>
      <c r="G226" s="2"/>
      <c r="H226" s="18"/>
      <c r="I226" s="19"/>
      <c r="J226" s="18"/>
      <c r="K226" s="6"/>
      <c r="L226" s="14"/>
      <c r="M226" s="6"/>
      <c r="N226" s="6"/>
      <c r="O226" s="6"/>
      <c r="P226" s="13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15"/>
    </row>
    <row r="227" spans="1:31">
      <c r="A227" s="11"/>
      <c r="B227" s="2"/>
      <c r="C227" s="2"/>
      <c r="D227" s="2"/>
      <c r="E227" s="11"/>
      <c r="F227" s="11"/>
      <c r="G227" s="2"/>
      <c r="H227" s="18"/>
      <c r="I227" s="19"/>
      <c r="J227" s="18"/>
      <c r="K227" s="6"/>
      <c r="L227" s="14"/>
      <c r="M227" s="6"/>
      <c r="N227" s="6"/>
      <c r="O227" s="6"/>
      <c r="P227" s="13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15"/>
    </row>
    <row r="228" spans="1:31">
      <c r="A228" s="2"/>
      <c r="B228" s="2"/>
      <c r="C228" s="2"/>
      <c r="D228" s="2"/>
      <c r="E228" s="11"/>
      <c r="F228" s="11"/>
      <c r="G228" s="2"/>
      <c r="H228" s="18"/>
      <c r="I228" s="19"/>
      <c r="J228" s="18"/>
      <c r="K228" s="6"/>
      <c r="L228" s="14"/>
      <c r="M228" s="6"/>
      <c r="N228" s="6"/>
      <c r="O228" s="6"/>
      <c r="P228" s="13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15"/>
    </row>
    <row r="229" spans="1:31">
      <c r="A229" s="2"/>
      <c r="B229" s="2"/>
      <c r="C229" s="2"/>
      <c r="D229" s="2"/>
      <c r="E229" s="11"/>
      <c r="F229" s="11"/>
      <c r="G229" s="2"/>
      <c r="H229" s="18"/>
      <c r="I229" s="19"/>
      <c r="J229" s="18"/>
      <c r="K229" s="6"/>
      <c r="L229" s="14"/>
      <c r="M229" s="6"/>
      <c r="N229" s="6"/>
      <c r="O229" s="6"/>
      <c r="P229" s="13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15"/>
    </row>
    <row r="230" spans="1:31">
      <c r="A230" s="2"/>
      <c r="B230" s="2"/>
      <c r="C230" s="2"/>
      <c r="D230" s="2"/>
      <c r="E230" s="11"/>
      <c r="F230" s="11"/>
      <c r="G230" s="2"/>
      <c r="H230" s="18"/>
      <c r="I230" s="19"/>
      <c r="J230" s="18"/>
      <c r="K230" s="6"/>
      <c r="L230" s="14"/>
      <c r="M230" s="6"/>
      <c r="N230" s="6"/>
      <c r="O230" s="6"/>
      <c r="P230" s="13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15"/>
    </row>
    <row r="231" spans="1:31">
      <c r="A231" s="2"/>
      <c r="B231" s="2"/>
      <c r="C231" s="2"/>
      <c r="D231" s="2"/>
      <c r="E231" s="11"/>
      <c r="F231" s="11"/>
      <c r="G231" s="2"/>
      <c r="H231" s="18"/>
      <c r="I231" s="19"/>
      <c r="J231" s="18"/>
      <c r="K231" s="6"/>
      <c r="L231" s="14"/>
      <c r="M231" s="6"/>
      <c r="N231" s="6"/>
      <c r="O231" s="6"/>
      <c r="P231" s="13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15"/>
    </row>
    <row r="232" spans="1:31">
      <c r="A232" s="2"/>
      <c r="B232" s="2"/>
      <c r="C232" s="2"/>
      <c r="D232" s="2"/>
      <c r="E232" s="11"/>
      <c r="F232" s="11"/>
      <c r="G232" s="2"/>
      <c r="H232" s="18"/>
      <c r="I232" s="19"/>
      <c r="J232" s="18"/>
      <c r="K232" s="6"/>
      <c r="L232" s="14"/>
      <c r="M232" s="6"/>
      <c r="N232" s="6"/>
      <c r="O232" s="6"/>
      <c r="P232" s="13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15"/>
    </row>
    <row r="233" spans="1:31">
      <c r="A233" s="2"/>
      <c r="B233" s="2"/>
      <c r="C233" s="2"/>
      <c r="D233" s="2"/>
      <c r="E233" s="11"/>
      <c r="F233" s="11"/>
      <c r="G233" s="2"/>
      <c r="H233" s="18"/>
      <c r="I233" s="19"/>
      <c r="J233" s="18"/>
      <c r="K233" s="6"/>
      <c r="L233" s="14"/>
      <c r="M233" s="6"/>
      <c r="N233" s="6"/>
      <c r="O233" s="6"/>
      <c r="P233" s="13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15"/>
    </row>
    <row r="234" spans="1:31">
      <c r="A234" s="2"/>
      <c r="B234" s="2"/>
      <c r="C234" s="2"/>
      <c r="D234" s="2"/>
      <c r="E234" s="11"/>
      <c r="F234" s="11"/>
      <c r="G234" s="2"/>
      <c r="H234" s="18"/>
      <c r="I234" s="19"/>
      <c r="J234" s="18"/>
      <c r="K234" s="6"/>
      <c r="L234" s="14"/>
      <c r="M234" s="6"/>
      <c r="N234" s="6"/>
      <c r="O234" s="6"/>
      <c r="P234" s="13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15"/>
    </row>
    <row r="235" spans="1:31">
      <c r="A235" s="2"/>
      <c r="B235" s="2"/>
      <c r="C235" s="2"/>
      <c r="D235" s="2"/>
      <c r="E235" s="11"/>
      <c r="F235" s="11"/>
      <c r="G235" s="2"/>
      <c r="H235" s="18"/>
      <c r="I235" s="19"/>
      <c r="J235" s="18"/>
      <c r="K235" s="6"/>
      <c r="L235" s="14"/>
      <c r="M235" s="6"/>
      <c r="N235" s="6"/>
      <c r="O235" s="6"/>
      <c r="P235" s="13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15"/>
    </row>
    <row r="236" spans="1:31">
      <c r="A236" s="2"/>
      <c r="B236" s="2"/>
      <c r="C236" s="2"/>
      <c r="D236" s="2"/>
      <c r="E236" s="11"/>
      <c r="F236" s="11"/>
      <c r="G236" s="2"/>
      <c r="H236" s="18"/>
      <c r="I236" s="19"/>
      <c r="J236" s="18"/>
      <c r="K236" s="6"/>
      <c r="L236" s="14"/>
      <c r="M236" s="6"/>
      <c r="N236" s="6"/>
      <c r="O236" s="6"/>
      <c r="P236" s="13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15"/>
    </row>
    <row r="237" spans="1:31">
      <c r="A237" s="2"/>
      <c r="B237" s="2"/>
      <c r="C237" s="2"/>
      <c r="D237" s="2"/>
      <c r="E237" s="11"/>
      <c r="F237" s="11"/>
      <c r="G237" s="2"/>
      <c r="H237" s="18"/>
      <c r="I237" s="19"/>
      <c r="J237" s="18"/>
      <c r="K237" s="6"/>
      <c r="L237" s="14"/>
      <c r="M237" s="6"/>
      <c r="N237" s="6"/>
      <c r="O237" s="6"/>
      <c r="P237" s="13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15"/>
    </row>
    <row r="238" spans="1:31">
      <c r="A238" s="11"/>
      <c r="B238" s="2"/>
      <c r="C238" s="2"/>
      <c r="D238" s="2"/>
      <c r="E238" s="11"/>
      <c r="F238" s="11"/>
      <c r="G238" s="2"/>
      <c r="H238" s="18"/>
      <c r="I238" s="19"/>
      <c r="J238" s="18"/>
      <c r="K238" s="6"/>
      <c r="L238" s="14"/>
      <c r="M238" s="6"/>
      <c r="N238" s="6"/>
      <c r="O238" s="6"/>
      <c r="P238" s="13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15"/>
    </row>
    <row r="239" spans="1:31">
      <c r="A239" s="2"/>
      <c r="B239" s="2"/>
      <c r="C239" s="2"/>
      <c r="D239" s="2"/>
      <c r="E239" s="11"/>
      <c r="F239" s="11"/>
      <c r="G239" s="2"/>
      <c r="H239" s="18"/>
      <c r="I239" s="19"/>
      <c r="J239" s="18"/>
      <c r="K239" s="6"/>
      <c r="L239" s="14"/>
      <c r="M239" s="6"/>
      <c r="N239" s="6"/>
      <c r="O239" s="6"/>
      <c r="P239" s="13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15"/>
    </row>
    <row r="240" spans="1:31">
      <c r="A240" s="2"/>
      <c r="B240" s="2"/>
      <c r="C240" s="2"/>
      <c r="D240" s="2"/>
      <c r="E240" s="11"/>
      <c r="F240" s="11"/>
      <c r="G240" s="2"/>
      <c r="H240" s="18"/>
      <c r="I240" s="19"/>
      <c r="J240" s="18"/>
      <c r="K240" s="6"/>
      <c r="L240" s="14"/>
      <c r="M240" s="6"/>
      <c r="N240" s="6"/>
      <c r="O240" s="6"/>
      <c r="P240" s="13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15"/>
    </row>
    <row r="241" spans="1:31">
      <c r="A241" s="11"/>
      <c r="B241" s="2"/>
      <c r="C241" s="2"/>
      <c r="D241" s="2"/>
      <c r="E241" s="11"/>
      <c r="F241" s="11"/>
      <c r="G241" s="2"/>
      <c r="H241" s="18"/>
      <c r="I241" s="19"/>
      <c r="J241" s="18"/>
      <c r="K241" s="6"/>
      <c r="L241" s="14"/>
      <c r="M241" s="6"/>
      <c r="N241" s="6"/>
      <c r="O241" s="6"/>
      <c r="P241" s="13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15"/>
    </row>
    <row r="242" spans="1:31">
      <c r="A242" s="11"/>
      <c r="B242" s="2"/>
      <c r="C242" s="2"/>
      <c r="D242" s="2"/>
      <c r="E242" s="11"/>
      <c r="F242" s="11"/>
      <c r="G242" s="2"/>
      <c r="H242" s="18"/>
      <c r="I242" s="19"/>
      <c r="J242" s="18"/>
      <c r="K242" s="6"/>
      <c r="L242" s="14"/>
      <c r="M242" s="6"/>
      <c r="N242" s="6"/>
      <c r="O242" s="6"/>
      <c r="P242" s="13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15"/>
    </row>
    <row r="243" spans="1:31">
      <c r="A243" s="11"/>
      <c r="B243" s="2"/>
      <c r="C243" s="2"/>
      <c r="D243" s="2"/>
      <c r="E243" s="11"/>
      <c r="F243" s="11"/>
      <c r="G243" s="2"/>
      <c r="H243" s="18"/>
      <c r="I243" s="19"/>
      <c r="J243" s="18"/>
      <c r="K243" s="6"/>
      <c r="L243" s="14"/>
      <c r="M243" s="6"/>
      <c r="N243" s="6"/>
      <c r="O243" s="6"/>
      <c r="P243" s="13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15"/>
    </row>
    <row r="244" spans="1:31">
      <c r="A244" s="2"/>
      <c r="B244" s="2"/>
      <c r="C244" s="2"/>
      <c r="D244" s="2"/>
      <c r="E244" s="11"/>
      <c r="F244" s="11"/>
      <c r="G244" s="2"/>
      <c r="H244" s="18"/>
      <c r="I244" s="19"/>
      <c r="J244" s="18"/>
      <c r="K244" s="6"/>
      <c r="L244" s="14"/>
      <c r="M244" s="6"/>
      <c r="N244" s="6"/>
      <c r="O244" s="6"/>
      <c r="P244" s="13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15"/>
    </row>
    <row r="245" spans="1:31">
      <c r="A245" s="2"/>
      <c r="B245" s="2"/>
      <c r="C245" s="2"/>
      <c r="D245" s="2"/>
      <c r="E245" s="11"/>
      <c r="F245" s="11"/>
      <c r="G245" s="2"/>
      <c r="H245" s="18"/>
      <c r="I245" s="19"/>
      <c r="J245" s="18"/>
      <c r="K245" s="6"/>
      <c r="L245" s="14"/>
      <c r="M245" s="6"/>
      <c r="N245" s="6"/>
      <c r="O245" s="6"/>
      <c r="P245" s="13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15"/>
    </row>
    <row r="246" spans="1:31">
      <c r="A246" s="2"/>
      <c r="B246" s="2"/>
      <c r="C246" s="2"/>
      <c r="D246" s="2"/>
      <c r="E246" s="11"/>
      <c r="F246" s="11"/>
      <c r="G246" s="2"/>
      <c r="H246" s="18"/>
      <c r="I246" s="19"/>
      <c r="J246" s="18"/>
      <c r="K246" s="6"/>
      <c r="L246" s="14"/>
      <c r="M246" s="6"/>
      <c r="N246" s="6"/>
      <c r="O246" s="6"/>
      <c r="P246" s="13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15"/>
    </row>
    <row r="247" spans="1:31">
      <c r="A247" s="11"/>
      <c r="B247" s="2"/>
      <c r="C247" s="2"/>
      <c r="D247" s="2"/>
      <c r="E247" s="11"/>
      <c r="F247" s="11"/>
      <c r="G247" s="2"/>
      <c r="H247" s="18"/>
      <c r="I247" s="19"/>
      <c r="J247" s="18"/>
      <c r="K247" s="6"/>
      <c r="L247" s="14"/>
      <c r="M247" s="6"/>
      <c r="N247" s="6"/>
      <c r="O247" s="6"/>
      <c r="P247" s="13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15"/>
    </row>
    <row r="248" spans="1:31">
      <c r="A248" s="11"/>
      <c r="B248" s="2"/>
      <c r="C248" s="2"/>
      <c r="D248" s="2"/>
      <c r="E248" s="11"/>
      <c r="F248" s="11"/>
      <c r="G248" s="2"/>
      <c r="H248" s="18"/>
      <c r="I248" s="19"/>
      <c r="J248" s="18"/>
      <c r="K248" s="6"/>
      <c r="L248" s="14"/>
      <c r="M248" s="6"/>
      <c r="N248" s="6"/>
      <c r="O248" s="6"/>
      <c r="P248" s="13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15"/>
    </row>
    <row r="249" spans="1:31">
      <c r="A249" s="2"/>
      <c r="B249" s="2"/>
      <c r="C249" s="2"/>
      <c r="D249" s="2"/>
      <c r="E249" s="11"/>
      <c r="F249" s="11"/>
      <c r="G249" s="2"/>
      <c r="H249" s="18"/>
      <c r="I249" s="19"/>
      <c r="J249" s="18"/>
      <c r="K249" s="6"/>
      <c r="L249" s="14"/>
      <c r="M249" s="6"/>
      <c r="N249" s="6"/>
      <c r="O249" s="6"/>
      <c r="P249" s="13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15"/>
    </row>
    <row r="250" spans="1:31">
      <c r="A250" s="11"/>
      <c r="B250" s="2"/>
      <c r="C250" s="2"/>
      <c r="D250" s="2"/>
      <c r="E250" s="11"/>
      <c r="F250" s="11"/>
      <c r="G250" s="2"/>
      <c r="H250" s="18"/>
      <c r="I250" s="19"/>
      <c r="J250" s="18"/>
      <c r="K250" s="6"/>
      <c r="L250" s="14"/>
      <c r="M250" s="6"/>
      <c r="N250" s="6"/>
      <c r="O250" s="6"/>
      <c r="P250" s="13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15"/>
    </row>
    <row r="251" spans="1:31">
      <c r="A251" s="2"/>
      <c r="B251" s="2"/>
      <c r="C251" s="2"/>
      <c r="D251" s="2"/>
      <c r="E251" s="11"/>
      <c r="F251" s="11"/>
      <c r="G251" s="2"/>
      <c r="H251" s="18"/>
      <c r="I251" s="19"/>
      <c r="J251" s="18"/>
      <c r="K251" s="6"/>
      <c r="L251" s="14"/>
      <c r="M251" s="6"/>
      <c r="N251" s="6"/>
      <c r="O251" s="6"/>
      <c r="P251" s="13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15"/>
    </row>
    <row r="252" spans="1:31">
      <c r="A252" s="2"/>
      <c r="B252" s="2"/>
      <c r="C252" s="2"/>
      <c r="D252" s="2"/>
      <c r="E252" s="11"/>
      <c r="F252" s="11"/>
      <c r="G252" s="2"/>
      <c r="H252" s="18"/>
      <c r="I252" s="19"/>
      <c r="J252" s="18"/>
      <c r="K252" s="6"/>
      <c r="L252" s="14"/>
      <c r="M252" s="6"/>
      <c r="N252" s="6"/>
      <c r="O252" s="6"/>
      <c r="P252" s="13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15"/>
    </row>
    <row r="253" spans="1:31">
      <c r="A253" s="2"/>
      <c r="B253" s="2"/>
      <c r="C253" s="2"/>
      <c r="D253" s="2"/>
      <c r="E253" s="11"/>
      <c r="F253" s="11"/>
      <c r="G253" s="2"/>
      <c r="H253" s="18"/>
      <c r="I253" s="19"/>
      <c r="J253" s="18"/>
      <c r="K253" s="6"/>
      <c r="L253" s="14"/>
      <c r="M253" s="6"/>
      <c r="N253" s="6"/>
      <c r="O253" s="6"/>
      <c r="P253" s="13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15"/>
    </row>
    <row r="254" spans="1:31">
      <c r="A254" s="11"/>
      <c r="B254" s="2"/>
      <c r="C254" s="2"/>
      <c r="D254" s="2"/>
      <c r="E254" s="11"/>
      <c r="F254" s="11"/>
      <c r="G254" s="2"/>
      <c r="H254" s="18"/>
      <c r="I254" s="19"/>
      <c r="J254" s="18"/>
      <c r="K254" s="6"/>
      <c r="L254" s="14"/>
      <c r="M254" s="6"/>
      <c r="N254" s="6"/>
      <c r="O254" s="6"/>
      <c r="P254" s="13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15"/>
    </row>
    <row r="255" spans="1:31">
      <c r="A255" s="2"/>
      <c r="B255" s="2"/>
      <c r="C255" s="2"/>
      <c r="D255" s="2"/>
      <c r="E255" s="11"/>
      <c r="F255" s="11"/>
      <c r="G255" s="2"/>
      <c r="H255" s="18"/>
      <c r="I255" s="19"/>
      <c r="J255" s="18"/>
      <c r="K255" s="6"/>
      <c r="L255" s="14"/>
      <c r="M255" s="6"/>
      <c r="N255" s="6"/>
      <c r="O255" s="6"/>
      <c r="P255" s="13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15"/>
    </row>
    <row r="256" spans="1:31">
      <c r="A256" s="2"/>
      <c r="B256" s="2"/>
      <c r="C256" s="2"/>
      <c r="D256" s="2"/>
      <c r="E256" s="11"/>
      <c r="F256" s="11"/>
      <c r="G256" s="2"/>
      <c r="H256" s="18"/>
      <c r="I256" s="19"/>
      <c r="J256" s="18"/>
      <c r="K256" s="6"/>
      <c r="L256" s="14"/>
      <c r="M256" s="6"/>
      <c r="N256" s="6"/>
      <c r="O256" s="6"/>
      <c r="P256" s="13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15"/>
    </row>
    <row r="257" spans="1:36">
      <c r="A257" s="11"/>
      <c r="B257" s="2"/>
      <c r="C257" s="2"/>
      <c r="D257" s="2"/>
      <c r="E257" s="11"/>
      <c r="F257" s="11"/>
      <c r="G257" s="2"/>
      <c r="H257" s="18"/>
      <c r="I257" s="19"/>
      <c r="J257" s="18"/>
      <c r="K257" s="6"/>
      <c r="L257" s="14"/>
      <c r="M257" s="6"/>
      <c r="N257" s="6"/>
      <c r="O257" s="6"/>
      <c r="P257" s="13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15"/>
    </row>
    <row r="258" spans="1:36">
      <c r="A258" s="2"/>
      <c r="B258" s="2"/>
      <c r="C258" s="2"/>
      <c r="D258" s="2"/>
      <c r="E258" s="11"/>
      <c r="F258" s="11"/>
      <c r="G258" s="2"/>
      <c r="H258" s="18"/>
      <c r="I258" s="19"/>
      <c r="J258" s="18"/>
      <c r="K258" s="6"/>
      <c r="L258" s="14"/>
      <c r="M258" s="6"/>
      <c r="N258" s="6"/>
      <c r="O258" s="6"/>
      <c r="P258" s="13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15"/>
    </row>
    <row r="259" spans="1:36">
      <c r="A259" s="2"/>
      <c r="B259" s="2"/>
      <c r="C259" s="2"/>
      <c r="D259" s="2"/>
      <c r="E259" s="11"/>
      <c r="F259" s="11"/>
      <c r="G259" s="2"/>
      <c r="H259" s="18"/>
      <c r="I259" s="19"/>
      <c r="J259" s="18"/>
      <c r="K259" s="6"/>
      <c r="L259" s="14"/>
      <c r="M259" s="6"/>
      <c r="N259" s="6"/>
      <c r="O259" s="6"/>
      <c r="P259" s="13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15"/>
    </row>
    <row r="260" spans="1:36">
      <c r="A260" s="2"/>
      <c r="B260" s="2"/>
      <c r="C260" s="2"/>
      <c r="D260" s="2"/>
      <c r="E260" s="11"/>
      <c r="F260" s="11"/>
      <c r="G260" s="2"/>
      <c r="H260" s="18"/>
      <c r="I260" s="19"/>
      <c r="J260" s="18"/>
      <c r="K260" s="6"/>
      <c r="L260" s="14"/>
      <c r="M260" s="6"/>
      <c r="N260" s="6"/>
      <c r="O260" s="6"/>
      <c r="P260" s="13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15"/>
    </row>
    <row r="261" spans="1:36">
      <c r="A261" s="2"/>
      <c r="B261" s="2"/>
      <c r="C261" s="2"/>
      <c r="D261" s="2"/>
      <c r="E261" s="11"/>
      <c r="F261" s="11"/>
      <c r="G261" s="2"/>
      <c r="H261" s="18"/>
      <c r="I261" s="19"/>
      <c r="J261" s="18"/>
      <c r="K261" s="6"/>
      <c r="L261" s="14"/>
      <c r="M261" s="6"/>
      <c r="N261" s="6"/>
      <c r="O261" s="6"/>
      <c r="P261" s="13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15"/>
    </row>
    <row r="262" spans="1:36">
      <c r="A262" s="11"/>
      <c r="B262" s="2"/>
      <c r="C262" s="2"/>
      <c r="D262" s="2"/>
      <c r="E262" s="11"/>
      <c r="F262" s="11"/>
      <c r="G262" s="2"/>
      <c r="H262" s="18"/>
      <c r="I262" s="19"/>
      <c r="J262" s="18"/>
      <c r="K262" s="6"/>
      <c r="L262" s="14"/>
      <c r="M262" s="6"/>
      <c r="N262" s="6"/>
      <c r="O262" s="6"/>
      <c r="P262" s="13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15"/>
    </row>
    <row r="263" spans="1:36">
      <c r="A263" s="2"/>
      <c r="B263" s="2"/>
      <c r="C263" s="2"/>
      <c r="D263" s="2"/>
      <c r="E263" s="11"/>
      <c r="F263" s="11"/>
      <c r="G263" s="2"/>
      <c r="H263" s="18"/>
      <c r="I263" s="19"/>
      <c r="J263" s="18"/>
      <c r="K263" s="6"/>
      <c r="L263" s="14"/>
      <c r="M263" s="6"/>
      <c r="N263" s="6"/>
      <c r="O263" s="6"/>
      <c r="P263" s="13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15"/>
    </row>
    <row r="264" spans="1:36">
      <c r="A264" s="2"/>
      <c r="B264" s="2"/>
      <c r="C264" s="2"/>
      <c r="D264" s="2"/>
      <c r="E264" s="11"/>
      <c r="F264" s="11"/>
      <c r="G264" s="2"/>
      <c r="H264" s="18"/>
      <c r="I264" s="19"/>
      <c r="J264" s="18"/>
      <c r="K264" s="6"/>
      <c r="L264" s="14"/>
      <c r="M264" s="6"/>
      <c r="N264" s="6"/>
      <c r="O264" s="6"/>
      <c r="P264" s="13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15"/>
    </row>
    <row r="265" spans="1:36">
      <c r="A265" s="2"/>
      <c r="B265" s="2"/>
      <c r="C265" s="2"/>
      <c r="D265" s="2"/>
      <c r="E265" s="11"/>
      <c r="F265" s="11"/>
      <c r="G265" s="2"/>
      <c r="H265" s="18"/>
      <c r="I265" s="19"/>
      <c r="J265" s="18"/>
      <c r="K265" s="6"/>
      <c r="L265" s="14"/>
      <c r="M265" s="6"/>
      <c r="N265" s="6"/>
      <c r="O265" s="6"/>
      <c r="P265" s="13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15"/>
    </row>
    <row r="266" spans="1:36">
      <c r="A266" s="2"/>
      <c r="B266" s="2"/>
      <c r="C266" s="2"/>
      <c r="D266" s="2"/>
      <c r="E266" s="11"/>
      <c r="F266" s="11"/>
      <c r="G266" s="2"/>
      <c r="H266" s="18"/>
      <c r="I266" s="19"/>
      <c r="J266" s="18"/>
      <c r="K266" s="6"/>
      <c r="L266" s="14"/>
      <c r="M266" s="6"/>
      <c r="N266" s="6"/>
      <c r="O266" s="6"/>
      <c r="P266" s="13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15"/>
    </row>
    <row r="267" spans="1:36">
      <c r="A267" s="2"/>
      <c r="B267" s="2"/>
      <c r="C267" s="2"/>
      <c r="D267" s="2"/>
      <c r="E267" s="11"/>
      <c r="F267" s="11"/>
      <c r="G267" s="2"/>
      <c r="H267" s="18"/>
      <c r="I267" s="19"/>
      <c r="J267" s="18"/>
      <c r="K267" s="6"/>
      <c r="L267" s="14"/>
      <c r="M267" s="6"/>
      <c r="N267" s="6"/>
      <c r="O267" s="6"/>
      <c r="P267" s="13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15"/>
    </row>
    <row r="268" spans="1:36">
      <c r="A268" s="2"/>
      <c r="B268" s="2"/>
      <c r="C268" s="2"/>
      <c r="D268" s="2"/>
      <c r="E268" s="11"/>
      <c r="F268" s="11"/>
      <c r="G268" s="2"/>
      <c r="H268" s="18"/>
      <c r="I268" s="19"/>
      <c r="J268" s="18"/>
      <c r="K268" s="6"/>
      <c r="L268" s="14"/>
      <c r="M268" s="6"/>
      <c r="N268" s="6"/>
      <c r="O268" s="6"/>
      <c r="P268" s="13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15"/>
    </row>
    <row r="269" spans="1:36">
      <c r="A269" s="2"/>
      <c r="B269" s="2"/>
      <c r="C269" s="2"/>
      <c r="D269" s="2"/>
      <c r="E269" s="11"/>
      <c r="F269" s="11"/>
      <c r="G269" s="2"/>
      <c r="H269" s="18"/>
      <c r="I269" s="19"/>
      <c r="J269" s="18"/>
      <c r="K269" s="6"/>
      <c r="L269" s="14"/>
      <c r="M269" s="6"/>
      <c r="N269" s="6"/>
      <c r="O269" s="6"/>
      <c r="P269" s="13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15"/>
    </row>
    <row r="270" spans="1:36">
      <c r="A270" s="11"/>
      <c r="B270" s="2"/>
      <c r="C270" s="2"/>
      <c r="D270" s="2"/>
      <c r="E270" s="11"/>
      <c r="F270" s="11"/>
      <c r="G270" s="2"/>
      <c r="H270" s="18"/>
      <c r="I270" s="19"/>
      <c r="J270" s="18"/>
      <c r="K270" s="6"/>
      <c r="L270" s="14"/>
      <c r="M270" s="6"/>
      <c r="N270" s="6"/>
      <c r="O270" s="6"/>
      <c r="P270" s="13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15"/>
      <c r="AI270" s="20"/>
      <c r="AJ270" s="21"/>
    </row>
    <row r="271" spans="1:36">
      <c r="A271" s="2"/>
      <c r="B271" s="2"/>
      <c r="C271" s="2"/>
      <c r="D271" s="2"/>
      <c r="E271" s="11"/>
      <c r="F271" s="11"/>
      <c r="G271" s="2"/>
      <c r="H271" s="18"/>
      <c r="I271" s="19"/>
      <c r="J271" s="18"/>
      <c r="K271" s="6"/>
      <c r="L271" s="14"/>
      <c r="M271" s="6"/>
      <c r="N271" s="6"/>
      <c r="O271" s="6"/>
      <c r="P271" s="13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15"/>
      <c r="AI271" s="20"/>
      <c r="AJ271" s="21"/>
    </row>
    <row r="272" spans="1:36">
      <c r="A272" s="2"/>
      <c r="B272" s="2"/>
      <c r="C272" s="2"/>
      <c r="D272" s="2"/>
      <c r="E272" s="11"/>
      <c r="F272" s="11"/>
      <c r="G272" s="2"/>
      <c r="H272" s="18"/>
      <c r="I272" s="19"/>
      <c r="J272" s="18"/>
      <c r="K272" s="6"/>
      <c r="L272" s="14"/>
      <c r="M272" s="6"/>
      <c r="N272" s="6"/>
      <c r="O272" s="6"/>
      <c r="P272" s="13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15"/>
      <c r="AI272" s="20"/>
      <c r="AJ272" s="21"/>
    </row>
    <row r="273" spans="1:36">
      <c r="A273" s="2"/>
      <c r="B273" s="2"/>
      <c r="C273" s="2"/>
      <c r="D273" s="2"/>
      <c r="E273" s="11"/>
      <c r="F273" s="11"/>
      <c r="G273" s="2"/>
      <c r="H273" s="18"/>
      <c r="I273" s="19"/>
      <c r="J273" s="18"/>
      <c r="K273" s="6"/>
      <c r="L273" s="14"/>
      <c r="M273" s="6"/>
      <c r="N273" s="6"/>
      <c r="O273" s="6"/>
      <c r="P273" s="13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15"/>
      <c r="AI273" s="20"/>
      <c r="AJ273" s="21"/>
    </row>
    <row r="274" spans="1:36">
      <c r="A274" s="34"/>
      <c r="B274" s="22"/>
      <c r="C274" s="22"/>
      <c r="D274" s="22"/>
      <c r="E274" s="11"/>
      <c r="F274" s="11"/>
      <c r="G274" s="22"/>
      <c r="H274" s="35"/>
      <c r="I274" s="36"/>
      <c r="J274" s="35"/>
      <c r="K274" s="38"/>
      <c r="L274" s="37"/>
      <c r="M274" s="38"/>
      <c r="N274" s="38"/>
      <c r="O274" s="38"/>
      <c r="P274" s="39"/>
      <c r="Q274" s="38"/>
      <c r="R274" s="38"/>
      <c r="S274" s="38"/>
      <c r="T274" s="38"/>
      <c r="U274" s="38"/>
      <c r="V274" s="38"/>
      <c r="W274" s="38"/>
      <c r="X274" s="38"/>
      <c r="Y274" s="38"/>
      <c r="Z274" s="38"/>
      <c r="AA274" s="38"/>
      <c r="AB274" s="38"/>
      <c r="AC274" s="38"/>
      <c r="AD274" s="38"/>
      <c r="AE274" s="42"/>
      <c r="AI274" s="20"/>
      <c r="AJ274" s="21"/>
    </row>
    <row r="275" spans="1:36">
      <c r="A275" s="2"/>
      <c r="B275" s="2"/>
      <c r="C275" s="2"/>
      <c r="D275" s="2"/>
      <c r="E275" s="11"/>
      <c r="F275" s="11"/>
      <c r="G275" s="2"/>
      <c r="H275" s="18"/>
      <c r="I275" s="19"/>
      <c r="J275" s="18"/>
      <c r="K275" s="6"/>
      <c r="L275" s="14"/>
      <c r="M275" s="6"/>
      <c r="N275" s="6"/>
      <c r="O275" s="6"/>
      <c r="P275" s="13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15"/>
      <c r="AI275" s="20"/>
      <c r="AJ275" s="21"/>
    </row>
    <row r="276" spans="1:36">
      <c r="A276" s="2"/>
      <c r="B276" s="2"/>
      <c r="C276" s="2"/>
      <c r="D276" s="2"/>
      <c r="E276" s="11"/>
      <c r="F276" s="11"/>
      <c r="G276" s="2"/>
      <c r="H276" s="18"/>
      <c r="I276" s="19"/>
      <c r="J276" s="18"/>
      <c r="K276" s="6"/>
      <c r="L276" s="14"/>
      <c r="M276" s="6"/>
      <c r="N276" s="6"/>
      <c r="O276" s="6"/>
      <c r="P276" s="13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15"/>
      <c r="AI276" s="20"/>
      <c r="AJ276" s="21"/>
    </row>
    <row r="277" spans="1:36">
      <c r="A277" s="2"/>
      <c r="B277" s="2"/>
      <c r="C277" s="2"/>
      <c r="D277" s="2"/>
      <c r="E277" s="11"/>
      <c r="F277" s="11"/>
      <c r="G277" s="2"/>
      <c r="H277" s="18"/>
      <c r="I277" s="19"/>
      <c r="J277" s="18"/>
      <c r="K277" s="6"/>
      <c r="L277" s="14"/>
      <c r="M277" s="6"/>
      <c r="N277" s="6"/>
      <c r="O277" s="6"/>
      <c r="P277" s="13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15"/>
      <c r="AI277" s="20"/>
      <c r="AJ277" s="21"/>
    </row>
    <row r="278" spans="1:36">
      <c r="A278" s="2"/>
      <c r="B278" s="2"/>
      <c r="C278" s="2"/>
      <c r="D278" s="2"/>
      <c r="E278" s="11"/>
      <c r="F278" s="11"/>
      <c r="G278" s="2"/>
      <c r="H278" s="18"/>
      <c r="I278" s="19"/>
      <c r="J278" s="18"/>
      <c r="K278" s="6"/>
      <c r="L278" s="14"/>
      <c r="M278" s="6"/>
      <c r="N278" s="6"/>
      <c r="O278" s="6"/>
      <c r="P278" s="13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15"/>
      <c r="AI278" s="20"/>
      <c r="AJ278" s="21"/>
    </row>
    <row r="279" spans="1:36">
      <c r="A279" s="11"/>
      <c r="B279" s="2"/>
      <c r="C279" s="2"/>
      <c r="D279" s="2"/>
      <c r="E279" s="11"/>
      <c r="F279" s="11"/>
      <c r="G279" s="2"/>
      <c r="H279" s="18"/>
      <c r="I279" s="19"/>
      <c r="J279" s="18"/>
      <c r="K279" s="6"/>
      <c r="L279" s="14"/>
      <c r="M279" s="6"/>
      <c r="N279" s="6"/>
      <c r="O279" s="6"/>
      <c r="P279" s="13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15"/>
      <c r="AI279" s="20"/>
      <c r="AJ279" s="21"/>
    </row>
    <row r="280" spans="1:36">
      <c r="A280" s="2"/>
      <c r="B280" s="2"/>
      <c r="C280" s="2"/>
      <c r="D280" s="2"/>
      <c r="E280" s="11"/>
      <c r="F280" s="11"/>
      <c r="G280" s="2"/>
      <c r="H280" s="18"/>
      <c r="I280" s="19"/>
      <c r="J280" s="18"/>
      <c r="K280" s="6"/>
      <c r="L280" s="14"/>
      <c r="M280" s="6"/>
      <c r="N280" s="6"/>
      <c r="O280" s="6"/>
      <c r="P280" s="13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15"/>
    </row>
    <row r="281" spans="1:36">
      <c r="A281" s="2"/>
      <c r="B281" s="2"/>
      <c r="C281" s="2"/>
      <c r="D281" s="2"/>
      <c r="E281" s="11"/>
      <c r="F281" s="11"/>
      <c r="G281" s="2"/>
      <c r="H281" s="18"/>
      <c r="I281" s="19"/>
      <c r="J281" s="18"/>
      <c r="K281" s="6"/>
      <c r="L281" s="14"/>
      <c r="M281" s="6"/>
      <c r="N281" s="6"/>
      <c r="O281" s="6"/>
      <c r="P281" s="13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15"/>
    </row>
    <row r="282" spans="1:36">
      <c r="A282" s="2"/>
      <c r="B282" s="2"/>
      <c r="C282" s="2"/>
      <c r="D282" s="2"/>
      <c r="E282" s="11"/>
      <c r="F282" s="11"/>
      <c r="G282" s="2"/>
      <c r="H282" s="18"/>
      <c r="I282" s="19"/>
      <c r="J282" s="18"/>
      <c r="K282" s="6"/>
      <c r="L282" s="14"/>
      <c r="M282" s="6"/>
      <c r="N282" s="6"/>
      <c r="O282" s="6"/>
      <c r="P282" s="13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15"/>
    </row>
    <row r="283" spans="1:36">
      <c r="A283" s="2"/>
      <c r="B283" s="2"/>
      <c r="C283" s="2"/>
      <c r="D283" s="2"/>
      <c r="E283" s="11"/>
      <c r="F283" s="11"/>
      <c r="G283" s="2"/>
      <c r="H283" s="18"/>
      <c r="I283" s="19"/>
      <c r="J283" s="18"/>
      <c r="K283" s="6"/>
      <c r="L283" s="14"/>
      <c r="M283" s="6"/>
      <c r="N283" s="6"/>
      <c r="O283" s="6"/>
      <c r="P283" s="13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15"/>
    </row>
    <row r="284" spans="1:36">
      <c r="A284" s="2"/>
      <c r="B284" s="2"/>
      <c r="C284" s="2"/>
      <c r="D284" s="2"/>
      <c r="E284" s="11"/>
      <c r="F284" s="11"/>
      <c r="G284" s="2"/>
      <c r="H284" s="18"/>
      <c r="I284" s="19"/>
      <c r="J284" s="18"/>
      <c r="K284" s="6"/>
      <c r="L284" s="14"/>
      <c r="M284" s="6"/>
      <c r="N284" s="6"/>
      <c r="O284" s="6"/>
      <c r="P284" s="13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15"/>
    </row>
    <row r="285" spans="1:36">
      <c r="A285" s="2"/>
      <c r="B285" s="2"/>
      <c r="C285" s="2"/>
      <c r="D285" s="2"/>
      <c r="E285" s="11"/>
      <c r="F285" s="11"/>
      <c r="G285" s="2"/>
      <c r="H285" s="18"/>
      <c r="I285" s="19"/>
      <c r="J285" s="18"/>
      <c r="K285" s="6"/>
      <c r="L285" s="14"/>
      <c r="M285" s="6"/>
      <c r="N285" s="6"/>
      <c r="O285" s="6"/>
      <c r="P285" s="13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15"/>
    </row>
    <row r="286" spans="1:36">
      <c r="A286" s="2"/>
      <c r="B286" s="2"/>
      <c r="C286" s="2"/>
      <c r="D286" s="2"/>
      <c r="E286" s="11"/>
      <c r="F286" s="11"/>
      <c r="G286" s="2"/>
      <c r="H286" s="18"/>
      <c r="I286" s="19"/>
      <c r="J286" s="18"/>
      <c r="K286" s="6"/>
      <c r="L286" s="14"/>
      <c r="M286" s="6"/>
      <c r="N286" s="6"/>
      <c r="O286" s="6"/>
      <c r="P286" s="13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15"/>
    </row>
    <row r="287" spans="1:36">
      <c r="A287" s="2"/>
      <c r="B287" s="2"/>
      <c r="C287" s="2"/>
      <c r="D287" s="2"/>
      <c r="E287" s="11"/>
      <c r="F287" s="11"/>
      <c r="G287" s="2"/>
      <c r="H287" s="18"/>
      <c r="I287" s="19"/>
      <c r="J287" s="18"/>
      <c r="K287" s="6"/>
      <c r="L287" s="14"/>
      <c r="M287" s="6"/>
      <c r="N287" s="6"/>
      <c r="O287" s="6"/>
      <c r="P287" s="13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15"/>
    </row>
    <row r="288" spans="1:36">
      <c r="A288" s="2"/>
      <c r="B288" s="2"/>
      <c r="C288" s="2"/>
      <c r="D288" s="2"/>
      <c r="E288" s="11"/>
      <c r="F288" s="11"/>
      <c r="G288" s="2"/>
      <c r="H288" s="18"/>
      <c r="I288" s="19"/>
      <c r="J288" s="18"/>
      <c r="K288" s="6"/>
      <c r="L288" s="14"/>
      <c r="M288" s="6"/>
      <c r="N288" s="6"/>
      <c r="O288" s="6"/>
      <c r="P288" s="13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15"/>
    </row>
    <row r="289" spans="1:31">
      <c r="A289" s="2"/>
      <c r="B289" s="2"/>
      <c r="C289" s="2"/>
      <c r="D289" s="2"/>
      <c r="E289" s="11"/>
      <c r="F289" s="11"/>
      <c r="G289" s="2"/>
      <c r="H289" s="18"/>
      <c r="I289" s="19"/>
      <c r="J289" s="18"/>
      <c r="K289" s="6"/>
      <c r="L289" s="14"/>
      <c r="M289" s="6"/>
      <c r="N289" s="6"/>
      <c r="O289" s="6"/>
      <c r="P289" s="13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15"/>
    </row>
    <row r="290" spans="1:31">
      <c r="A290" s="2"/>
      <c r="B290" s="2"/>
      <c r="C290" s="2"/>
      <c r="D290" s="2"/>
      <c r="E290" s="11"/>
      <c r="F290" s="11"/>
      <c r="G290" s="2"/>
      <c r="H290" s="18"/>
      <c r="I290" s="19"/>
      <c r="J290" s="18"/>
      <c r="K290" s="6"/>
      <c r="L290" s="14"/>
      <c r="M290" s="6"/>
      <c r="N290" s="6"/>
      <c r="O290" s="6"/>
      <c r="P290" s="13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15"/>
    </row>
    <row r="291" spans="1:31">
      <c r="A291" s="2"/>
      <c r="B291" s="2"/>
      <c r="C291" s="2"/>
      <c r="D291" s="2"/>
      <c r="E291" s="11"/>
      <c r="F291" s="11"/>
      <c r="G291" s="2"/>
      <c r="H291" s="18"/>
      <c r="I291" s="19"/>
      <c r="J291" s="18"/>
      <c r="K291" s="6"/>
      <c r="L291" s="14"/>
      <c r="M291" s="6"/>
      <c r="N291" s="6"/>
      <c r="O291" s="6"/>
      <c r="P291" s="13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15"/>
    </row>
    <row r="292" spans="1:31">
      <c r="A292" s="2"/>
      <c r="B292" s="2"/>
      <c r="C292" s="2"/>
      <c r="D292" s="2"/>
      <c r="E292" s="11"/>
      <c r="F292" s="11"/>
      <c r="G292" s="2"/>
      <c r="H292" s="18"/>
      <c r="I292" s="19"/>
      <c r="J292" s="18"/>
      <c r="K292" s="6"/>
      <c r="L292" s="14"/>
      <c r="M292" s="6"/>
      <c r="N292" s="6"/>
      <c r="O292" s="6"/>
      <c r="P292" s="13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15"/>
    </row>
    <row r="293" spans="1:31">
      <c r="A293" s="2"/>
      <c r="B293" s="2"/>
      <c r="C293" s="2"/>
      <c r="D293" s="2"/>
      <c r="E293" s="11"/>
      <c r="F293" s="11"/>
      <c r="G293" s="2"/>
      <c r="H293" s="18"/>
      <c r="I293" s="19"/>
      <c r="J293" s="18"/>
      <c r="K293" s="6"/>
      <c r="L293" s="14"/>
      <c r="M293" s="6"/>
      <c r="N293" s="6"/>
      <c r="O293" s="6"/>
      <c r="P293" s="13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15"/>
    </row>
    <row r="294" spans="1:31">
      <c r="A294" s="2"/>
      <c r="B294" s="2"/>
      <c r="C294" s="2"/>
      <c r="D294" s="2"/>
      <c r="E294" s="11"/>
      <c r="F294" s="11"/>
      <c r="G294" s="2"/>
      <c r="H294" s="18"/>
      <c r="I294" s="19"/>
      <c r="J294" s="18"/>
      <c r="K294" s="6"/>
      <c r="L294" s="14"/>
      <c r="M294" s="6"/>
      <c r="N294" s="6"/>
      <c r="O294" s="6"/>
      <c r="P294" s="13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15"/>
    </row>
    <row r="295" spans="1:31">
      <c r="A295" s="11"/>
      <c r="B295" s="2"/>
      <c r="C295" s="2"/>
      <c r="D295" s="2"/>
      <c r="E295" s="11"/>
      <c r="F295" s="11"/>
      <c r="G295" s="2"/>
      <c r="H295" s="18"/>
      <c r="I295" s="19"/>
      <c r="J295" s="18"/>
      <c r="K295" s="6"/>
      <c r="L295" s="14"/>
      <c r="M295" s="6"/>
      <c r="N295" s="6"/>
      <c r="O295" s="6"/>
      <c r="P295" s="13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15"/>
    </row>
    <row r="296" spans="1:31">
      <c r="A296" s="2"/>
      <c r="B296" s="2"/>
      <c r="C296" s="2"/>
      <c r="D296" s="2"/>
      <c r="E296" s="11"/>
      <c r="F296" s="11"/>
      <c r="G296" s="2"/>
      <c r="H296" s="18"/>
      <c r="I296" s="19"/>
      <c r="J296" s="18"/>
      <c r="K296" s="6"/>
      <c r="L296" s="14"/>
      <c r="M296" s="6"/>
      <c r="N296" s="6"/>
      <c r="O296" s="6"/>
      <c r="P296" s="13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15"/>
    </row>
    <row r="297" spans="1:31">
      <c r="A297" s="2"/>
      <c r="B297" s="2"/>
      <c r="C297" s="2"/>
      <c r="D297" s="2"/>
      <c r="E297" s="11"/>
      <c r="F297" s="11"/>
      <c r="G297" s="2"/>
      <c r="H297" s="18"/>
      <c r="I297" s="19"/>
      <c r="J297" s="18"/>
      <c r="K297" s="6"/>
      <c r="L297" s="14"/>
      <c r="M297" s="6"/>
      <c r="N297" s="6"/>
      <c r="O297" s="6"/>
      <c r="P297" s="13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15"/>
    </row>
    <row r="298" spans="1:31">
      <c r="A298" s="2"/>
      <c r="B298" s="2"/>
      <c r="C298" s="2"/>
      <c r="D298" s="2"/>
      <c r="E298" s="11"/>
      <c r="F298" s="11"/>
      <c r="G298" s="2"/>
      <c r="H298" s="18"/>
      <c r="I298" s="19"/>
      <c r="J298" s="18"/>
      <c r="K298" s="6"/>
      <c r="L298" s="14"/>
      <c r="M298" s="6"/>
      <c r="N298" s="6"/>
      <c r="O298" s="6"/>
      <c r="P298" s="13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15"/>
    </row>
    <row r="299" spans="1:31">
      <c r="A299" s="2"/>
      <c r="B299" s="2"/>
      <c r="C299" s="2"/>
      <c r="D299" s="2"/>
      <c r="E299" s="11"/>
      <c r="F299" s="11"/>
      <c r="G299" s="2"/>
      <c r="H299" s="18"/>
      <c r="I299" s="19"/>
      <c r="J299" s="18"/>
      <c r="K299" s="6"/>
      <c r="L299" s="14"/>
      <c r="M299" s="6"/>
      <c r="N299" s="6"/>
      <c r="O299" s="6"/>
      <c r="P299" s="13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15"/>
    </row>
    <row r="300" spans="1:31">
      <c r="A300" s="2"/>
      <c r="B300" s="2"/>
      <c r="C300" s="2"/>
      <c r="D300" s="2"/>
      <c r="E300" s="11"/>
      <c r="F300" s="11"/>
      <c r="G300" s="2"/>
      <c r="H300" s="18"/>
      <c r="I300" s="19"/>
      <c r="J300" s="18"/>
      <c r="K300" s="6"/>
      <c r="L300" s="14"/>
      <c r="M300" s="6"/>
      <c r="N300" s="6"/>
      <c r="O300" s="6"/>
      <c r="P300" s="13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15"/>
    </row>
    <row r="301" spans="1:31">
      <c r="A301" s="2"/>
      <c r="B301" s="2"/>
      <c r="C301" s="2"/>
      <c r="D301" s="2"/>
      <c r="E301" s="11"/>
      <c r="F301" s="11"/>
      <c r="G301" s="2"/>
      <c r="H301" s="18"/>
      <c r="I301" s="19"/>
      <c r="J301" s="18"/>
      <c r="K301" s="6"/>
      <c r="L301" s="14"/>
      <c r="M301" s="6"/>
      <c r="N301" s="6"/>
      <c r="O301" s="6"/>
      <c r="P301" s="13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15"/>
    </row>
    <row r="302" spans="1:31">
      <c r="A302" s="11"/>
      <c r="B302" s="11"/>
      <c r="C302" s="11"/>
      <c r="D302" s="11"/>
      <c r="E302" s="11"/>
      <c r="F302" s="11"/>
      <c r="G302" s="11"/>
      <c r="H302" s="26"/>
      <c r="I302" s="27"/>
      <c r="J302" s="26"/>
      <c r="K302" s="28"/>
      <c r="L302" s="29"/>
      <c r="M302" s="28"/>
      <c r="N302" s="28"/>
      <c r="O302" s="28"/>
      <c r="P302" s="30"/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8"/>
      <c r="AB302" s="28"/>
      <c r="AC302" s="28"/>
      <c r="AD302" s="28"/>
      <c r="AE302" s="15"/>
    </row>
    <row r="303" spans="1:31">
      <c r="A303" s="2"/>
      <c r="B303" s="2"/>
      <c r="C303" s="2"/>
      <c r="D303" s="2"/>
      <c r="E303" s="11"/>
      <c r="F303" s="11"/>
      <c r="G303" s="2"/>
      <c r="H303" s="18"/>
      <c r="I303" s="19"/>
      <c r="J303" s="18"/>
      <c r="K303" s="6"/>
      <c r="L303" s="14"/>
      <c r="M303" s="6"/>
      <c r="N303" s="6"/>
      <c r="O303" s="6"/>
      <c r="P303" s="13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15"/>
    </row>
    <row r="304" spans="1:31">
      <c r="A304" s="11"/>
      <c r="B304" s="2"/>
      <c r="C304" s="2"/>
      <c r="D304" s="2"/>
      <c r="E304" s="11"/>
      <c r="F304" s="11"/>
      <c r="G304" s="2"/>
      <c r="H304" s="18"/>
      <c r="I304" s="19"/>
      <c r="J304" s="18"/>
      <c r="K304" s="6"/>
      <c r="L304" s="14"/>
      <c r="M304" s="6"/>
      <c r="N304" s="6"/>
      <c r="O304" s="6"/>
      <c r="P304" s="13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15"/>
    </row>
    <row r="305" spans="1:31">
      <c r="A305" s="2"/>
      <c r="B305" s="2"/>
      <c r="C305" s="2"/>
      <c r="D305" s="2"/>
      <c r="E305" s="11"/>
      <c r="F305" s="11"/>
      <c r="G305" s="2"/>
      <c r="H305" s="18"/>
      <c r="I305" s="19"/>
      <c r="J305" s="18"/>
      <c r="K305" s="6"/>
      <c r="L305" s="14"/>
      <c r="M305" s="6"/>
      <c r="N305" s="6"/>
      <c r="O305" s="6"/>
      <c r="P305" s="13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15"/>
    </row>
    <row r="306" spans="1:31">
      <c r="A306" s="2"/>
      <c r="B306" s="2"/>
      <c r="C306" s="2"/>
      <c r="D306" s="2"/>
      <c r="E306" s="11"/>
      <c r="F306" s="11"/>
      <c r="G306" s="2"/>
      <c r="H306" s="18"/>
      <c r="I306" s="19"/>
      <c r="J306" s="18"/>
      <c r="K306" s="6"/>
      <c r="L306" s="14"/>
      <c r="M306" s="6"/>
      <c r="N306" s="6"/>
      <c r="O306" s="6"/>
      <c r="P306" s="13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15"/>
    </row>
    <row r="307" spans="1:31">
      <c r="A307" s="2"/>
      <c r="B307" s="2"/>
      <c r="C307" s="2"/>
      <c r="D307" s="2"/>
      <c r="E307" s="11"/>
      <c r="F307" s="11"/>
      <c r="G307" s="2"/>
      <c r="H307" s="18"/>
      <c r="I307" s="19"/>
      <c r="J307" s="18"/>
      <c r="K307" s="6"/>
      <c r="L307" s="14"/>
      <c r="M307" s="6"/>
      <c r="N307" s="6"/>
      <c r="O307" s="6"/>
      <c r="P307" s="13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15"/>
    </row>
    <row r="308" spans="1:31">
      <c r="A308" s="2"/>
      <c r="B308" s="2"/>
      <c r="C308" s="2"/>
      <c r="D308" s="2"/>
      <c r="E308" s="11"/>
      <c r="F308" s="11"/>
      <c r="G308" s="2"/>
      <c r="H308" s="18"/>
      <c r="I308" s="19"/>
      <c r="J308" s="18"/>
      <c r="K308" s="6"/>
      <c r="L308" s="14"/>
      <c r="M308" s="6"/>
      <c r="N308" s="6"/>
      <c r="O308" s="6"/>
      <c r="P308" s="13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15"/>
    </row>
    <row r="309" spans="1:31">
      <c r="A309" s="2"/>
      <c r="B309" s="2"/>
      <c r="C309" s="2"/>
      <c r="D309" s="2"/>
      <c r="E309" s="11"/>
      <c r="F309" s="11"/>
      <c r="G309" s="2"/>
      <c r="H309" s="18"/>
      <c r="I309" s="19"/>
      <c r="J309" s="18"/>
      <c r="K309" s="6"/>
      <c r="L309" s="14"/>
      <c r="M309" s="6"/>
      <c r="N309" s="6"/>
      <c r="O309" s="6"/>
      <c r="P309" s="13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15"/>
    </row>
    <row r="310" spans="1:31">
      <c r="A310" s="2"/>
      <c r="B310" s="2"/>
      <c r="C310" s="2"/>
      <c r="D310" s="2"/>
      <c r="E310" s="11"/>
      <c r="F310" s="11"/>
      <c r="G310" s="2"/>
      <c r="H310" s="18"/>
      <c r="I310" s="19"/>
      <c r="J310" s="18"/>
      <c r="K310" s="6"/>
      <c r="L310" s="14"/>
      <c r="M310" s="6"/>
      <c r="N310" s="6"/>
      <c r="O310" s="6"/>
      <c r="P310" s="13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15"/>
    </row>
    <row r="311" spans="1:31">
      <c r="A311" s="2"/>
      <c r="B311" s="2"/>
      <c r="C311" s="2"/>
      <c r="D311" s="2"/>
      <c r="E311" s="11"/>
      <c r="F311" s="11"/>
      <c r="G311" s="2"/>
      <c r="H311" s="18"/>
      <c r="I311" s="19"/>
      <c r="J311" s="18"/>
      <c r="K311" s="6"/>
      <c r="L311" s="14"/>
      <c r="M311" s="6"/>
      <c r="N311" s="6"/>
      <c r="O311" s="6"/>
      <c r="P311" s="13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15"/>
    </row>
    <row r="312" spans="1:31">
      <c r="A312" s="2"/>
      <c r="B312" s="2"/>
      <c r="C312" s="2"/>
      <c r="D312" s="2"/>
      <c r="E312" s="11"/>
      <c r="F312" s="11"/>
      <c r="G312" s="2"/>
      <c r="H312" s="18"/>
      <c r="I312" s="19"/>
      <c r="J312" s="18"/>
      <c r="K312" s="6"/>
      <c r="L312" s="14"/>
      <c r="M312" s="6"/>
      <c r="N312" s="6"/>
      <c r="O312" s="6"/>
      <c r="P312" s="13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15"/>
    </row>
    <row r="313" spans="1:31">
      <c r="A313" s="2"/>
      <c r="B313" s="2"/>
      <c r="C313" s="2"/>
      <c r="D313" s="2"/>
      <c r="E313" s="11"/>
      <c r="F313" s="11"/>
      <c r="G313" s="2"/>
      <c r="H313" s="18"/>
      <c r="I313" s="19"/>
      <c r="J313" s="18"/>
      <c r="K313" s="6"/>
      <c r="L313" s="14"/>
      <c r="M313" s="6"/>
      <c r="N313" s="6"/>
      <c r="O313" s="6"/>
      <c r="P313" s="13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15"/>
    </row>
    <row r="314" spans="1:31">
      <c r="A314" s="2"/>
      <c r="B314" s="2"/>
      <c r="C314" s="2"/>
      <c r="D314" s="2"/>
      <c r="E314" s="11"/>
      <c r="F314" s="11"/>
      <c r="G314" s="2"/>
      <c r="H314" s="18"/>
      <c r="I314" s="19"/>
      <c r="J314" s="18"/>
      <c r="K314" s="6"/>
      <c r="L314" s="14"/>
      <c r="M314" s="6"/>
      <c r="N314" s="6"/>
      <c r="O314" s="6"/>
      <c r="P314" s="13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15"/>
    </row>
    <row r="315" spans="1:31">
      <c r="A315" s="2"/>
      <c r="B315" s="2"/>
      <c r="C315" s="2"/>
      <c r="D315" s="2"/>
      <c r="E315" s="11"/>
      <c r="F315" s="11"/>
      <c r="G315" s="2"/>
      <c r="H315" s="18"/>
      <c r="I315" s="19"/>
      <c r="J315" s="18"/>
      <c r="K315" s="6"/>
      <c r="L315" s="14"/>
      <c r="M315" s="6"/>
      <c r="N315" s="6"/>
      <c r="O315" s="6"/>
      <c r="P315" s="13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15"/>
    </row>
    <row r="316" spans="1:31">
      <c r="A316" s="2"/>
      <c r="B316" s="2"/>
      <c r="C316" s="2"/>
      <c r="D316" s="2"/>
      <c r="E316" s="11"/>
      <c r="F316" s="11"/>
      <c r="G316" s="2"/>
      <c r="H316" s="18"/>
      <c r="I316" s="19"/>
      <c r="J316" s="18"/>
      <c r="K316" s="6"/>
      <c r="L316" s="14"/>
      <c r="M316" s="6"/>
      <c r="N316" s="6"/>
      <c r="O316" s="6"/>
      <c r="P316" s="13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15"/>
    </row>
    <row r="317" spans="1:31">
      <c r="A317" s="2"/>
      <c r="B317" s="2"/>
      <c r="C317" s="2"/>
      <c r="D317" s="2"/>
      <c r="E317" s="11"/>
      <c r="F317" s="11"/>
      <c r="G317" s="2"/>
      <c r="H317" s="18"/>
      <c r="I317" s="19"/>
      <c r="J317" s="18"/>
      <c r="K317" s="6"/>
      <c r="L317" s="14"/>
      <c r="M317" s="6"/>
      <c r="N317" s="6"/>
      <c r="O317" s="6"/>
      <c r="P317" s="13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15"/>
    </row>
    <row r="318" spans="1:31">
      <c r="A318" s="11"/>
      <c r="B318" s="2"/>
      <c r="C318" s="2"/>
      <c r="D318" s="2"/>
      <c r="E318" s="11"/>
      <c r="F318" s="11"/>
      <c r="G318" s="2"/>
      <c r="H318" s="18"/>
      <c r="I318" s="19"/>
      <c r="J318" s="18"/>
      <c r="K318" s="6"/>
      <c r="L318" s="14"/>
      <c r="M318" s="6"/>
      <c r="N318" s="6"/>
      <c r="O318" s="6"/>
      <c r="P318" s="13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15"/>
    </row>
    <row r="319" spans="1:31">
      <c r="A319" s="2"/>
      <c r="B319" s="2"/>
      <c r="C319" s="2"/>
      <c r="D319" s="2"/>
      <c r="E319" s="11"/>
      <c r="F319" s="11"/>
      <c r="G319" s="2"/>
      <c r="H319" s="18"/>
      <c r="I319" s="19"/>
      <c r="J319" s="18"/>
      <c r="K319" s="6"/>
      <c r="L319" s="14"/>
      <c r="M319" s="6"/>
      <c r="N319" s="6"/>
      <c r="O319" s="6"/>
      <c r="P319" s="13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15"/>
    </row>
    <row r="320" spans="1:31">
      <c r="A320" s="2"/>
      <c r="B320" s="2"/>
      <c r="C320" s="2"/>
      <c r="D320" s="2"/>
      <c r="E320" s="11"/>
      <c r="F320" s="11"/>
      <c r="G320" s="2"/>
      <c r="H320" s="18"/>
      <c r="I320" s="19"/>
      <c r="J320" s="18"/>
      <c r="K320" s="6"/>
      <c r="L320" s="14"/>
      <c r="M320" s="6"/>
      <c r="N320" s="6"/>
      <c r="O320" s="6"/>
      <c r="P320" s="13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15"/>
    </row>
    <row r="321" spans="1:31">
      <c r="A321" s="2"/>
      <c r="B321" s="2"/>
      <c r="C321" s="2"/>
      <c r="D321" s="2"/>
      <c r="E321" s="11"/>
      <c r="F321" s="11"/>
      <c r="G321" s="2"/>
      <c r="H321" s="18"/>
      <c r="I321" s="19"/>
      <c r="J321" s="18"/>
      <c r="K321" s="6"/>
      <c r="L321" s="14"/>
      <c r="M321" s="6"/>
      <c r="N321" s="6"/>
      <c r="O321" s="6"/>
      <c r="P321" s="13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15"/>
    </row>
    <row r="322" spans="1:31">
      <c r="A322" s="2"/>
      <c r="B322" s="2"/>
      <c r="C322" s="2"/>
      <c r="D322" s="2"/>
      <c r="E322" s="11"/>
      <c r="F322" s="11"/>
      <c r="G322" s="2"/>
      <c r="H322" s="18"/>
      <c r="I322" s="19"/>
      <c r="J322" s="18"/>
      <c r="K322" s="6"/>
      <c r="L322" s="14"/>
      <c r="M322" s="6"/>
      <c r="N322" s="6"/>
      <c r="O322" s="6"/>
      <c r="P322" s="13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15"/>
    </row>
    <row r="323" spans="1:31">
      <c r="A323" s="2"/>
      <c r="B323" s="2"/>
      <c r="C323" s="2"/>
      <c r="D323" s="2"/>
      <c r="E323" s="11"/>
      <c r="F323" s="11"/>
      <c r="G323" s="2"/>
      <c r="H323" s="18"/>
      <c r="I323" s="19"/>
      <c r="J323" s="18"/>
      <c r="K323" s="6"/>
      <c r="L323" s="14"/>
      <c r="M323" s="6"/>
      <c r="N323" s="6"/>
      <c r="O323" s="6"/>
      <c r="P323" s="13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15"/>
    </row>
    <row r="324" spans="1:31">
      <c r="A324" s="2"/>
      <c r="B324" s="2"/>
      <c r="C324" s="2"/>
      <c r="D324" s="2"/>
      <c r="E324" s="11"/>
      <c r="F324" s="11"/>
      <c r="G324" s="2"/>
      <c r="H324" s="18"/>
      <c r="I324" s="19"/>
      <c r="J324" s="18"/>
      <c r="K324" s="6"/>
      <c r="L324" s="14"/>
      <c r="M324" s="6"/>
      <c r="N324" s="6"/>
      <c r="O324" s="6"/>
      <c r="P324" s="13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15"/>
    </row>
    <row r="325" spans="1:31">
      <c r="A325" s="2"/>
      <c r="B325" s="2"/>
      <c r="C325" s="2"/>
      <c r="D325" s="2"/>
      <c r="E325" s="11"/>
      <c r="F325" s="11"/>
      <c r="G325" s="2"/>
      <c r="H325" s="18"/>
      <c r="I325" s="19"/>
      <c r="J325" s="18"/>
      <c r="K325" s="6"/>
      <c r="L325" s="14"/>
      <c r="M325" s="6"/>
      <c r="N325" s="6"/>
      <c r="O325" s="6"/>
      <c r="P325" s="13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15"/>
    </row>
    <row r="326" spans="1:31">
      <c r="A326" s="2"/>
      <c r="B326" s="2"/>
      <c r="C326" s="2"/>
      <c r="D326" s="2"/>
      <c r="E326" s="11"/>
      <c r="F326" s="11"/>
      <c r="G326" s="2"/>
      <c r="H326" s="18"/>
      <c r="I326" s="19"/>
      <c r="J326" s="18"/>
      <c r="K326" s="6"/>
      <c r="L326" s="14"/>
      <c r="M326" s="6"/>
      <c r="N326" s="6"/>
      <c r="O326" s="6"/>
      <c r="P326" s="13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15"/>
    </row>
    <row r="327" spans="1:31">
      <c r="A327" s="2"/>
      <c r="B327" s="2"/>
      <c r="C327" s="2"/>
      <c r="D327" s="2"/>
      <c r="E327" s="11"/>
      <c r="F327" s="11"/>
      <c r="G327" s="2"/>
      <c r="H327" s="18"/>
      <c r="I327" s="19"/>
      <c r="J327" s="18"/>
      <c r="K327" s="6"/>
      <c r="L327" s="14"/>
      <c r="M327" s="6"/>
      <c r="N327" s="6"/>
      <c r="O327" s="6"/>
      <c r="P327" s="13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15"/>
    </row>
    <row r="328" spans="1:31">
      <c r="A328" s="2"/>
      <c r="B328" s="2"/>
      <c r="C328" s="2"/>
      <c r="D328" s="2"/>
      <c r="E328" s="11"/>
      <c r="F328" s="11"/>
      <c r="G328" s="2"/>
      <c r="H328" s="18"/>
      <c r="I328" s="19"/>
      <c r="J328" s="18"/>
      <c r="K328" s="6"/>
      <c r="L328" s="14"/>
      <c r="M328" s="6"/>
      <c r="N328" s="6"/>
      <c r="O328" s="6"/>
      <c r="P328" s="13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15"/>
    </row>
    <row r="329" spans="1:31">
      <c r="A329" s="2"/>
      <c r="B329" s="2"/>
      <c r="C329" s="2"/>
      <c r="D329" s="2"/>
      <c r="E329" s="11"/>
      <c r="F329" s="11"/>
      <c r="G329" s="2"/>
      <c r="H329" s="18"/>
      <c r="I329" s="19"/>
      <c r="J329" s="18"/>
      <c r="K329" s="6"/>
      <c r="L329" s="14"/>
      <c r="M329" s="6"/>
      <c r="N329" s="6"/>
      <c r="O329" s="6"/>
      <c r="P329" s="13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15"/>
    </row>
    <row r="330" spans="1:31">
      <c r="A330" s="2"/>
      <c r="B330" s="2"/>
      <c r="C330" s="2"/>
      <c r="D330" s="2"/>
      <c r="E330" s="11"/>
      <c r="F330" s="11"/>
      <c r="G330" s="2"/>
      <c r="H330" s="18"/>
      <c r="I330" s="19"/>
      <c r="J330" s="18"/>
      <c r="K330" s="6"/>
      <c r="L330" s="14"/>
      <c r="M330" s="6"/>
      <c r="N330" s="6"/>
      <c r="O330" s="6"/>
      <c r="P330" s="13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15"/>
    </row>
    <row r="331" spans="1:31">
      <c r="A331" s="2"/>
      <c r="B331" s="2"/>
      <c r="C331" s="2"/>
      <c r="D331" s="2"/>
      <c r="E331" s="11"/>
      <c r="F331" s="11"/>
      <c r="G331" s="2"/>
      <c r="H331" s="18"/>
      <c r="I331" s="19"/>
      <c r="J331" s="18"/>
      <c r="K331" s="6"/>
      <c r="L331" s="14"/>
      <c r="M331" s="6"/>
      <c r="N331" s="6"/>
      <c r="O331" s="6"/>
      <c r="P331" s="13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15"/>
    </row>
    <row r="332" spans="1:31">
      <c r="A332" s="2"/>
      <c r="B332" s="2"/>
      <c r="C332" s="2"/>
      <c r="D332" s="2"/>
      <c r="E332" s="11"/>
      <c r="F332" s="11"/>
      <c r="G332" s="2"/>
      <c r="H332" s="18"/>
      <c r="I332" s="19"/>
      <c r="J332" s="18"/>
      <c r="K332" s="6"/>
      <c r="L332" s="14"/>
      <c r="M332" s="6"/>
      <c r="N332" s="6"/>
      <c r="O332" s="6"/>
      <c r="P332" s="13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15"/>
    </row>
    <row r="333" spans="1:31">
      <c r="A333" s="2"/>
      <c r="B333" s="2"/>
      <c r="C333" s="2"/>
      <c r="D333" s="2"/>
      <c r="E333" s="11"/>
      <c r="F333" s="11"/>
      <c r="G333" s="2"/>
      <c r="H333" s="18"/>
      <c r="I333" s="19"/>
      <c r="J333" s="18"/>
      <c r="K333" s="6"/>
      <c r="L333" s="14"/>
      <c r="M333" s="6"/>
      <c r="N333" s="6"/>
      <c r="O333" s="6"/>
      <c r="P333" s="13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15"/>
    </row>
    <row r="334" spans="1:31">
      <c r="A334" s="2"/>
      <c r="B334" s="2"/>
      <c r="C334" s="2"/>
      <c r="D334" s="2"/>
      <c r="E334" s="11"/>
      <c r="F334" s="11"/>
      <c r="G334" s="2"/>
      <c r="H334" s="18"/>
      <c r="I334" s="19"/>
      <c r="J334" s="18"/>
      <c r="K334" s="6"/>
      <c r="L334" s="14"/>
      <c r="M334" s="6"/>
      <c r="N334" s="6"/>
      <c r="O334" s="6"/>
      <c r="P334" s="13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15"/>
    </row>
    <row r="335" spans="1:31">
      <c r="A335" s="2"/>
      <c r="B335" s="2"/>
      <c r="C335" s="2"/>
      <c r="D335" s="2"/>
      <c r="E335" s="11"/>
      <c r="F335" s="11"/>
      <c r="G335" s="2"/>
      <c r="H335" s="18"/>
      <c r="I335" s="19"/>
      <c r="J335" s="18"/>
      <c r="K335" s="6"/>
      <c r="L335" s="14"/>
      <c r="M335" s="6"/>
      <c r="N335" s="6"/>
      <c r="O335" s="6"/>
      <c r="P335" s="13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15"/>
    </row>
    <row r="336" spans="1:31">
      <c r="A336" s="2"/>
      <c r="B336" s="2"/>
      <c r="C336" s="2"/>
      <c r="D336" s="2"/>
      <c r="E336" s="11"/>
      <c r="F336" s="11"/>
      <c r="G336" s="2"/>
      <c r="H336" s="18"/>
      <c r="I336" s="19"/>
      <c r="J336" s="18"/>
      <c r="K336" s="6"/>
      <c r="L336" s="14"/>
      <c r="M336" s="6"/>
      <c r="N336" s="6"/>
      <c r="O336" s="6"/>
      <c r="P336" s="13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15"/>
    </row>
    <row r="337" spans="1:31">
      <c r="A337" s="2"/>
      <c r="B337" s="2"/>
      <c r="C337" s="2"/>
      <c r="D337" s="2"/>
      <c r="E337" s="11"/>
      <c r="F337" s="11"/>
      <c r="G337" s="2"/>
      <c r="H337" s="18"/>
      <c r="I337" s="19"/>
      <c r="J337" s="18"/>
      <c r="K337" s="6"/>
      <c r="L337" s="14"/>
      <c r="M337" s="6"/>
      <c r="N337" s="6"/>
      <c r="O337" s="6"/>
      <c r="P337" s="13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15"/>
    </row>
    <row r="338" spans="1:31">
      <c r="A338" s="2"/>
      <c r="B338" s="2"/>
      <c r="C338" s="2"/>
      <c r="D338" s="2"/>
      <c r="E338" s="11"/>
      <c r="F338" s="11"/>
      <c r="G338" s="2"/>
      <c r="H338" s="18"/>
      <c r="I338" s="19"/>
      <c r="J338" s="18"/>
      <c r="K338" s="6"/>
      <c r="L338" s="14"/>
      <c r="M338" s="6"/>
      <c r="N338" s="6"/>
      <c r="O338" s="6"/>
      <c r="P338" s="13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15"/>
    </row>
    <row r="339" spans="1:31">
      <c r="A339" s="2"/>
      <c r="B339" s="2"/>
      <c r="C339" s="2"/>
      <c r="D339" s="2"/>
      <c r="E339" s="11"/>
      <c r="F339" s="11"/>
      <c r="G339" s="2"/>
      <c r="H339" s="18"/>
      <c r="I339" s="19"/>
      <c r="J339" s="18"/>
      <c r="K339" s="6"/>
      <c r="L339" s="14"/>
      <c r="M339" s="6"/>
      <c r="N339" s="6"/>
      <c r="O339" s="6"/>
      <c r="P339" s="13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15"/>
    </row>
    <row r="340" spans="1:31">
      <c r="A340" s="2"/>
      <c r="B340" s="2"/>
      <c r="C340" s="2"/>
      <c r="D340" s="2"/>
      <c r="E340" s="11"/>
      <c r="F340" s="11"/>
      <c r="G340" s="2"/>
      <c r="H340" s="18"/>
      <c r="I340" s="19"/>
      <c r="J340" s="18"/>
      <c r="K340" s="6"/>
      <c r="L340" s="14"/>
      <c r="M340" s="6"/>
      <c r="N340" s="6"/>
      <c r="O340" s="6"/>
      <c r="P340" s="13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15"/>
    </row>
    <row r="341" spans="1:31">
      <c r="A341" s="2"/>
      <c r="B341" s="2"/>
      <c r="C341" s="2"/>
      <c r="D341" s="2"/>
      <c r="E341" s="11"/>
      <c r="F341" s="11"/>
      <c r="G341" s="2"/>
      <c r="H341" s="18"/>
      <c r="I341" s="19"/>
      <c r="J341" s="18"/>
      <c r="K341" s="6"/>
      <c r="L341" s="14"/>
      <c r="M341" s="6"/>
      <c r="N341" s="6"/>
      <c r="O341" s="6"/>
      <c r="P341" s="13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15"/>
    </row>
    <row r="342" spans="1:31">
      <c r="A342" s="2"/>
      <c r="B342" s="2"/>
      <c r="C342" s="2"/>
      <c r="D342" s="2"/>
      <c r="E342" s="11"/>
      <c r="F342" s="11"/>
      <c r="G342" s="2"/>
      <c r="H342" s="18"/>
      <c r="I342" s="19"/>
      <c r="J342" s="18"/>
      <c r="K342" s="6"/>
      <c r="L342" s="14"/>
      <c r="M342" s="6"/>
      <c r="N342" s="6"/>
      <c r="O342" s="6"/>
      <c r="P342" s="13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15"/>
    </row>
    <row r="343" spans="1:31">
      <c r="A343" s="2"/>
      <c r="B343" s="2"/>
      <c r="C343" s="2"/>
      <c r="D343" s="2"/>
      <c r="E343" s="11"/>
      <c r="F343" s="11"/>
      <c r="G343" s="2"/>
      <c r="H343" s="18"/>
      <c r="I343" s="19"/>
      <c r="J343" s="18"/>
      <c r="K343" s="6"/>
      <c r="L343" s="14"/>
      <c r="M343" s="6"/>
      <c r="N343" s="6"/>
      <c r="O343" s="6"/>
      <c r="P343" s="13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15"/>
    </row>
    <row r="344" spans="1:31">
      <c r="A344" s="2"/>
      <c r="B344" s="2"/>
      <c r="C344" s="2"/>
      <c r="D344" s="2"/>
      <c r="E344" s="11"/>
      <c r="F344" s="11"/>
      <c r="G344" s="2"/>
      <c r="H344" s="18"/>
      <c r="I344" s="19"/>
      <c r="J344" s="18"/>
      <c r="K344" s="6"/>
      <c r="L344" s="14"/>
      <c r="M344" s="6"/>
      <c r="N344" s="6"/>
      <c r="O344" s="6"/>
      <c r="P344" s="13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15"/>
    </row>
    <row r="345" spans="1:31">
      <c r="A345" s="2"/>
      <c r="B345" s="2"/>
      <c r="C345" s="2"/>
      <c r="D345" s="2"/>
      <c r="E345" s="11"/>
      <c r="F345" s="11"/>
      <c r="G345" s="2"/>
      <c r="H345" s="18"/>
      <c r="I345" s="19"/>
      <c r="J345" s="18"/>
      <c r="K345" s="6"/>
      <c r="L345" s="14"/>
      <c r="M345" s="6"/>
      <c r="N345" s="6"/>
      <c r="O345" s="6"/>
      <c r="P345" s="13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15"/>
    </row>
    <row r="346" spans="1:31">
      <c r="A346" s="2"/>
      <c r="B346" s="2"/>
      <c r="C346" s="2"/>
      <c r="D346" s="2"/>
      <c r="E346" s="11"/>
      <c r="F346" s="11"/>
      <c r="G346" s="2"/>
      <c r="H346" s="18"/>
      <c r="I346" s="19"/>
      <c r="J346" s="18"/>
      <c r="K346" s="6"/>
      <c r="L346" s="14"/>
      <c r="M346" s="6"/>
      <c r="N346" s="6"/>
      <c r="O346" s="6"/>
      <c r="P346" s="13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15"/>
    </row>
    <row r="347" spans="1:31">
      <c r="A347" s="2"/>
      <c r="B347" s="2"/>
      <c r="C347" s="2"/>
      <c r="D347" s="2"/>
      <c r="E347" s="11"/>
      <c r="F347" s="11"/>
      <c r="G347" s="2"/>
      <c r="H347" s="18"/>
      <c r="I347" s="19"/>
      <c r="J347" s="18"/>
      <c r="K347" s="6"/>
      <c r="L347" s="14"/>
      <c r="M347" s="6"/>
      <c r="N347" s="6"/>
      <c r="O347" s="6"/>
      <c r="P347" s="13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15"/>
    </row>
    <row r="348" spans="1:31">
      <c r="A348" s="2"/>
      <c r="B348" s="2"/>
      <c r="C348" s="2"/>
      <c r="D348" s="2"/>
      <c r="E348" s="11"/>
      <c r="F348" s="11"/>
      <c r="G348" s="2"/>
      <c r="H348" s="18"/>
      <c r="I348" s="19"/>
      <c r="J348" s="18"/>
      <c r="K348" s="6"/>
      <c r="L348" s="14"/>
      <c r="M348" s="6"/>
      <c r="N348" s="6"/>
      <c r="O348" s="6"/>
      <c r="P348" s="13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15"/>
    </row>
    <row r="349" spans="1:31">
      <c r="A349" s="2"/>
      <c r="B349" s="2"/>
      <c r="C349" s="2"/>
      <c r="D349" s="2"/>
      <c r="E349" s="11"/>
      <c r="F349" s="11"/>
      <c r="G349" s="2"/>
      <c r="H349" s="18"/>
      <c r="I349" s="19"/>
      <c r="J349" s="18"/>
      <c r="K349" s="6"/>
      <c r="L349" s="14"/>
      <c r="M349" s="6"/>
      <c r="N349" s="6"/>
      <c r="O349" s="6"/>
      <c r="P349" s="13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15"/>
    </row>
    <row r="350" spans="1:31">
      <c r="A350" s="2"/>
      <c r="B350" s="2"/>
      <c r="C350" s="2"/>
      <c r="D350" s="2"/>
      <c r="E350" s="11"/>
      <c r="F350" s="11"/>
      <c r="G350" s="2"/>
      <c r="H350" s="18"/>
      <c r="I350" s="19"/>
      <c r="J350" s="18"/>
      <c r="K350" s="6"/>
      <c r="L350" s="14"/>
      <c r="M350" s="6"/>
      <c r="N350" s="6"/>
      <c r="O350" s="6"/>
      <c r="P350" s="13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15"/>
    </row>
    <row r="351" spans="1:31">
      <c r="A351" s="2"/>
      <c r="B351" s="2"/>
      <c r="C351" s="2"/>
      <c r="D351" s="2"/>
      <c r="E351" s="11"/>
      <c r="F351" s="11"/>
      <c r="G351" s="2"/>
      <c r="H351" s="18"/>
      <c r="I351" s="19"/>
      <c r="J351" s="18"/>
      <c r="K351" s="6"/>
      <c r="L351" s="14"/>
      <c r="M351" s="6"/>
      <c r="N351" s="6"/>
      <c r="O351" s="6"/>
      <c r="P351" s="13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15"/>
    </row>
    <row r="352" spans="1:31">
      <c r="A352" s="2"/>
      <c r="B352" s="2"/>
      <c r="C352" s="2"/>
      <c r="D352" s="2"/>
      <c r="E352" s="11"/>
      <c r="F352" s="11"/>
      <c r="G352" s="2"/>
      <c r="H352" s="18"/>
      <c r="I352" s="19"/>
      <c r="J352" s="18"/>
      <c r="K352" s="6"/>
      <c r="L352" s="14"/>
      <c r="M352" s="6"/>
      <c r="N352" s="6"/>
      <c r="O352" s="6"/>
      <c r="P352" s="13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15"/>
    </row>
    <row r="353" spans="1:31">
      <c r="A353" s="2"/>
      <c r="B353" s="2"/>
      <c r="C353" s="2"/>
      <c r="D353" s="2"/>
      <c r="E353" s="11"/>
      <c r="F353" s="11"/>
      <c r="G353" s="2"/>
      <c r="H353" s="18"/>
      <c r="I353" s="19"/>
      <c r="J353" s="18"/>
      <c r="K353" s="6"/>
      <c r="L353" s="14"/>
      <c r="M353" s="6"/>
      <c r="N353" s="6"/>
      <c r="O353" s="6"/>
      <c r="P353" s="13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15"/>
    </row>
    <row r="354" spans="1:31">
      <c r="A354" s="2"/>
      <c r="B354" s="2"/>
      <c r="C354" s="2"/>
      <c r="D354" s="2"/>
      <c r="E354" s="11"/>
      <c r="F354" s="11"/>
      <c r="G354" s="2"/>
      <c r="H354" s="18"/>
      <c r="I354" s="19"/>
      <c r="J354" s="18"/>
      <c r="K354" s="6"/>
      <c r="L354" s="14"/>
      <c r="M354" s="6"/>
      <c r="N354" s="6"/>
      <c r="O354" s="6"/>
      <c r="P354" s="13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15"/>
    </row>
    <row r="355" spans="1:31">
      <c r="A355" s="2"/>
      <c r="B355" s="2"/>
      <c r="C355" s="2"/>
      <c r="D355" s="2"/>
      <c r="E355" s="11"/>
      <c r="F355" s="11"/>
      <c r="G355" s="2"/>
      <c r="H355" s="18"/>
      <c r="I355" s="19"/>
      <c r="J355" s="18"/>
      <c r="K355" s="6"/>
      <c r="L355" s="14"/>
      <c r="M355" s="6"/>
      <c r="N355" s="6"/>
      <c r="O355" s="6"/>
      <c r="P355" s="13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15"/>
    </row>
    <row r="356" spans="1:31">
      <c r="A356" s="2"/>
      <c r="B356" s="2"/>
      <c r="C356" s="2"/>
      <c r="D356" s="2"/>
      <c r="E356" s="11"/>
      <c r="F356" s="11"/>
      <c r="G356" s="2"/>
      <c r="H356" s="18"/>
      <c r="I356" s="19"/>
      <c r="J356" s="18"/>
      <c r="K356" s="6"/>
      <c r="L356" s="14"/>
      <c r="M356" s="6"/>
      <c r="N356" s="6"/>
      <c r="O356" s="6"/>
      <c r="P356" s="13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15"/>
    </row>
    <row r="357" spans="1:31">
      <c r="A357" s="2"/>
      <c r="B357" s="2"/>
      <c r="C357" s="2"/>
      <c r="D357" s="2"/>
      <c r="E357" s="11"/>
      <c r="F357" s="11"/>
      <c r="G357" s="2"/>
      <c r="H357" s="18"/>
      <c r="I357" s="19"/>
      <c r="J357" s="18"/>
      <c r="K357" s="6"/>
      <c r="L357" s="14"/>
      <c r="M357" s="6"/>
      <c r="N357" s="6"/>
      <c r="O357" s="6"/>
      <c r="P357" s="13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15"/>
    </row>
    <row r="358" spans="1:31">
      <c r="A358" s="11"/>
      <c r="B358" s="2"/>
      <c r="C358" s="2"/>
      <c r="D358" s="2"/>
      <c r="E358" s="11"/>
      <c r="F358" s="11"/>
      <c r="G358" s="2"/>
      <c r="H358" s="18"/>
      <c r="I358" s="19"/>
      <c r="J358" s="18"/>
      <c r="K358" s="6"/>
      <c r="L358" s="14"/>
      <c r="M358" s="6"/>
      <c r="N358" s="6"/>
      <c r="O358" s="6"/>
      <c r="P358" s="13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15"/>
    </row>
    <row r="359" spans="1:31">
      <c r="A359" s="2"/>
      <c r="B359" s="2"/>
      <c r="C359" s="2"/>
      <c r="D359" s="2"/>
      <c r="E359" s="11"/>
      <c r="F359" s="11"/>
      <c r="G359" s="2"/>
      <c r="H359" s="18"/>
      <c r="I359" s="19"/>
      <c r="J359" s="18"/>
      <c r="K359" s="6"/>
      <c r="L359" s="14"/>
      <c r="M359" s="6"/>
      <c r="N359" s="6"/>
      <c r="O359" s="6"/>
      <c r="P359" s="13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15"/>
    </row>
    <row r="360" spans="1:31">
      <c r="A360" s="2"/>
      <c r="B360" s="2"/>
      <c r="C360" s="2"/>
      <c r="D360" s="2"/>
      <c r="E360" s="11"/>
      <c r="F360" s="11"/>
      <c r="G360" s="2"/>
      <c r="H360" s="18"/>
      <c r="I360" s="19"/>
      <c r="J360" s="18"/>
      <c r="K360" s="6"/>
      <c r="L360" s="14"/>
      <c r="M360" s="6"/>
      <c r="N360" s="6"/>
      <c r="O360" s="6"/>
      <c r="P360" s="13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15"/>
    </row>
    <row r="361" spans="1:31">
      <c r="A361" s="2"/>
      <c r="B361" s="2"/>
      <c r="C361" s="2"/>
      <c r="D361" s="2"/>
      <c r="E361" s="11"/>
      <c r="F361" s="11"/>
      <c r="G361" s="2"/>
      <c r="H361" s="18"/>
      <c r="I361" s="19"/>
      <c r="J361" s="18"/>
      <c r="K361" s="6"/>
      <c r="L361" s="14"/>
      <c r="M361" s="6"/>
      <c r="N361" s="6"/>
      <c r="O361" s="6"/>
      <c r="P361" s="13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15"/>
    </row>
    <row r="362" spans="1:31">
      <c r="A362" s="2"/>
      <c r="B362" s="2"/>
      <c r="C362" s="2"/>
      <c r="D362" s="2"/>
      <c r="E362" s="11"/>
      <c r="F362" s="11"/>
      <c r="G362" s="2"/>
      <c r="H362" s="18"/>
      <c r="I362" s="19"/>
      <c r="J362" s="18"/>
      <c r="K362" s="6"/>
      <c r="L362" s="14"/>
      <c r="M362" s="6"/>
      <c r="N362" s="6"/>
      <c r="O362" s="6"/>
      <c r="P362" s="13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15"/>
    </row>
    <row r="363" spans="1:31">
      <c r="A363" s="2"/>
      <c r="B363" s="2"/>
      <c r="C363" s="2"/>
      <c r="D363" s="2"/>
      <c r="E363" s="11"/>
      <c r="F363" s="11"/>
      <c r="G363" s="2"/>
      <c r="H363" s="18"/>
      <c r="I363" s="19"/>
      <c r="J363" s="18"/>
      <c r="K363" s="6"/>
      <c r="L363" s="14"/>
      <c r="M363" s="6"/>
      <c r="N363" s="6"/>
      <c r="O363" s="6"/>
      <c r="P363" s="13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15"/>
    </row>
    <row r="364" spans="1:31">
      <c r="A364" s="2"/>
      <c r="B364" s="2"/>
      <c r="C364" s="2"/>
      <c r="D364" s="2"/>
      <c r="E364" s="11"/>
      <c r="F364" s="11"/>
      <c r="G364" s="2"/>
      <c r="H364" s="18"/>
      <c r="I364" s="19"/>
      <c r="J364" s="18"/>
      <c r="K364" s="6"/>
      <c r="L364" s="14"/>
      <c r="M364" s="6"/>
      <c r="N364" s="6"/>
      <c r="O364" s="6"/>
      <c r="P364" s="13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15"/>
    </row>
    <row r="365" spans="1:31">
      <c r="A365" s="2"/>
      <c r="B365" s="2"/>
      <c r="C365" s="2"/>
      <c r="D365" s="2"/>
      <c r="E365" s="11"/>
      <c r="F365" s="11"/>
      <c r="G365" s="2"/>
      <c r="H365" s="18"/>
      <c r="I365" s="19"/>
      <c r="J365" s="18"/>
      <c r="K365" s="6"/>
      <c r="L365" s="14"/>
      <c r="M365" s="6"/>
      <c r="N365" s="6"/>
      <c r="O365" s="6"/>
      <c r="P365" s="13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15"/>
    </row>
    <row r="366" spans="1:31">
      <c r="A366" s="2"/>
      <c r="B366" s="2"/>
      <c r="C366" s="2"/>
      <c r="D366" s="2"/>
      <c r="E366" s="11"/>
      <c r="F366" s="11"/>
      <c r="G366" s="2"/>
      <c r="H366" s="18"/>
      <c r="I366" s="19"/>
      <c r="J366" s="18"/>
      <c r="K366" s="6"/>
      <c r="L366" s="14"/>
      <c r="M366" s="6"/>
      <c r="N366" s="6"/>
      <c r="O366" s="6"/>
      <c r="P366" s="13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15"/>
    </row>
    <row r="367" spans="1:31">
      <c r="A367" s="2"/>
      <c r="B367" s="2"/>
      <c r="C367" s="2"/>
      <c r="D367" s="2"/>
      <c r="E367" s="11"/>
      <c r="F367" s="11"/>
      <c r="G367" s="2"/>
      <c r="H367" s="18"/>
      <c r="I367" s="19"/>
      <c r="J367" s="18"/>
      <c r="K367" s="6"/>
      <c r="L367" s="14"/>
      <c r="M367" s="6"/>
      <c r="N367" s="6"/>
      <c r="O367" s="6"/>
      <c r="P367" s="13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15"/>
    </row>
    <row r="368" spans="1:31">
      <c r="A368" s="2"/>
      <c r="B368" s="2"/>
      <c r="C368" s="2"/>
      <c r="D368" s="2"/>
      <c r="E368" s="11"/>
      <c r="F368" s="11"/>
      <c r="G368" s="2"/>
      <c r="H368" s="18"/>
      <c r="I368" s="19"/>
      <c r="J368" s="18"/>
      <c r="K368" s="6"/>
      <c r="L368" s="14"/>
      <c r="M368" s="6"/>
      <c r="N368" s="6"/>
      <c r="O368" s="6"/>
      <c r="P368" s="13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15"/>
    </row>
    <row r="369" spans="1:31">
      <c r="A369" s="2"/>
      <c r="B369" s="2"/>
      <c r="C369" s="2"/>
      <c r="D369" s="2"/>
      <c r="E369" s="11"/>
      <c r="F369" s="11"/>
      <c r="G369" s="2"/>
      <c r="H369" s="18"/>
      <c r="I369" s="19"/>
      <c r="J369" s="18"/>
      <c r="K369" s="6"/>
      <c r="L369" s="14"/>
      <c r="M369" s="6"/>
      <c r="N369" s="6"/>
      <c r="O369" s="6"/>
      <c r="P369" s="13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15"/>
    </row>
    <row r="370" spans="1:31">
      <c r="A370" s="2"/>
      <c r="B370" s="2"/>
      <c r="C370" s="2"/>
      <c r="D370" s="2"/>
      <c r="E370" s="11"/>
      <c r="F370" s="11"/>
      <c r="G370" s="2"/>
      <c r="H370" s="18"/>
      <c r="I370" s="19"/>
      <c r="J370" s="18"/>
      <c r="K370" s="6"/>
      <c r="L370" s="14"/>
      <c r="M370" s="6"/>
      <c r="N370" s="6"/>
      <c r="O370" s="6"/>
      <c r="P370" s="13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15"/>
    </row>
    <row r="371" spans="1:31">
      <c r="A371" s="2"/>
      <c r="B371" s="2"/>
      <c r="C371" s="2"/>
      <c r="D371" s="2"/>
      <c r="E371" s="11"/>
      <c r="F371" s="11"/>
      <c r="G371" s="2"/>
      <c r="H371" s="18"/>
      <c r="I371" s="19"/>
      <c r="J371" s="18"/>
      <c r="K371" s="6"/>
      <c r="L371" s="14"/>
      <c r="M371" s="6"/>
      <c r="N371" s="6"/>
      <c r="O371" s="6"/>
      <c r="P371" s="13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15"/>
    </row>
    <row r="372" spans="1:31">
      <c r="A372" s="2"/>
      <c r="B372" s="2"/>
      <c r="C372" s="2"/>
      <c r="D372" s="2"/>
      <c r="E372" s="11"/>
      <c r="F372" s="11"/>
      <c r="G372" s="2"/>
      <c r="H372" s="18"/>
      <c r="I372" s="19"/>
      <c r="J372" s="18"/>
      <c r="K372" s="6"/>
      <c r="L372" s="14"/>
      <c r="M372" s="6"/>
      <c r="N372" s="6"/>
      <c r="O372" s="6"/>
      <c r="P372" s="13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15"/>
    </row>
    <row r="373" spans="1:31">
      <c r="A373" s="2"/>
      <c r="B373" s="2"/>
      <c r="C373" s="2"/>
      <c r="D373" s="2"/>
      <c r="E373" s="11"/>
      <c r="F373" s="11"/>
      <c r="G373" s="2"/>
      <c r="H373" s="18"/>
      <c r="I373" s="19"/>
      <c r="J373" s="18"/>
      <c r="K373" s="6"/>
      <c r="L373" s="14"/>
      <c r="M373" s="6"/>
      <c r="N373" s="6"/>
      <c r="O373" s="6"/>
      <c r="P373" s="13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15"/>
    </row>
    <row r="374" spans="1:31">
      <c r="A374" s="2"/>
      <c r="B374" s="2"/>
      <c r="C374" s="2"/>
      <c r="D374" s="2"/>
      <c r="E374" s="11"/>
      <c r="F374" s="11"/>
      <c r="G374" s="2"/>
      <c r="H374" s="18"/>
      <c r="I374" s="19"/>
      <c r="J374" s="18"/>
      <c r="K374" s="6"/>
      <c r="L374" s="14"/>
      <c r="M374" s="6"/>
      <c r="N374" s="6"/>
      <c r="O374" s="6"/>
      <c r="P374" s="13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15"/>
    </row>
    <row r="375" spans="1:31">
      <c r="A375" s="2"/>
      <c r="B375" s="2"/>
      <c r="C375" s="2"/>
      <c r="D375" s="2"/>
      <c r="E375" s="11"/>
      <c r="F375" s="11"/>
      <c r="G375" s="2"/>
      <c r="H375" s="18"/>
      <c r="I375" s="19"/>
      <c r="J375" s="18"/>
      <c r="K375" s="6"/>
      <c r="L375" s="14"/>
      <c r="M375" s="6"/>
      <c r="N375" s="6"/>
      <c r="O375" s="6"/>
      <c r="P375" s="13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15"/>
    </row>
    <row r="376" spans="1:31">
      <c r="A376" s="2"/>
      <c r="B376" s="2"/>
      <c r="C376" s="2"/>
      <c r="D376" s="2"/>
      <c r="E376" s="11"/>
      <c r="F376" s="11"/>
      <c r="G376" s="2"/>
      <c r="H376" s="18"/>
      <c r="I376" s="19"/>
      <c r="J376" s="18"/>
      <c r="K376" s="6"/>
      <c r="L376" s="14"/>
      <c r="M376" s="6"/>
      <c r="N376" s="6"/>
      <c r="O376" s="6"/>
      <c r="P376" s="13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15"/>
    </row>
    <row r="377" spans="1:31">
      <c r="A377" s="2"/>
      <c r="B377" s="2"/>
      <c r="C377" s="2"/>
      <c r="D377" s="2"/>
      <c r="E377" s="11"/>
      <c r="F377" s="11"/>
      <c r="G377" s="2"/>
      <c r="H377" s="18"/>
      <c r="I377" s="19"/>
      <c r="J377" s="18"/>
      <c r="K377" s="6"/>
      <c r="L377" s="14"/>
      <c r="M377" s="6"/>
      <c r="N377" s="6"/>
      <c r="O377" s="6"/>
      <c r="P377" s="13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15"/>
    </row>
    <row r="378" spans="1:31">
      <c r="A378" s="2"/>
      <c r="B378" s="2"/>
      <c r="C378" s="2"/>
      <c r="D378" s="2"/>
      <c r="E378" s="11"/>
      <c r="F378" s="11"/>
      <c r="G378" s="2"/>
      <c r="H378" s="18"/>
      <c r="I378" s="19"/>
      <c r="J378" s="18"/>
      <c r="K378" s="6"/>
      <c r="L378" s="14"/>
      <c r="M378" s="6"/>
      <c r="N378" s="6"/>
      <c r="O378" s="6"/>
      <c r="P378" s="13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15"/>
    </row>
    <row r="379" spans="1:31">
      <c r="A379" s="2"/>
      <c r="B379" s="2"/>
      <c r="C379" s="2"/>
      <c r="D379" s="2"/>
      <c r="E379" s="11"/>
      <c r="F379" s="11"/>
      <c r="G379" s="2"/>
      <c r="H379" s="18"/>
      <c r="I379" s="19"/>
      <c r="J379" s="18"/>
      <c r="K379" s="6"/>
      <c r="L379" s="14"/>
      <c r="M379" s="6"/>
      <c r="N379" s="6"/>
      <c r="O379" s="6"/>
      <c r="P379" s="13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15"/>
    </row>
    <row r="380" spans="1:31">
      <c r="A380" s="2"/>
      <c r="B380" s="2"/>
      <c r="C380" s="2"/>
      <c r="D380" s="2"/>
      <c r="E380" s="11"/>
      <c r="F380" s="11"/>
      <c r="G380" s="2"/>
      <c r="H380" s="18"/>
      <c r="I380" s="19"/>
      <c r="J380" s="18"/>
      <c r="K380" s="6"/>
      <c r="L380" s="14"/>
      <c r="M380" s="6"/>
      <c r="N380" s="6"/>
      <c r="O380" s="6"/>
      <c r="P380" s="13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15"/>
    </row>
    <row r="381" spans="1:31">
      <c r="A381" s="2"/>
      <c r="B381" s="2"/>
      <c r="C381" s="2"/>
      <c r="D381" s="2"/>
      <c r="E381" s="11"/>
      <c r="F381" s="11"/>
      <c r="G381" s="2"/>
      <c r="H381" s="18"/>
      <c r="I381" s="19"/>
      <c r="J381" s="18"/>
      <c r="K381" s="6"/>
      <c r="L381" s="14"/>
      <c r="M381" s="6"/>
      <c r="N381" s="6"/>
      <c r="O381" s="6"/>
      <c r="P381" s="13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15"/>
    </row>
    <row r="382" spans="1:31">
      <c r="A382" s="2"/>
      <c r="B382" s="2"/>
      <c r="C382" s="2"/>
      <c r="D382" s="2"/>
      <c r="E382" s="11"/>
      <c r="F382" s="11"/>
      <c r="G382" s="2"/>
      <c r="H382" s="18"/>
      <c r="I382" s="19"/>
      <c r="J382" s="18"/>
      <c r="K382" s="6"/>
      <c r="L382" s="14"/>
      <c r="M382" s="6"/>
      <c r="N382" s="6"/>
      <c r="O382" s="6"/>
      <c r="P382" s="13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15"/>
    </row>
    <row r="383" spans="1:31">
      <c r="A383" s="2"/>
      <c r="B383" s="2"/>
      <c r="C383" s="2"/>
      <c r="D383" s="2"/>
      <c r="E383" s="11"/>
      <c r="F383" s="11"/>
      <c r="G383" s="2"/>
      <c r="H383" s="18"/>
      <c r="I383" s="19"/>
      <c r="J383" s="18"/>
      <c r="K383" s="6"/>
      <c r="L383" s="14"/>
      <c r="M383" s="6"/>
      <c r="N383" s="6"/>
      <c r="O383" s="6"/>
      <c r="P383" s="13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15"/>
    </row>
    <row r="384" spans="1:31">
      <c r="A384" s="2"/>
      <c r="B384" s="2"/>
      <c r="C384" s="2"/>
      <c r="D384" s="2"/>
      <c r="E384" s="11"/>
      <c r="F384" s="11"/>
      <c r="G384" s="2"/>
      <c r="H384" s="18"/>
      <c r="I384" s="19"/>
      <c r="J384" s="18"/>
      <c r="K384" s="6"/>
      <c r="L384" s="14"/>
      <c r="M384" s="6"/>
      <c r="N384" s="6"/>
      <c r="O384" s="6"/>
      <c r="P384" s="13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15"/>
    </row>
    <row r="385" spans="1:31">
      <c r="A385" s="2"/>
      <c r="B385" s="2"/>
      <c r="C385" s="2"/>
      <c r="D385" s="2"/>
      <c r="E385" s="11"/>
      <c r="F385" s="11"/>
      <c r="G385" s="2"/>
      <c r="H385" s="18"/>
      <c r="I385" s="19"/>
      <c r="J385" s="18"/>
      <c r="K385" s="6"/>
      <c r="L385" s="14"/>
      <c r="M385" s="6"/>
      <c r="N385" s="6"/>
      <c r="O385" s="6"/>
      <c r="P385" s="13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15"/>
    </row>
    <row r="386" spans="1:31">
      <c r="A386" s="2"/>
      <c r="B386" s="2"/>
      <c r="C386" s="2"/>
      <c r="D386" s="2"/>
      <c r="E386" s="11"/>
      <c r="F386" s="11"/>
      <c r="G386" s="2"/>
      <c r="H386" s="18"/>
      <c r="I386" s="19"/>
      <c r="J386" s="18"/>
      <c r="K386" s="6"/>
      <c r="L386" s="14"/>
      <c r="M386" s="6"/>
      <c r="N386" s="6"/>
      <c r="O386" s="6"/>
      <c r="P386" s="13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15"/>
    </row>
    <row r="387" spans="1:31">
      <c r="A387" s="2"/>
      <c r="B387" s="2"/>
      <c r="C387" s="2"/>
      <c r="D387" s="2"/>
      <c r="E387" s="11"/>
      <c r="F387" s="11"/>
      <c r="G387" s="2"/>
      <c r="H387" s="18"/>
      <c r="I387" s="19"/>
      <c r="J387" s="18"/>
      <c r="K387" s="6"/>
      <c r="L387" s="14"/>
      <c r="M387" s="6"/>
      <c r="N387" s="6"/>
      <c r="O387" s="6"/>
      <c r="P387" s="13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15"/>
    </row>
    <row r="388" spans="1:31">
      <c r="A388" s="2"/>
      <c r="B388" s="2"/>
      <c r="C388" s="2"/>
      <c r="D388" s="2"/>
      <c r="E388" s="11"/>
      <c r="F388" s="11"/>
      <c r="G388" s="2"/>
      <c r="H388" s="18"/>
      <c r="I388" s="19"/>
      <c r="J388" s="18"/>
      <c r="K388" s="6"/>
      <c r="L388" s="14"/>
      <c r="M388" s="6"/>
      <c r="N388" s="6"/>
      <c r="O388" s="6"/>
      <c r="P388" s="13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15"/>
    </row>
    <row r="389" spans="1:31">
      <c r="A389" s="2"/>
      <c r="B389" s="2"/>
      <c r="C389" s="2"/>
      <c r="D389" s="2"/>
      <c r="E389" s="11"/>
      <c r="F389" s="11"/>
      <c r="G389" s="2"/>
      <c r="H389" s="18"/>
      <c r="I389" s="19"/>
      <c r="J389" s="18"/>
      <c r="K389" s="6"/>
      <c r="L389" s="14"/>
      <c r="M389" s="6"/>
      <c r="N389" s="6"/>
      <c r="O389" s="6"/>
      <c r="P389" s="13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15"/>
    </row>
    <row r="390" spans="1:31">
      <c r="A390" s="2"/>
      <c r="B390" s="2"/>
      <c r="C390" s="2"/>
      <c r="D390" s="2"/>
      <c r="E390" s="11"/>
      <c r="F390" s="11"/>
      <c r="G390" s="2"/>
      <c r="H390" s="18"/>
      <c r="I390" s="19"/>
      <c r="J390" s="18"/>
      <c r="K390" s="6"/>
      <c r="L390" s="14"/>
      <c r="M390" s="6"/>
      <c r="N390" s="6"/>
      <c r="O390" s="6"/>
      <c r="P390" s="13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15"/>
    </row>
    <row r="391" spans="1:31">
      <c r="A391" s="2"/>
      <c r="B391" s="2"/>
      <c r="C391" s="2"/>
      <c r="D391" s="2"/>
      <c r="E391" s="11"/>
      <c r="F391" s="11"/>
      <c r="G391" s="2"/>
      <c r="H391" s="18"/>
      <c r="I391" s="19"/>
      <c r="J391" s="18"/>
      <c r="K391" s="6"/>
      <c r="L391" s="14"/>
      <c r="M391" s="6"/>
      <c r="N391" s="6"/>
      <c r="O391" s="6"/>
      <c r="P391" s="13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15"/>
    </row>
    <row r="392" spans="1:31">
      <c r="A392" s="2"/>
      <c r="B392" s="2"/>
      <c r="C392" s="2"/>
      <c r="D392" s="2"/>
      <c r="E392" s="11"/>
      <c r="F392" s="11"/>
      <c r="G392" s="2"/>
      <c r="H392" s="18"/>
      <c r="I392" s="19"/>
      <c r="J392" s="18"/>
      <c r="K392" s="6"/>
      <c r="L392" s="14"/>
      <c r="M392" s="6"/>
      <c r="N392" s="6"/>
      <c r="O392" s="6"/>
      <c r="P392" s="13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15"/>
    </row>
    <row r="393" spans="1:31">
      <c r="A393" s="2"/>
      <c r="B393" s="2"/>
      <c r="C393" s="2"/>
      <c r="D393" s="2"/>
      <c r="E393" s="11"/>
      <c r="F393" s="11"/>
      <c r="G393" s="2"/>
      <c r="H393" s="18"/>
      <c r="I393" s="19"/>
      <c r="J393" s="18"/>
      <c r="K393" s="6"/>
      <c r="L393" s="14"/>
      <c r="M393" s="6"/>
      <c r="N393" s="6"/>
      <c r="O393" s="6"/>
      <c r="P393" s="13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15"/>
    </row>
    <row r="394" spans="1:31">
      <c r="A394" s="2"/>
      <c r="B394" s="2"/>
      <c r="C394" s="2"/>
      <c r="D394" s="2"/>
      <c r="E394" s="11"/>
      <c r="F394" s="11"/>
      <c r="G394" s="2"/>
      <c r="H394" s="18"/>
      <c r="I394" s="19"/>
      <c r="J394" s="18"/>
      <c r="K394" s="6"/>
      <c r="L394" s="14"/>
      <c r="M394" s="6"/>
      <c r="N394" s="6"/>
      <c r="O394" s="6"/>
      <c r="P394" s="13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15"/>
    </row>
    <row r="395" spans="1:31">
      <c r="A395" s="2"/>
      <c r="B395" s="2"/>
      <c r="C395" s="2"/>
      <c r="D395" s="2"/>
      <c r="E395" s="11"/>
      <c r="F395" s="11"/>
      <c r="G395" s="2"/>
      <c r="H395" s="18"/>
      <c r="I395" s="19"/>
      <c r="J395" s="18"/>
      <c r="K395" s="6"/>
      <c r="L395" s="14"/>
      <c r="M395" s="6"/>
      <c r="N395" s="6"/>
      <c r="O395" s="6"/>
      <c r="P395" s="13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15"/>
    </row>
    <row r="396" spans="1:31">
      <c r="A396" s="2"/>
      <c r="B396" s="2"/>
      <c r="C396" s="2"/>
      <c r="D396" s="2"/>
      <c r="E396" s="11"/>
      <c r="F396" s="11"/>
      <c r="G396" s="2"/>
      <c r="H396" s="18"/>
      <c r="I396" s="19"/>
      <c r="J396" s="18"/>
      <c r="K396" s="6"/>
      <c r="L396" s="14"/>
      <c r="M396" s="6"/>
      <c r="N396" s="6"/>
      <c r="O396" s="6"/>
      <c r="P396" s="13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15"/>
    </row>
    <row r="397" spans="1:31">
      <c r="A397" s="2"/>
      <c r="B397" s="2"/>
      <c r="C397" s="2"/>
      <c r="D397" s="2"/>
      <c r="E397" s="11"/>
      <c r="F397" s="11"/>
      <c r="G397" s="2"/>
      <c r="H397" s="18"/>
      <c r="I397" s="19"/>
      <c r="J397" s="18"/>
      <c r="K397" s="6"/>
      <c r="L397" s="14"/>
      <c r="M397" s="6"/>
      <c r="N397" s="6"/>
      <c r="O397" s="6"/>
      <c r="P397" s="13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15"/>
    </row>
    <row r="398" spans="1:31">
      <c r="A398" s="2"/>
      <c r="B398" s="2"/>
      <c r="C398" s="2"/>
      <c r="D398" s="2"/>
      <c r="E398" s="11"/>
      <c r="F398" s="11"/>
      <c r="G398" s="2"/>
      <c r="H398" s="18"/>
      <c r="I398" s="19"/>
      <c r="J398" s="18"/>
      <c r="K398" s="6"/>
      <c r="L398" s="14"/>
      <c r="M398" s="6"/>
      <c r="N398" s="6"/>
      <c r="O398" s="6"/>
      <c r="P398" s="13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15"/>
    </row>
    <row r="399" spans="1:31">
      <c r="A399" s="2"/>
      <c r="B399" s="2"/>
      <c r="C399" s="2"/>
      <c r="D399" s="2"/>
      <c r="E399" s="11"/>
      <c r="F399" s="11"/>
      <c r="G399" s="2"/>
      <c r="H399" s="18"/>
      <c r="I399" s="19"/>
      <c r="J399" s="18"/>
      <c r="K399" s="6"/>
      <c r="L399" s="14"/>
      <c r="M399" s="6"/>
      <c r="N399" s="6"/>
      <c r="O399" s="6"/>
      <c r="P399" s="13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15"/>
    </row>
    <row r="400" spans="1:31">
      <c r="A400" s="2"/>
      <c r="B400" s="2"/>
      <c r="C400" s="2"/>
      <c r="D400" s="2"/>
      <c r="E400" s="11"/>
      <c r="F400" s="11"/>
      <c r="G400" s="2"/>
      <c r="H400" s="18"/>
      <c r="I400" s="19"/>
      <c r="J400" s="18"/>
      <c r="K400" s="6"/>
      <c r="L400" s="14"/>
      <c r="M400" s="6"/>
      <c r="N400" s="6"/>
      <c r="O400" s="6"/>
      <c r="P400" s="13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15"/>
    </row>
    <row r="401" spans="1:31">
      <c r="A401" s="2"/>
      <c r="B401" s="2"/>
      <c r="C401" s="2"/>
      <c r="D401" s="2"/>
      <c r="E401" s="11"/>
      <c r="F401" s="11"/>
      <c r="G401" s="2"/>
      <c r="H401" s="18"/>
      <c r="I401" s="19"/>
      <c r="J401" s="18"/>
      <c r="K401" s="6"/>
      <c r="L401" s="14"/>
      <c r="M401" s="6"/>
      <c r="N401" s="6"/>
      <c r="O401" s="6"/>
      <c r="P401" s="13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15"/>
    </row>
    <row r="402" spans="1:31">
      <c r="A402" s="2"/>
      <c r="B402" s="2"/>
      <c r="C402" s="2"/>
      <c r="D402" s="2"/>
      <c r="E402" s="11"/>
      <c r="F402" s="11"/>
      <c r="G402" s="2"/>
      <c r="H402" s="18"/>
      <c r="I402" s="19"/>
      <c r="J402" s="18"/>
      <c r="K402" s="6"/>
      <c r="L402" s="14"/>
      <c r="M402" s="6"/>
      <c r="N402" s="6"/>
      <c r="O402" s="6"/>
      <c r="P402" s="13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15"/>
    </row>
    <row r="403" spans="1:31">
      <c r="A403" s="2"/>
      <c r="B403" s="2"/>
      <c r="C403" s="2"/>
      <c r="D403" s="2"/>
      <c r="E403" s="11"/>
      <c r="F403" s="11"/>
      <c r="G403" s="2"/>
      <c r="H403" s="18"/>
      <c r="I403" s="19"/>
      <c r="J403" s="18"/>
      <c r="K403" s="6"/>
      <c r="L403" s="14"/>
      <c r="M403" s="6"/>
      <c r="N403" s="6"/>
      <c r="O403" s="6"/>
      <c r="P403" s="13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15"/>
    </row>
    <row r="404" spans="1:31">
      <c r="A404" s="2"/>
      <c r="B404" s="2"/>
      <c r="C404" s="2"/>
      <c r="D404" s="2"/>
      <c r="E404" s="11"/>
      <c r="F404" s="11"/>
      <c r="G404" s="2"/>
      <c r="H404" s="18"/>
      <c r="I404" s="19"/>
      <c r="J404" s="18"/>
      <c r="K404" s="6"/>
      <c r="L404" s="14"/>
      <c r="M404" s="6"/>
      <c r="N404" s="6"/>
      <c r="O404" s="6"/>
      <c r="P404" s="13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15"/>
    </row>
    <row r="405" spans="1:31">
      <c r="A405" s="2"/>
      <c r="B405" s="2"/>
      <c r="C405" s="2"/>
      <c r="D405" s="2"/>
      <c r="E405" s="11"/>
      <c r="F405" s="11"/>
      <c r="G405" s="2"/>
      <c r="H405" s="18"/>
      <c r="I405" s="19"/>
      <c r="J405" s="18"/>
      <c r="K405" s="6"/>
      <c r="L405" s="14"/>
      <c r="M405" s="6"/>
      <c r="N405" s="6"/>
      <c r="O405" s="6"/>
      <c r="P405" s="13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15"/>
    </row>
    <row r="406" spans="1:31">
      <c r="A406" s="2"/>
      <c r="B406" s="2"/>
      <c r="C406" s="2"/>
      <c r="D406" s="2"/>
      <c r="E406" s="11"/>
      <c r="F406" s="11"/>
      <c r="G406" s="2"/>
      <c r="H406" s="18"/>
      <c r="I406" s="19"/>
      <c r="J406" s="18"/>
      <c r="K406" s="6"/>
      <c r="L406" s="14"/>
      <c r="M406" s="6"/>
      <c r="N406" s="6"/>
      <c r="O406" s="6"/>
      <c r="P406" s="13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15"/>
    </row>
    <row r="407" spans="1:31">
      <c r="A407" s="2"/>
      <c r="B407" s="2"/>
      <c r="C407" s="2"/>
      <c r="D407" s="2"/>
      <c r="E407" s="11"/>
      <c r="F407" s="11"/>
      <c r="G407" s="2"/>
      <c r="H407" s="18"/>
      <c r="I407" s="19"/>
      <c r="J407" s="18"/>
      <c r="K407" s="6"/>
      <c r="L407" s="14"/>
      <c r="M407" s="6"/>
      <c r="N407" s="6"/>
      <c r="O407" s="6"/>
      <c r="P407" s="13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15"/>
    </row>
    <row r="408" spans="1:31">
      <c r="A408" s="2"/>
      <c r="B408" s="2"/>
      <c r="C408" s="2"/>
      <c r="D408" s="2"/>
      <c r="E408" s="11"/>
      <c r="F408" s="11"/>
      <c r="G408" s="2"/>
      <c r="H408" s="18"/>
      <c r="I408" s="19"/>
      <c r="J408" s="18"/>
      <c r="K408" s="6"/>
      <c r="L408" s="14"/>
      <c r="M408" s="6"/>
      <c r="N408" s="6"/>
      <c r="O408" s="6"/>
      <c r="P408" s="13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15"/>
    </row>
    <row r="409" spans="1:31">
      <c r="A409" s="11"/>
      <c r="B409" s="2"/>
      <c r="C409" s="2"/>
      <c r="D409" s="2"/>
      <c r="E409" s="11"/>
      <c r="F409" s="11"/>
      <c r="G409" s="2"/>
      <c r="H409" s="18"/>
      <c r="I409" s="19"/>
      <c r="J409" s="18"/>
      <c r="K409" s="6"/>
      <c r="L409" s="14"/>
      <c r="M409" s="6"/>
      <c r="N409" s="6"/>
      <c r="O409" s="6"/>
      <c r="P409" s="13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15"/>
    </row>
    <row r="410" spans="1:31">
      <c r="A410" s="2"/>
      <c r="B410" s="2"/>
      <c r="C410" s="2"/>
      <c r="D410" s="2"/>
      <c r="E410" s="11"/>
      <c r="F410" s="11"/>
      <c r="G410" s="2"/>
      <c r="H410" s="18"/>
      <c r="I410" s="19"/>
      <c r="J410" s="18"/>
      <c r="K410" s="6"/>
      <c r="L410" s="14"/>
      <c r="M410" s="6"/>
      <c r="N410" s="6"/>
      <c r="O410" s="6"/>
      <c r="P410" s="13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15"/>
    </row>
    <row r="411" spans="1:31">
      <c r="A411" s="2"/>
      <c r="B411" s="2"/>
      <c r="C411" s="2"/>
      <c r="D411" s="2"/>
      <c r="E411" s="11"/>
      <c r="F411" s="11"/>
      <c r="G411" s="2"/>
      <c r="H411" s="18"/>
      <c r="I411" s="19"/>
      <c r="J411" s="18"/>
      <c r="K411" s="6"/>
      <c r="L411" s="14"/>
      <c r="M411" s="6"/>
      <c r="N411" s="6"/>
      <c r="O411" s="6"/>
      <c r="P411" s="13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15"/>
    </row>
    <row r="412" spans="1:31">
      <c r="A412" s="2"/>
      <c r="B412" s="2"/>
      <c r="C412" s="2"/>
      <c r="D412" s="2"/>
      <c r="E412" s="11"/>
      <c r="F412" s="11"/>
      <c r="G412" s="2"/>
      <c r="H412" s="18"/>
      <c r="I412" s="19"/>
      <c r="J412" s="18"/>
      <c r="K412" s="6"/>
      <c r="L412" s="14"/>
      <c r="M412" s="6"/>
      <c r="N412" s="6"/>
      <c r="O412" s="6"/>
      <c r="P412" s="13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15"/>
    </row>
    <row r="413" spans="1:31">
      <c r="A413" s="2"/>
      <c r="B413" s="2"/>
      <c r="C413" s="2"/>
      <c r="D413" s="2"/>
      <c r="E413" s="11"/>
      <c r="F413" s="11"/>
      <c r="G413" s="2"/>
      <c r="H413" s="18"/>
      <c r="I413" s="19"/>
      <c r="J413" s="18"/>
      <c r="K413" s="6"/>
      <c r="L413" s="14"/>
      <c r="M413" s="6"/>
      <c r="N413" s="6"/>
      <c r="O413" s="6"/>
      <c r="P413" s="13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15"/>
    </row>
    <row r="414" spans="1:31">
      <c r="A414" s="2"/>
      <c r="B414" s="2"/>
      <c r="C414" s="2"/>
      <c r="D414" s="2"/>
      <c r="E414" s="11"/>
      <c r="F414" s="11"/>
      <c r="G414" s="2"/>
      <c r="H414" s="18"/>
      <c r="I414" s="19"/>
      <c r="J414" s="18"/>
      <c r="K414" s="6"/>
      <c r="L414" s="14"/>
      <c r="M414" s="6"/>
      <c r="N414" s="6"/>
      <c r="O414" s="6"/>
      <c r="P414" s="13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15"/>
    </row>
    <row r="415" spans="1:31">
      <c r="A415" s="2"/>
      <c r="B415" s="2"/>
      <c r="C415" s="2"/>
      <c r="D415" s="2"/>
      <c r="E415" s="11"/>
      <c r="F415" s="11"/>
      <c r="G415" s="2"/>
      <c r="H415" s="18"/>
      <c r="I415" s="19"/>
      <c r="J415" s="18"/>
      <c r="K415" s="6"/>
      <c r="L415" s="14"/>
      <c r="M415" s="6"/>
      <c r="N415" s="6"/>
      <c r="O415" s="6"/>
      <c r="P415" s="13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15"/>
    </row>
    <row r="416" spans="1:31">
      <c r="A416" s="2"/>
      <c r="B416" s="2"/>
      <c r="C416" s="2"/>
      <c r="D416" s="2"/>
      <c r="E416" s="11"/>
      <c r="F416" s="11"/>
      <c r="G416" s="2"/>
      <c r="H416" s="18"/>
      <c r="I416" s="19"/>
      <c r="J416" s="18"/>
      <c r="K416" s="6"/>
      <c r="L416" s="14"/>
      <c r="M416" s="6"/>
      <c r="N416" s="6"/>
      <c r="O416" s="6"/>
      <c r="P416" s="13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15"/>
    </row>
    <row r="417" spans="1:31">
      <c r="A417" s="2"/>
      <c r="B417" s="2"/>
      <c r="C417" s="2"/>
      <c r="D417" s="2"/>
      <c r="E417" s="11"/>
      <c r="F417" s="11"/>
      <c r="G417" s="2"/>
      <c r="H417" s="18"/>
      <c r="I417" s="19"/>
      <c r="J417" s="18"/>
      <c r="K417" s="6"/>
      <c r="L417" s="14"/>
      <c r="M417" s="6"/>
      <c r="N417" s="6"/>
      <c r="O417" s="6"/>
      <c r="P417" s="13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15"/>
    </row>
    <row r="418" spans="1:31">
      <c r="A418" s="2"/>
      <c r="B418" s="2"/>
      <c r="C418" s="2"/>
      <c r="D418" s="2"/>
      <c r="E418" s="11"/>
      <c r="F418" s="11"/>
      <c r="G418" s="2"/>
      <c r="H418" s="18"/>
      <c r="I418" s="19"/>
      <c r="J418" s="18"/>
      <c r="K418" s="6"/>
      <c r="L418" s="14"/>
      <c r="M418" s="6"/>
      <c r="N418" s="6"/>
      <c r="O418" s="6"/>
      <c r="P418" s="13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15"/>
    </row>
    <row r="419" spans="1:31">
      <c r="A419" s="2"/>
      <c r="B419" s="2"/>
      <c r="C419" s="2"/>
      <c r="D419" s="2"/>
      <c r="E419" s="11"/>
      <c r="F419" s="11"/>
      <c r="G419" s="2"/>
      <c r="H419" s="18"/>
      <c r="I419" s="19"/>
      <c r="J419" s="18"/>
      <c r="K419" s="6"/>
      <c r="L419" s="14"/>
      <c r="M419" s="6"/>
      <c r="N419" s="6"/>
      <c r="O419" s="6"/>
      <c r="P419" s="13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15"/>
    </row>
    <row r="420" spans="1:31">
      <c r="A420" s="2"/>
      <c r="B420" s="2"/>
      <c r="C420" s="2"/>
      <c r="D420" s="2"/>
      <c r="E420" s="11"/>
      <c r="F420" s="11"/>
      <c r="G420" s="2"/>
      <c r="H420" s="18"/>
      <c r="I420" s="19"/>
      <c r="J420" s="18"/>
      <c r="K420" s="6"/>
      <c r="L420" s="14"/>
      <c r="M420" s="6"/>
      <c r="N420" s="6"/>
      <c r="O420" s="6"/>
      <c r="P420" s="13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15"/>
    </row>
    <row r="421" spans="1:31">
      <c r="A421" s="2"/>
      <c r="B421" s="2"/>
      <c r="C421" s="2"/>
      <c r="D421" s="2"/>
      <c r="E421" s="11"/>
      <c r="F421" s="11"/>
      <c r="G421" s="2"/>
      <c r="H421" s="18"/>
      <c r="I421" s="19"/>
      <c r="J421" s="18"/>
      <c r="K421" s="6"/>
      <c r="L421" s="14"/>
      <c r="M421" s="6"/>
      <c r="N421" s="6"/>
      <c r="O421" s="6"/>
      <c r="P421" s="13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15"/>
    </row>
    <row r="422" spans="1:31">
      <c r="A422" s="2"/>
      <c r="B422" s="2"/>
      <c r="C422" s="2"/>
      <c r="D422" s="2"/>
      <c r="E422" s="11"/>
      <c r="F422" s="11"/>
      <c r="G422" s="2"/>
      <c r="H422" s="18"/>
      <c r="I422" s="19"/>
      <c r="J422" s="18"/>
      <c r="K422" s="6"/>
      <c r="L422" s="14"/>
      <c r="M422" s="6"/>
      <c r="N422" s="6"/>
      <c r="O422" s="6"/>
      <c r="P422" s="13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15"/>
    </row>
    <row r="423" spans="1:31">
      <c r="A423" s="2"/>
      <c r="B423" s="2"/>
      <c r="C423" s="2"/>
      <c r="D423" s="2"/>
      <c r="E423" s="11"/>
      <c r="F423" s="11"/>
      <c r="G423" s="2"/>
      <c r="H423" s="18"/>
      <c r="I423" s="19"/>
      <c r="J423" s="18"/>
      <c r="K423" s="6"/>
      <c r="L423" s="14"/>
      <c r="M423" s="6"/>
      <c r="N423" s="6"/>
      <c r="O423" s="6"/>
      <c r="P423" s="13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15"/>
    </row>
    <row r="424" spans="1:31">
      <c r="A424" s="2"/>
      <c r="B424" s="2"/>
      <c r="C424" s="2"/>
      <c r="D424" s="2"/>
      <c r="E424" s="11"/>
      <c r="F424" s="11"/>
      <c r="G424" s="2"/>
      <c r="H424" s="18"/>
      <c r="I424" s="19"/>
      <c r="J424" s="18"/>
      <c r="K424" s="6"/>
      <c r="L424" s="14"/>
      <c r="M424" s="6"/>
      <c r="N424" s="6"/>
      <c r="O424" s="6"/>
      <c r="P424" s="13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15"/>
    </row>
    <row r="425" spans="1:31">
      <c r="A425" s="2"/>
      <c r="B425" s="2"/>
      <c r="C425" s="2"/>
      <c r="D425" s="2"/>
      <c r="E425" s="11"/>
      <c r="F425" s="11"/>
      <c r="G425" s="2"/>
      <c r="H425" s="18"/>
      <c r="I425" s="19"/>
      <c r="J425" s="18"/>
      <c r="K425" s="6"/>
      <c r="L425" s="14"/>
      <c r="M425" s="6"/>
      <c r="N425" s="6"/>
      <c r="O425" s="6"/>
      <c r="P425" s="13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15"/>
    </row>
    <row r="426" spans="1:31">
      <c r="A426" s="2"/>
      <c r="B426" s="2"/>
      <c r="C426" s="2"/>
      <c r="D426" s="2"/>
      <c r="E426" s="11"/>
      <c r="F426" s="11"/>
      <c r="G426" s="2"/>
      <c r="H426" s="18"/>
      <c r="I426" s="19"/>
      <c r="J426" s="18"/>
      <c r="K426" s="6"/>
      <c r="L426" s="14"/>
      <c r="M426" s="6"/>
      <c r="N426" s="6"/>
      <c r="O426" s="6"/>
      <c r="P426" s="13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15"/>
    </row>
    <row r="427" spans="1:31">
      <c r="A427" s="2"/>
      <c r="B427" s="2"/>
      <c r="C427" s="2"/>
      <c r="D427" s="2"/>
      <c r="E427" s="11"/>
      <c r="F427" s="11"/>
      <c r="G427" s="2"/>
      <c r="H427" s="18"/>
      <c r="I427" s="19"/>
      <c r="J427" s="18"/>
      <c r="K427" s="6"/>
      <c r="L427" s="14"/>
      <c r="M427" s="6"/>
      <c r="N427" s="6"/>
      <c r="O427" s="6"/>
      <c r="P427" s="13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15"/>
    </row>
    <row r="428" spans="1:31">
      <c r="A428" s="2"/>
      <c r="B428" s="2"/>
      <c r="C428" s="2"/>
      <c r="D428" s="2"/>
      <c r="E428" s="11"/>
      <c r="F428" s="11"/>
      <c r="G428" s="2"/>
      <c r="H428" s="18"/>
      <c r="I428" s="19"/>
      <c r="J428" s="18"/>
      <c r="K428" s="6"/>
      <c r="L428" s="14"/>
      <c r="M428" s="6"/>
      <c r="N428" s="6"/>
      <c r="O428" s="6"/>
      <c r="P428" s="13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15"/>
    </row>
    <row r="429" spans="1:31">
      <c r="A429" s="2"/>
      <c r="B429" s="2"/>
      <c r="C429" s="2"/>
      <c r="D429" s="2"/>
      <c r="E429" s="11"/>
      <c r="F429" s="11"/>
      <c r="G429" s="2"/>
      <c r="H429" s="18"/>
      <c r="I429" s="19"/>
      <c r="J429" s="18"/>
      <c r="K429" s="6"/>
      <c r="L429" s="14"/>
      <c r="M429" s="6"/>
      <c r="N429" s="6"/>
      <c r="O429" s="6"/>
      <c r="P429" s="13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15"/>
    </row>
    <row r="430" spans="1:31">
      <c r="A430" s="2"/>
      <c r="B430" s="2"/>
      <c r="C430" s="2"/>
      <c r="D430" s="2"/>
      <c r="E430" s="11"/>
      <c r="F430" s="11"/>
      <c r="G430" s="2"/>
      <c r="H430" s="18"/>
      <c r="I430" s="19"/>
      <c r="J430" s="18"/>
      <c r="K430" s="6"/>
      <c r="L430" s="14"/>
      <c r="M430" s="6"/>
      <c r="N430" s="6"/>
      <c r="O430" s="6"/>
      <c r="P430" s="13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15"/>
    </row>
    <row r="431" spans="1:31">
      <c r="A431" s="2"/>
      <c r="B431" s="2"/>
      <c r="C431" s="2"/>
      <c r="D431" s="2"/>
      <c r="E431" s="11"/>
      <c r="F431" s="11"/>
      <c r="G431" s="2"/>
      <c r="H431" s="18"/>
      <c r="I431" s="19"/>
      <c r="J431" s="18"/>
      <c r="K431" s="6"/>
      <c r="L431" s="14"/>
      <c r="M431" s="6"/>
      <c r="N431" s="6"/>
      <c r="O431" s="6"/>
      <c r="P431" s="13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15"/>
    </row>
    <row r="432" spans="1:31">
      <c r="A432" s="2"/>
      <c r="B432" s="2"/>
      <c r="C432" s="2"/>
      <c r="D432" s="2"/>
      <c r="E432" s="11"/>
      <c r="F432" s="11"/>
      <c r="G432" s="2"/>
      <c r="H432" s="18"/>
      <c r="I432" s="19"/>
      <c r="J432" s="18"/>
      <c r="K432" s="6"/>
      <c r="L432" s="14"/>
      <c r="M432" s="6"/>
      <c r="N432" s="6"/>
      <c r="O432" s="6"/>
      <c r="P432" s="13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15"/>
    </row>
    <row r="433" spans="1:31">
      <c r="A433" s="2"/>
      <c r="B433" s="2"/>
      <c r="C433" s="2"/>
      <c r="D433" s="2"/>
      <c r="E433" s="11"/>
      <c r="F433" s="11"/>
      <c r="G433" s="2"/>
      <c r="H433" s="18"/>
      <c r="I433" s="19"/>
      <c r="J433" s="18"/>
      <c r="K433" s="6"/>
      <c r="L433" s="14"/>
      <c r="M433" s="6"/>
      <c r="N433" s="6"/>
      <c r="O433" s="6"/>
      <c r="P433" s="13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15"/>
    </row>
    <row r="434" spans="1:31">
      <c r="A434" s="2"/>
      <c r="B434" s="2"/>
      <c r="C434" s="2"/>
      <c r="D434" s="2"/>
      <c r="E434" s="11"/>
      <c r="F434" s="11"/>
      <c r="G434" s="2"/>
      <c r="H434" s="18"/>
      <c r="I434" s="19"/>
      <c r="J434" s="18"/>
      <c r="K434" s="6"/>
      <c r="L434" s="14"/>
      <c r="M434" s="6"/>
      <c r="N434" s="6"/>
      <c r="O434" s="6"/>
      <c r="P434" s="13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15"/>
    </row>
    <row r="435" spans="1:31">
      <c r="A435" s="2"/>
      <c r="B435" s="2"/>
      <c r="C435" s="2"/>
      <c r="D435" s="2"/>
      <c r="E435" s="11"/>
      <c r="F435" s="11"/>
      <c r="G435" s="2"/>
      <c r="H435" s="18"/>
      <c r="I435" s="19"/>
      <c r="J435" s="18"/>
      <c r="K435" s="6"/>
      <c r="L435" s="14"/>
      <c r="M435" s="6"/>
      <c r="N435" s="6"/>
      <c r="O435" s="6"/>
      <c r="P435" s="13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15"/>
    </row>
    <row r="436" spans="1:31">
      <c r="A436" s="2"/>
      <c r="B436" s="2"/>
      <c r="C436" s="2"/>
      <c r="D436" s="2"/>
      <c r="E436" s="11"/>
      <c r="F436" s="11"/>
      <c r="G436" s="2"/>
      <c r="H436" s="18"/>
      <c r="I436" s="19"/>
      <c r="J436" s="18"/>
      <c r="K436" s="6"/>
      <c r="L436" s="14"/>
      <c r="M436" s="6"/>
      <c r="N436" s="6"/>
      <c r="O436" s="6"/>
      <c r="P436" s="13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15"/>
    </row>
    <row r="437" spans="1:31">
      <c r="A437" s="2"/>
      <c r="B437" s="2"/>
      <c r="C437" s="2"/>
      <c r="D437" s="2"/>
      <c r="E437" s="11"/>
      <c r="F437" s="11"/>
      <c r="G437" s="2"/>
      <c r="H437" s="18"/>
      <c r="I437" s="19"/>
      <c r="J437" s="18"/>
      <c r="K437" s="6"/>
      <c r="L437" s="14"/>
      <c r="M437" s="6"/>
      <c r="N437" s="6"/>
      <c r="O437" s="6"/>
      <c r="P437" s="13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15"/>
    </row>
    <row r="438" spans="1:31">
      <c r="A438" s="2"/>
      <c r="B438" s="2"/>
      <c r="C438" s="2"/>
      <c r="D438" s="2"/>
      <c r="E438" s="11"/>
      <c r="F438" s="11"/>
      <c r="G438" s="2"/>
      <c r="H438" s="18"/>
      <c r="I438" s="19"/>
      <c r="J438" s="18"/>
      <c r="K438" s="6"/>
      <c r="L438" s="14"/>
      <c r="M438" s="6"/>
      <c r="N438" s="6"/>
      <c r="O438" s="6"/>
      <c r="P438" s="13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15"/>
    </row>
    <row r="439" spans="1:31">
      <c r="A439" s="2"/>
      <c r="B439" s="2"/>
      <c r="C439" s="2"/>
      <c r="D439" s="2"/>
      <c r="E439" s="11"/>
      <c r="F439" s="11"/>
      <c r="G439" s="2"/>
      <c r="H439" s="18"/>
      <c r="I439" s="19"/>
      <c r="J439" s="18"/>
      <c r="K439" s="6"/>
      <c r="L439" s="14"/>
      <c r="M439" s="6"/>
      <c r="N439" s="6"/>
      <c r="O439" s="6"/>
      <c r="P439" s="13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15"/>
    </row>
    <row r="440" spans="1:31">
      <c r="A440" s="2"/>
      <c r="B440" s="2"/>
      <c r="C440" s="2"/>
      <c r="D440" s="2"/>
      <c r="E440" s="11"/>
      <c r="F440" s="11"/>
      <c r="G440" s="2"/>
      <c r="H440" s="18"/>
      <c r="I440" s="19"/>
      <c r="J440" s="18"/>
      <c r="K440" s="6"/>
      <c r="L440" s="14"/>
      <c r="M440" s="6"/>
      <c r="N440" s="6"/>
      <c r="O440" s="6"/>
      <c r="P440" s="13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15"/>
    </row>
    <row r="441" spans="1:31">
      <c r="A441" s="2"/>
      <c r="B441" s="2"/>
      <c r="C441" s="2"/>
      <c r="D441" s="2"/>
      <c r="E441" s="11"/>
      <c r="F441" s="11"/>
      <c r="G441" s="2"/>
      <c r="H441" s="18"/>
      <c r="I441" s="19"/>
      <c r="J441" s="18"/>
      <c r="K441" s="6"/>
      <c r="L441" s="14"/>
      <c r="M441" s="6"/>
      <c r="N441" s="6"/>
      <c r="O441" s="6"/>
      <c r="P441" s="13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15"/>
    </row>
    <row r="442" spans="1:31">
      <c r="A442" s="2"/>
      <c r="B442" s="2"/>
      <c r="C442" s="2"/>
      <c r="D442" s="2"/>
      <c r="E442" s="11"/>
      <c r="F442" s="11"/>
      <c r="G442" s="2"/>
      <c r="H442" s="18"/>
      <c r="I442" s="19"/>
      <c r="J442" s="18"/>
      <c r="K442" s="6"/>
      <c r="L442" s="14"/>
      <c r="M442" s="6"/>
      <c r="N442" s="6"/>
      <c r="O442" s="6"/>
      <c r="P442" s="13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15"/>
    </row>
    <row r="443" spans="1:31">
      <c r="A443" s="2"/>
      <c r="B443" s="2"/>
      <c r="C443" s="2"/>
      <c r="D443" s="2"/>
      <c r="E443" s="11"/>
      <c r="F443" s="11"/>
      <c r="G443" s="2"/>
      <c r="H443" s="18"/>
      <c r="I443" s="19"/>
      <c r="J443" s="18"/>
      <c r="K443" s="6"/>
      <c r="L443" s="14"/>
      <c r="M443" s="6"/>
      <c r="N443" s="6"/>
      <c r="O443" s="6"/>
      <c r="P443" s="13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15"/>
    </row>
    <row r="444" spans="1:31">
      <c r="A444" s="2"/>
      <c r="B444" s="2"/>
      <c r="C444" s="2"/>
      <c r="D444" s="2"/>
      <c r="E444" s="11"/>
      <c r="F444" s="11"/>
      <c r="G444" s="2"/>
      <c r="H444" s="18"/>
      <c r="I444" s="19"/>
      <c r="J444" s="18"/>
      <c r="K444" s="6"/>
      <c r="L444" s="14"/>
      <c r="M444" s="6"/>
      <c r="N444" s="6"/>
      <c r="O444" s="6"/>
      <c r="P444" s="13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15"/>
    </row>
    <row r="445" spans="1:31">
      <c r="A445" s="2"/>
      <c r="B445" s="2"/>
      <c r="C445" s="2"/>
      <c r="D445" s="2"/>
      <c r="E445" s="11"/>
      <c r="F445" s="11"/>
      <c r="G445" s="2"/>
      <c r="H445" s="18"/>
      <c r="I445" s="19"/>
      <c r="J445" s="18"/>
      <c r="K445" s="6"/>
      <c r="L445" s="14"/>
      <c r="M445" s="6"/>
      <c r="N445" s="6"/>
      <c r="O445" s="6"/>
      <c r="P445" s="13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15"/>
    </row>
    <row r="446" spans="1:31">
      <c r="A446" s="2"/>
      <c r="B446" s="2"/>
      <c r="C446" s="2"/>
      <c r="D446" s="2"/>
      <c r="E446" s="11"/>
      <c r="F446" s="11"/>
      <c r="G446" s="2"/>
      <c r="H446" s="18"/>
      <c r="I446" s="19"/>
      <c r="J446" s="18"/>
      <c r="K446" s="6"/>
      <c r="L446" s="14"/>
      <c r="M446" s="6"/>
      <c r="N446" s="6"/>
      <c r="O446" s="6"/>
      <c r="P446" s="13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15"/>
    </row>
    <row r="447" spans="1:31">
      <c r="A447" s="2"/>
      <c r="B447" s="2"/>
      <c r="C447" s="2"/>
      <c r="D447" s="2"/>
      <c r="E447" s="11"/>
      <c r="F447" s="11"/>
      <c r="G447" s="2"/>
      <c r="H447" s="18"/>
      <c r="I447" s="19"/>
      <c r="J447" s="18"/>
      <c r="K447" s="6"/>
      <c r="L447" s="14"/>
      <c r="M447" s="6"/>
      <c r="N447" s="6"/>
      <c r="O447" s="6"/>
      <c r="P447" s="13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15"/>
    </row>
    <row r="448" spans="1:31">
      <c r="A448" s="2"/>
      <c r="B448" s="2"/>
      <c r="C448" s="2"/>
      <c r="D448" s="2"/>
      <c r="E448" s="11"/>
      <c r="F448" s="11"/>
      <c r="G448" s="2"/>
      <c r="H448" s="18"/>
      <c r="I448" s="19"/>
      <c r="J448" s="18"/>
      <c r="K448" s="6"/>
      <c r="L448" s="14"/>
      <c r="M448" s="6"/>
      <c r="N448" s="6"/>
      <c r="O448" s="6"/>
      <c r="P448" s="13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15"/>
    </row>
    <row r="449" spans="1:31">
      <c r="A449" s="2"/>
      <c r="B449" s="2"/>
      <c r="C449" s="2"/>
      <c r="D449" s="2"/>
      <c r="E449" s="11"/>
      <c r="F449" s="11"/>
      <c r="G449" s="2"/>
      <c r="H449" s="18"/>
      <c r="I449" s="19"/>
      <c r="J449" s="18"/>
      <c r="K449" s="6"/>
      <c r="L449" s="14"/>
      <c r="M449" s="6"/>
      <c r="N449" s="6"/>
      <c r="O449" s="6"/>
      <c r="P449" s="13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15"/>
    </row>
    <row r="450" spans="1:31">
      <c r="A450" s="2"/>
      <c r="B450" s="2"/>
      <c r="C450" s="2"/>
      <c r="D450" s="2"/>
      <c r="E450" s="11"/>
      <c r="F450" s="11"/>
      <c r="G450" s="2"/>
      <c r="H450" s="18"/>
      <c r="I450" s="19"/>
      <c r="J450" s="18"/>
      <c r="K450" s="6"/>
      <c r="L450" s="14"/>
      <c r="M450" s="6"/>
      <c r="N450" s="6"/>
      <c r="O450" s="6"/>
      <c r="P450" s="13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15"/>
    </row>
    <row r="451" spans="1:31">
      <c r="A451" s="2"/>
      <c r="B451" s="2"/>
      <c r="C451" s="2"/>
      <c r="D451" s="2"/>
      <c r="E451" s="11"/>
      <c r="F451" s="11"/>
      <c r="G451" s="2"/>
      <c r="H451" s="18"/>
      <c r="I451" s="19"/>
      <c r="J451" s="18"/>
      <c r="K451" s="6"/>
      <c r="L451" s="14"/>
      <c r="M451" s="6"/>
      <c r="N451" s="6"/>
      <c r="O451" s="6"/>
      <c r="P451" s="13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15"/>
    </row>
    <row r="452" spans="1:31">
      <c r="A452" s="2"/>
      <c r="B452" s="2"/>
      <c r="C452" s="2"/>
      <c r="D452" s="2"/>
      <c r="E452" s="11"/>
      <c r="F452" s="11"/>
      <c r="G452" s="2"/>
      <c r="H452" s="18"/>
      <c r="I452" s="19"/>
      <c r="J452" s="18"/>
      <c r="K452" s="6"/>
      <c r="L452" s="14"/>
      <c r="M452" s="6"/>
      <c r="N452" s="6"/>
      <c r="O452" s="6"/>
      <c r="P452" s="13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15"/>
    </row>
    <row r="453" spans="1:31">
      <c r="A453" s="2"/>
      <c r="B453" s="2"/>
      <c r="C453" s="2"/>
      <c r="D453" s="2"/>
      <c r="E453" s="11"/>
      <c r="F453" s="11"/>
      <c r="G453" s="2"/>
      <c r="H453" s="18"/>
      <c r="I453" s="19"/>
      <c r="J453" s="18"/>
      <c r="K453" s="6"/>
      <c r="L453" s="14"/>
      <c r="M453" s="6"/>
      <c r="N453" s="6"/>
      <c r="O453" s="6"/>
      <c r="P453" s="13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15"/>
    </row>
    <row r="454" spans="1:31">
      <c r="A454" s="2"/>
      <c r="B454" s="2"/>
      <c r="C454" s="2"/>
      <c r="D454" s="2"/>
      <c r="E454" s="11"/>
      <c r="F454" s="11"/>
      <c r="G454" s="2"/>
      <c r="H454" s="18"/>
      <c r="I454" s="19"/>
      <c r="J454" s="18"/>
      <c r="K454" s="6"/>
      <c r="L454" s="14"/>
      <c r="M454" s="6"/>
      <c r="N454" s="6"/>
      <c r="O454" s="6"/>
      <c r="P454" s="13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15"/>
    </row>
    <row r="455" spans="1:31">
      <c r="A455" s="2"/>
      <c r="B455" s="2"/>
      <c r="C455" s="2"/>
      <c r="D455" s="2"/>
      <c r="E455" s="11"/>
      <c r="F455" s="11"/>
      <c r="G455" s="2"/>
      <c r="H455" s="18"/>
      <c r="I455" s="19"/>
      <c r="J455" s="18"/>
      <c r="K455" s="6"/>
      <c r="L455" s="14"/>
      <c r="M455" s="6"/>
      <c r="N455" s="6"/>
      <c r="O455" s="6"/>
      <c r="P455" s="13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15"/>
    </row>
    <row r="456" spans="1:31">
      <c r="A456" s="2"/>
      <c r="B456" s="2"/>
      <c r="C456" s="2"/>
      <c r="D456" s="2"/>
      <c r="E456" s="11"/>
      <c r="F456" s="11"/>
      <c r="G456" s="2"/>
      <c r="H456" s="18"/>
      <c r="I456" s="19"/>
      <c r="J456" s="18"/>
      <c r="K456" s="6"/>
      <c r="L456" s="14"/>
      <c r="M456" s="6"/>
      <c r="N456" s="6"/>
      <c r="O456" s="6"/>
      <c r="P456" s="13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15"/>
    </row>
    <row r="457" spans="1:31">
      <c r="A457" s="2"/>
      <c r="B457" s="2"/>
      <c r="C457" s="2"/>
      <c r="D457" s="2"/>
      <c r="E457" s="11"/>
      <c r="F457" s="11"/>
      <c r="G457" s="2"/>
      <c r="H457" s="18"/>
      <c r="I457" s="19"/>
      <c r="J457" s="18"/>
      <c r="K457" s="6"/>
      <c r="L457" s="14"/>
      <c r="M457" s="6"/>
      <c r="N457" s="6"/>
      <c r="O457" s="6"/>
      <c r="P457" s="13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15"/>
    </row>
    <row r="458" spans="1:31">
      <c r="A458" s="2"/>
      <c r="B458" s="2"/>
      <c r="C458" s="2"/>
      <c r="D458" s="2"/>
      <c r="E458" s="11"/>
      <c r="F458" s="11"/>
      <c r="G458" s="2"/>
      <c r="H458" s="18"/>
      <c r="I458" s="19"/>
      <c r="J458" s="18"/>
      <c r="K458" s="6"/>
      <c r="L458" s="14"/>
      <c r="M458" s="6"/>
      <c r="N458" s="6"/>
      <c r="O458" s="6"/>
      <c r="P458" s="13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15"/>
    </row>
    <row r="459" spans="1:31">
      <c r="A459" s="2"/>
      <c r="B459" s="2"/>
      <c r="C459" s="2"/>
      <c r="D459" s="2"/>
      <c r="E459" s="11"/>
      <c r="F459" s="11"/>
      <c r="G459" s="2"/>
      <c r="H459" s="18"/>
      <c r="I459" s="19"/>
      <c r="J459" s="18"/>
      <c r="K459" s="6"/>
      <c r="L459" s="14"/>
      <c r="M459" s="6"/>
      <c r="N459" s="6"/>
      <c r="O459" s="6"/>
      <c r="P459" s="13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15"/>
    </row>
    <row r="460" spans="1:31">
      <c r="A460" s="2"/>
      <c r="B460" s="2"/>
      <c r="C460" s="2"/>
      <c r="D460" s="2"/>
      <c r="E460" s="11"/>
      <c r="F460" s="11"/>
      <c r="G460" s="2"/>
      <c r="H460" s="18"/>
      <c r="I460" s="19"/>
      <c r="J460" s="18"/>
      <c r="K460" s="6"/>
      <c r="L460" s="14"/>
      <c r="M460" s="6"/>
      <c r="N460" s="6"/>
      <c r="O460" s="6"/>
      <c r="P460" s="13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15"/>
    </row>
    <row r="461" spans="1:31">
      <c r="A461" s="2"/>
      <c r="B461" s="2"/>
      <c r="C461" s="2"/>
      <c r="D461" s="2"/>
      <c r="E461" s="11"/>
      <c r="F461" s="11"/>
      <c r="G461" s="2"/>
      <c r="H461" s="18"/>
      <c r="I461" s="19"/>
      <c r="J461" s="18"/>
      <c r="K461" s="6"/>
      <c r="L461" s="14"/>
      <c r="M461" s="6"/>
      <c r="N461" s="6"/>
      <c r="O461" s="6"/>
      <c r="P461" s="13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15"/>
    </row>
    <row r="462" spans="1:31">
      <c r="A462" s="2"/>
      <c r="B462" s="2"/>
      <c r="C462" s="2"/>
      <c r="D462" s="2"/>
      <c r="E462" s="11"/>
      <c r="F462" s="11"/>
      <c r="G462" s="2"/>
      <c r="H462" s="18"/>
      <c r="I462" s="19"/>
      <c r="J462" s="18"/>
      <c r="K462" s="6"/>
      <c r="L462" s="14"/>
      <c r="M462" s="6"/>
      <c r="N462" s="6"/>
      <c r="O462" s="6"/>
      <c r="P462" s="13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15"/>
    </row>
    <row r="463" spans="1:31">
      <c r="A463" s="2"/>
      <c r="B463" s="2"/>
      <c r="C463" s="2"/>
      <c r="D463" s="2"/>
      <c r="E463" s="11"/>
      <c r="F463" s="11"/>
      <c r="G463" s="2"/>
      <c r="H463" s="18"/>
      <c r="I463" s="19"/>
      <c r="J463" s="18"/>
      <c r="K463" s="6"/>
      <c r="L463" s="14"/>
      <c r="M463" s="6"/>
      <c r="N463" s="6"/>
      <c r="O463" s="6"/>
      <c r="P463" s="13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15"/>
    </row>
    <row r="464" spans="1:31">
      <c r="A464" s="2"/>
      <c r="B464" s="2"/>
      <c r="C464" s="2"/>
      <c r="D464" s="2"/>
      <c r="E464" s="11"/>
      <c r="F464" s="11"/>
      <c r="G464" s="2"/>
      <c r="H464" s="18"/>
      <c r="I464" s="19"/>
      <c r="J464" s="18"/>
      <c r="K464" s="6"/>
      <c r="L464" s="14"/>
      <c r="M464" s="6"/>
      <c r="N464" s="6"/>
      <c r="O464" s="6"/>
      <c r="P464" s="13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15"/>
    </row>
    <row r="465" spans="1:31">
      <c r="A465" s="2"/>
      <c r="B465" s="2"/>
      <c r="C465" s="2"/>
      <c r="D465" s="2"/>
      <c r="E465" s="11"/>
      <c r="F465" s="11"/>
      <c r="G465" s="2"/>
      <c r="H465" s="18"/>
      <c r="I465" s="19"/>
      <c r="J465" s="18"/>
      <c r="K465" s="6"/>
      <c r="L465" s="14"/>
      <c r="M465" s="6"/>
      <c r="N465" s="6"/>
      <c r="O465" s="6"/>
      <c r="P465" s="13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15"/>
    </row>
    <row r="466" spans="1:31">
      <c r="A466" s="2"/>
      <c r="B466" s="2"/>
      <c r="C466" s="2"/>
      <c r="D466" s="2"/>
      <c r="E466" s="11"/>
      <c r="F466" s="11"/>
      <c r="G466" s="2"/>
      <c r="H466" s="18"/>
      <c r="I466" s="19"/>
      <c r="J466" s="18"/>
      <c r="K466" s="6"/>
      <c r="L466" s="14"/>
      <c r="M466" s="6"/>
      <c r="N466" s="6"/>
      <c r="O466" s="6"/>
      <c r="P466" s="13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15"/>
    </row>
    <row r="467" spans="1:31">
      <c r="A467" s="2"/>
      <c r="B467" s="2"/>
      <c r="C467" s="2"/>
      <c r="D467" s="2"/>
      <c r="E467" s="11"/>
      <c r="F467" s="11"/>
      <c r="G467" s="2"/>
      <c r="H467" s="18"/>
      <c r="I467" s="19"/>
      <c r="J467" s="18"/>
      <c r="K467" s="6"/>
      <c r="L467" s="14"/>
      <c r="M467" s="6"/>
      <c r="N467" s="6"/>
      <c r="O467" s="6"/>
      <c r="P467" s="13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15"/>
    </row>
    <row r="468" spans="1:31">
      <c r="A468" s="2"/>
      <c r="B468" s="2"/>
      <c r="C468" s="2"/>
      <c r="D468" s="2"/>
      <c r="E468" s="11"/>
      <c r="F468" s="11"/>
      <c r="G468" s="2"/>
      <c r="H468" s="18"/>
      <c r="I468" s="19"/>
      <c r="J468" s="18"/>
      <c r="K468" s="6"/>
      <c r="L468" s="14"/>
      <c r="M468" s="6"/>
      <c r="N468" s="6"/>
      <c r="O468" s="6"/>
      <c r="P468" s="13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15"/>
    </row>
    <row r="469" spans="1:31">
      <c r="A469" s="2"/>
      <c r="B469" s="2"/>
      <c r="C469" s="2"/>
      <c r="D469" s="2"/>
      <c r="E469" s="11"/>
      <c r="F469" s="11"/>
      <c r="G469" s="2"/>
      <c r="H469" s="18"/>
      <c r="I469" s="19"/>
      <c r="J469" s="18"/>
      <c r="K469" s="6"/>
      <c r="L469" s="14"/>
      <c r="M469" s="6"/>
      <c r="N469" s="6"/>
      <c r="O469" s="6"/>
      <c r="P469" s="13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15"/>
    </row>
    <row r="470" spans="1:31">
      <c r="A470" s="2"/>
      <c r="B470" s="2"/>
      <c r="C470" s="2"/>
      <c r="D470" s="2"/>
      <c r="E470" s="11"/>
      <c r="F470" s="11"/>
      <c r="G470" s="2"/>
      <c r="H470" s="18"/>
      <c r="I470" s="19"/>
      <c r="J470" s="18"/>
      <c r="K470" s="6"/>
      <c r="L470" s="14"/>
      <c r="M470" s="6"/>
      <c r="N470" s="6"/>
      <c r="O470" s="6"/>
      <c r="P470" s="13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15"/>
    </row>
    <row r="471" spans="1:31">
      <c r="A471" s="2"/>
      <c r="B471" s="2"/>
      <c r="C471" s="2"/>
      <c r="D471" s="2"/>
      <c r="E471" s="11"/>
      <c r="F471" s="11"/>
      <c r="G471" s="2"/>
      <c r="H471" s="18"/>
      <c r="I471" s="19"/>
      <c r="J471" s="18"/>
      <c r="K471" s="6"/>
      <c r="L471" s="14"/>
      <c r="M471" s="6"/>
      <c r="N471" s="6"/>
      <c r="O471" s="6"/>
      <c r="P471" s="13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15"/>
    </row>
    <row r="472" spans="1:31">
      <c r="A472" s="2"/>
      <c r="B472" s="2"/>
      <c r="C472" s="2"/>
      <c r="D472" s="2"/>
      <c r="E472" s="11"/>
      <c r="F472" s="11"/>
      <c r="G472" s="2"/>
      <c r="H472" s="18"/>
      <c r="I472" s="19"/>
      <c r="J472" s="18"/>
      <c r="K472" s="6"/>
      <c r="L472" s="14"/>
      <c r="M472" s="6"/>
      <c r="N472" s="6"/>
      <c r="O472" s="6"/>
      <c r="P472" s="13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15"/>
    </row>
    <row r="473" spans="1:31">
      <c r="A473" s="2"/>
      <c r="B473" s="2"/>
      <c r="C473" s="2"/>
      <c r="D473" s="2"/>
      <c r="E473" s="11"/>
      <c r="F473" s="11"/>
      <c r="G473" s="2"/>
      <c r="H473" s="18"/>
      <c r="I473" s="19"/>
      <c r="J473" s="18"/>
      <c r="K473" s="6"/>
      <c r="L473" s="14"/>
      <c r="M473" s="6"/>
      <c r="N473" s="6"/>
      <c r="O473" s="6"/>
      <c r="P473" s="13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15"/>
    </row>
    <row r="474" spans="1:31">
      <c r="A474" s="2"/>
      <c r="B474" s="2"/>
      <c r="C474" s="2"/>
      <c r="D474" s="2"/>
      <c r="E474" s="11"/>
      <c r="F474" s="11"/>
      <c r="G474" s="2"/>
      <c r="H474" s="18"/>
      <c r="I474" s="19"/>
      <c r="J474" s="18"/>
      <c r="K474" s="6"/>
      <c r="L474" s="14"/>
      <c r="M474" s="6"/>
      <c r="N474" s="6"/>
      <c r="O474" s="6"/>
      <c r="P474" s="13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15"/>
    </row>
    <row r="475" spans="1:31">
      <c r="A475" s="2"/>
      <c r="B475" s="2"/>
      <c r="C475" s="2"/>
      <c r="D475" s="2"/>
      <c r="E475" s="11"/>
      <c r="F475" s="11"/>
      <c r="G475" s="2"/>
      <c r="H475" s="18"/>
      <c r="I475" s="19"/>
      <c r="J475" s="18"/>
      <c r="K475" s="6"/>
      <c r="L475" s="14"/>
      <c r="M475" s="6"/>
      <c r="N475" s="6"/>
      <c r="O475" s="6"/>
      <c r="P475" s="13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15"/>
    </row>
    <row r="476" spans="1:31">
      <c r="A476" s="2"/>
      <c r="B476" s="2"/>
      <c r="C476" s="2"/>
      <c r="D476" s="2"/>
      <c r="E476" s="11"/>
      <c r="F476" s="11"/>
      <c r="G476" s="2"/>
      <c r="H476" s="18"/>
      <c r="I476" s="19"/>
      <c r="J476" s="18"/>
      <c r="K476" s="6"/>
      <c r="L476" s="14"/>
      <c r="M476" s="6"/>
      <c r="N476" s="6"/>
      <c r="O476" s="6"/>
      <c r="P476" s="13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15"/>
    </row>
    <row r="477" spans="1:31">
      <c r="A477" s="2"/>
      <c r="B477" s="2"/>
      <c r="C477" s="2"/>
      <c r="D477" s="2"/>
      <c r="E477" s="11"/>
      <c r="F477" s="11"/>
      <c r="G477" s="2"/>
      <c r="H477" s="18"/>
      <c r="I477" s="19"/>
      <c r="J477" s="18"/>
      <c r="K477" s="6"/>
      <c r="L477" s="14"/>
      <c r="M477" s="6"/>
      <c r="N477" s="6"/>
      <c r="O477" s="6"/>
      <c r="P477" s="13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15"/>
    </row>
    <row r="478" spans="1:31">
      <c r="A478" s="2"/>
      <c r="B478" s="2"/>
      <c r="C478" s="2"/>
      <c r="D478" s="2"/>
      <c r="E478" s="11"/>
      <c r="F478" s="11"/>
      <c r="G478" s="2"/>
      <c r="H478" s="18"/>
      <c r="I478" s="19"/>
      <c r="J478" s="18"/>
      <c r="K478" s="6"/>
      <c r="L478" s="14"/>
      <c r="M478" s="6"/>
      <c r="N478" s="6"/>
      <c r="O478" s="6"/>
      <c r="P478" s="13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15"/>
    </row>
    <row r="479" spans="1:31">
      <c r="A479" s="2"/>
      <c r="B479" s="2"/>
      <c r="C479" s="2"/>
      <c r="D479" s="2"/>
      <c r="E479" s="11"/>
      <c r="F479" s="11"/>
      <c r="G479" s="2"/>
      <c r="H479" s="18"/>
      <c r="I479" s="19"/>
      <c r="J479" s="18"/>
      <c r="K479" s="6"/>
      <c r="L479" s="14"/>
      <c r="M479" s="6"/>
      <c r="N479" s="6"/>
      <c r="O479" s="6"/>
      <c r="P479" s="13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15"/>
    </row>
    <row r="480" spans="1:31">
      <c r="A480" s="2"/>
      <c r="B480" s="2"/>
      <c r="C480" s="2"/>
      <c r="D480" s="2"/>
      <c r="E480" s="11"/>
      <c r="F480" s="11"/>
      <c r="G480" s="2"/>
      <c r="H480" s="18"/>
      <c r="I480" s="19"/>
      <c r="J480" s="18"/>
      <c r="K480" s="6"/>
      <c r="L480" s="14"/>
      <c r="M480" s="6"/>
      <c r="N480" s="6"/>
      <c r="O480" s="6"/>
      <c r="P480" s="13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15"/>
    </row>
    <row r="481" spans="1:31">
      <c r="A481" s="2"/>
      <c r="B481" s="2"/>
      <c r="C481" s="2"/>
      <c r="D481" s="2"/>
      <c r="E481" s="11"/>
      <c r="F481" s="11"/>
      <c r="G481" s="2"/>
      <c r="H481" s="18"/>
      <c r="I481" s="19"/>
      <c r="J481" s="18"/>
      <c r="K481" s="6"/>
      <c r="L481" s="14"/>
      <c r="M481" s="6"/>
      <c r="N481" s="6"/>
      <c r="O481" s="6"/>
      <c r="P481" s="13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15"/>
    </row>
    <row r="482" spans="1:31">
      <c r="A482" s="2"/>
      <c r="B482" s="2"/>
      <c r="C482" s="2"/>
      <c r="D482" s="2"/>
      <c r="E482" s="11"/>
      <c r="F482" s="11"/>
      <c r="G482" s="2"/>
      <c r="H482" s="18"/>
      <c r="I482" s="19"/>
      <c r="J482" s="18"/>
      <c r="K482" s="6"/>
      <c r="L482" s="14"/>
      <c r="M482" s="6"/>
      <c r="N482" s="6"/>
      <c r="O482" s="6"/>
      <c r="P482" s="13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15"/>
    </row>
    <row r="483" spans="1:31">
      <c r="A483" s="2"/>
      <c r="B483" s="2"/>
      <c r="C483" s="2"/>
      <c r="D483" s="2"/>
      <c r="E483" s="11"/>
      <c r="F483" s="11"/>
      <c r="G483" s="2"/>
      <c r="H483" s="18"/>
      <c r="I483" s="19"/>
      <c r="J483" s="18"/>
      <c r="K483" s="6"/>
      <c r="L483" s="14"/>
      <c r="M483" s="6"/>
      <c r="N483" s="6"/>
      <c r="O483" s="6"/>
      <c r="P483" s="13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15"/>
    </row>
    <row r="484" spans="1:31">
      <c r="A484" s="2"/>
      <c r="B484" s="2"/>
      <c r="C484" s="2"/>
      <c r="D484" s="2"/>
      <c r="E484" s="11"/>
      <c r="F484" s="11"/>
      <c r="G484" s="2"/>
      <c r="H484" s="18"/>
      <c r="I484" s="19"/>
      <c r="J484" s="18"/>
      <c r="K484" s="6"/>
      <c r="L484" s="14"/>
      <c r="M484" s="6"/>
      <c r="N484" s="6"/>
      <c r="O484" s="6"/>
      <c r="P484" s="13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15"/>
    </row>
    <row r="485" spans="1:31">
      <c r="A485" s="2"/>
      <c r="B485" s="2"/>
      <c r="C485" s="2"/>
      <c r="D485" s="2"/>
      <c r="E485" s="11"/>
      <c r="F485" s="11"/>
      <c r="G485" s="2"/>
      <c r="H485" s="18"/>
      <c r="I485" s="19"/>
      <c r="J485" s="18"/>
      <c r="K485" s="6"/>
      <c r="L485" s="14"/>
      <c r="M485" s="6"/>
      <c r="N485" s="6"/>
      <c r="O485" s="6"/>
      <c r="P485" s="13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15"/>
    </row>
    <row r="486" spans="1:31">
      <c r="A486" s="2"/>
      <c r="B486" s="2"/>
      <c r="C486" s="2"/>
      <c r="D486" s="2"/>
      <c r="E486" s="11"/>
      <c r="F486" s="11"/>
      <c r="G486" s="2"/>
      <c r="H486" s="18"/>
      <c r="I486" s="19"/>
      <c r="J486" s="18"/>
      <c r="K486" s="6"/>
      <c r="L486" s="14"/>
      <c r="M486" s="6"/>
      <c r="N486" s="6"/>
      <c r="O486" s="6"/>
      <c r="P486" s="13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15"/>
    </row>
    <row r="487" spans="1:31">
      <c r="A487" s="2"/>
      <c r="B487" s="2"/>
      <c r="C487" s="2"/>
      <c r="D487" s="2"/>
      <c r="E487" s="11"/>
      <c r="F487" s="11"/>
      <c r="G487" s="2"/>
      <c r="H487" s="18"/>
      <c r="I487" s="19"/>
      <c r="J487" s="18"/>
      <c r="K487" s="6"/>
      <c r="L487" s="14"/>
      <c r="M487" s="6"/>
      <c r="N487" s="6"/>
      <c r="O487" s="6"/>
      <c r="P487" s="13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15"/>
    </row>
    <row r="488" spans="1:31">
      <c r="A488" s="2"/>
      <c r="B488" s="2"/>
      <c r="C488" s="2"/>
      <c r="D488" s="2"/>
      <c r="E488" s="11"/>
      <c r="F488" s="11"/>
      <c r="G488" s="2"/>
      <c r="H488" s="18"/>
      <c r="I488" s="19"/>
      <c r="J488" s="18"/>
      <c r="K488" s="6"/>
      <c r="L488" s="14"/>
      <c r="M488" s="6"/>
      <c r="N488" s="6"/>
      <c r="O488" s="6"/>
      <c r="P488" s="13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15"/>
    </row>
    <row r="489" spans="1:31">
      <c r="A489" s="2"/>
      <c r="B489" s="2"/>
      <c r="C489" s="2"/>
      <c r="D489" s="2"/>
      <c r="E489" s="11"/>
      <c r="F489" s="11"/>
      <c r="G489" s="2"/>
      <c r="H489" s="18"/>
      <c r="I489" s="19"/>
      <c r="J489" s="18"/>
      <c r="K489" s="6"/>
      <c r="L489" s="14"/>
      <c r="M489" s="6"/>
      <c r="N489" s="6"/>
      <c r="O489" s="6"/>
      <c r="P489" s="13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15"/>
    </row>
    <row r="490" spans="1:31">
      <c r="A490" s="2"/>
      <c r="B490" s="2"/>
      <c r="C490" s="2"/>
      <c r="D490" s="2"/>
      <c r="E490" s="11"/>
      <c r="F490" s="11"/>
      <c r="G490" s="2"/>
      <c r="H490" s="18"/>
      <c r="I490" s="19"/>
      <c r="J490" s="18"/>
      <c r="K490" s="6"/>
      <c r="L490" s="14"/>
      <c r="M490" s="6"/>
      <c r="N490" s="6"/>
      <c r="O490" s="6"/>
      <c r="P490" s="13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15"/>
    </row>
    <row r="491" spans="1:31">
      <c r="A491" s="2"/>
      <c r="B491" s="2"/>
      <c r="C491" s="2"/>
      <c r="D491" s="2"/>
      <c r="E491" s="11"/>
      <c r="F491" s="11"/>
      <c r="G491" s="2"/>
      <c r="H491" s="18"/>
      <c r="I491" s="19"/>
      <c r="J491" s="18"/>
      <c r="K491" s="6"/>
      <c r="L491" s="14"/>
      <c r="M491" s="6"/>
      <c r="N491" s="6"/>
      <c r="O491" s="6"/>
      <c r="P491" s="13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15"/>
    </row>
    <row r="492" spans="1:31">
      <c r="A492" s="2"/>
      <c r="B492" s="2"/>
      <c r="C492" s="2"/>
      <c r="D492" s="2"/>
      <c r="E492" s="11"/>
      <c r="F492" s="11"/>
      <c r="G492" s="2"/>
      <c r="H492" s="18"/>
      <c r="I492" s="19"/>
      <c r="J492" s="18"/>
      <c r="K492" s="6"/>
      <c r="L492" s="14"/>
      <c r="M492" s="6"/>
      <c r="N492" s="6"/>
      <c r="O492" s="6"/>
      <c r="P492" s="13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15"/>
    </row>
    <row r="493" spans="1:31">
      <c r="A493" s="2"/>
      <c r="B493" s="2"/>
      <c r="C493" s="2"/>
      <c r="D493" s="2"/>
      <c r="E493" s="11"/>
      <c r="F493" s="11"/>
      <c r="G493" s="2"/>
      <c r="H493" s="18"/>
      <c r="I493" s="19"/>
      <c r="J493" s="18"/>
      <c r="K493" s="6"/>
      <c r="L493" s="14"/>
      <c r="M493" s="6"/>
      <c r="N493" s="6"/>
      <c r="O493" s="6"/>
      <c r="P493" s="13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15"/>
    </row>
    <row r="494" spans="1:31">
      <c r="A494" s="2"/>
      <c r="B494" s="2"/>
      <c r="C494" s="2"/>
      <c r="D494" s="2"/>
      <c r="E494" s="11"/>
      <c r="F494" s="11"/>
      <c r="G494" s="2"/>
      <c r="H494" s="18"/>
      <c r="I494" s="19"/>
      <c r="J494" s="18"/>
      <c r="K494" s="6"/>
      <c r="L494" s="14"/>
      <c r="M494" s="6"/>
      <c r="N494" s="6"/>
      <c r="O494" s="6"/>
      <c r="P494" s="13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15"/>
    </row>
    <row r="495" spans="1:31">
      <c r="A495" s="2"/>
      <c r="B495" s="2"/>
      <c r="C495" s="2"/>
      <c r="D495" s="2"/>
      <c r="E495" s="11"/>
      <c r="F495" s="11"/>
      <c r="G495" s="2"/>
      <c r="H495" s="18"/>
      <c r="I495" s="19"/>
      <c r="J495" s="18"/>
      <c r="K495" s="6"/>
      <c r="L495" s="14"/>
      <c r="M495" s="6"/>
      <c r="N495" s="6"/>
      <c r="O495" s="6"/>
      <c r="P495" s="13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15"/>
    </row>
    <row r="496" spans="1:31">
      <c r="A496" s="2"/>
      <c r="B496" s="2"/>
      <c r="C496" s="2"/>
      <c r="D496" s="2"/>
      <c r="E496" s="11"/>
      <c r="F496" s="11"/>
      <c r="G496" s="2"/>
      <c r="H496" s="18"/>
      <c r="I496" s="19"/>
      <c r="J496" s="18"/>
      <c r="K496" s="6"/>
      <c r="L496" s="14"/>
      <c r="M496" s="6"/>
      <c r="N496" s="6"/>
      <c r="O496" s="6"/>
      <c r="P496" s="13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15"/>
    </row>
    <row r="497" spans="1:31">
      <c r="A497" s="2"/>
      <c r="B497" s="2"/>
      <c r="C497" s="2"/>
      <c r="D497" s="2"/>
      <c r="E497" s="11"/>
      <c r="F497" s="11"/>
      <c r="G497" s="2"/>
      <c r="H497" s="18"/>
      <c r="I497" s="19"/>
      <c r="J497" s="18"/>
      <c r="K497" s="6"/>
      <c r="L497" s="14"/>
      <c r="M497" s="6"/>
      <c r="N497" s="6"/>
      <c r="O497" s="6"/>
      <c r="P497" s="13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15"/>
    </row>
    <row r="498" spans="1:31">
      <c r="A498" s="2"/>
      <c r="B498" s="2"/>
      <c r="C498" s="2"/>
      <c r="D498" s="2"/>
      <c r="E498" s="11"/>
      <c r="F498" s="11"/>
      <c r="G498" s="2"/>
      <c r="H498" s="18"/>
      <c r="I498" s="19"/>
      <c r="J498" s="18"/>
      <c r="K498" s="6"/>
      <c r="L498" s="14"/>
      <c r="M498" s="6"/>
      <c r="N498" s="6"/>
      <c r="O498" s="6"/>
      <c r="P498" s="13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15"/>
    </row>
    <row r="499" spans="1:31">
      <c r="A499" s="2"/>
      <c r="B499" s="2"/>
      <c r="C499" s="2"/>
      <c r="D499" s="2"/>
      <c r="E499" s="11"/>
      <c r="F499" s="11"/>
      <c r="G499" s="2"/>
      <c r="H499" s="18"/>
      <c r="I499" s="19"/>
      <c r="J499" s="18"/>
      <c r="K499" s="6"/>
      <c r="L499" s="14"/>
      <c r="M499" s="6"/>
      <c r="N499" s="6"/>
      <c r="O499" s="6"/>
      <c r="P499" s="13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15"/>
    </row>
    <row r="500" spans="1:31">
      <c r="A500" s="2"/>
      <c r="B500" s="2"/>
      <c r="C500" s="2"/>
      <c r="D500" s="2"/>
      <c r="E500" s="11"/>
      <c r="F500" s="11"/>
      <c r="G500" s="2"/>
      <c r="H500" s="18"/>
      <c r="I500" s="19"/>
      <c r="J500" s="18"/>
      <c r="K500" s="6"/>
      <c r="L500" s="14"/>
      <c r="M500" s="6"/>
      <c r="N500" s="6"/>
      <c r="O500" s="6"/>
      <c r="P500" s="13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15"/>
    </row>
    <row r="501" spans="1:31">
      <c r="A501" s="2"/>
      <c r="B501" s="2"/>
      <c r="C501" s="2"/>
      <c r="D501" s="2"/>
      <c r="E501" s="11"/>
      <c r="F501" s="11"/>
      <c r="G501" s="2"/>
      <c r="H501" s="18"/>
      <c r="I501" s="19"/>
      <c r="J501" s="18"/>
      <c r="K501" s="6"/>
      <c r="L501" s="14"/>
      <c r="M501" s="6"/>
      <c r="N501" s="6"/>
      <c r="O501" s="6"/>
      <c r="P501" s="13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15"/>
    </row>
    <row r="502" spans="1:31">
      <c r="A502" s="2"/>
      <c r="B502" s="2"/>
      <c r="C502" s="2"/>
      <c r="D502" s="2"/>
      <c r="E502" s="11"/>
      <c r="F502" s="11"/>
      <c r="G502" s="2"/>
      <c r="H502" s="18"/>
      <c r="I502" s="19"/>
      <c r="J502" s="18"/>
      <c r="K502" s="6"/>
      <c r="L502" s="14"/>
      <c r="M502" s="6"/>
      <c r="N502" s="6"/>
      <c r="O502" s="6"/>
      <c r="P502" s="13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15"/>
    </row>
    <row r="503" spans="1:31">
      <c r="A503" s="11"/>
      <c r="B503" s="2"/>
      <c r="C503" s="2"/>
      <c r="D503" s="2"/>
      <c r="E503" s="11"/>
      <c r="F503" s="11"/>
      <c r="G503" s="2"/>
      <c r="H503" s="18"/>
      <c r="I503" s="19"/>
      <c r="J503" s="18"/>
      <c r="K503" s="6"/>
      <c r="L503" s="14"/>
      <c r="M503" s="6"/>
      <c r="N503" s="6"/>
      <c r="O503" s="6"/>
      <c r="P503" s="13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15"/>
    </row>
    <row r="504" spans="1:31">
      <c r="A504" s="2"/>
      <c r="B504" s="2"/>
      <c r="C504" s="2"/>
      <c r="D504" s="2"/>
      <c r="E504" s="11"/>
      <c r="F504" s="11"/>
      <c r="G504" s="2"/>
      <c r="H504" s="18"/>
      <c r="I504" s="19"/>
      <c r="J504" s="18"/>
      <c r="K504" s="6"/>
      <c r="L504" s="14"/>
      <c r="M504" s="6"/>
      <c r="N504" s="6"/>
      <c r="O504" s="6"/>
      <c r="P504" s="13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15"/>
    </row>
    <row r="505" spans="1:31">
      <c r="A505" s="2"/>
      <c r="B505" s="2"/>
      <c r="C505" s="2"/>
      <c r="D505" s="2"/>
      <c r="E505" s="11"/>
      <c r="F505" s="11"/>
      <c r="G505" s="2"/>
      <c r="H505" s="18"/>
      <c r="I505" s="19"/>
      <c r="J505" s="18"/>
      <c r="K505" s="6"/>
      <c r="L505" s="14"/>
      <c r="M505" s="6"/>
      <c r="N505" s="6"/>
      <c r="O505" s="6"/>
      <c r="P505" s="13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15"/>
    </row>
    <row r="506" spans="1:31">
      <c r="A506" s="2"/>
      <c r="B506" s="2"/>
      <c r="C506" s="2"/>
      <c r="D506" s="2"/>
      <c r="E506" s="11"/>
      <c r="F506" s="11"/>
      <c r="G506" s="2"/>
      <c r="H506" s="18"/>
      <c r="I506" s="19"/>
      <c r="J506" s="18"/>
      <c r="K506" s="6"/>
      <c r="L506" s="14"/>
      <c r="M506" s="6"/>
      <c r="N506" s="6"/>
      <c r="O506" s="6"/>
      <c r="P506" s="13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15"/>
    </row>
    <row r="507" spans="1:31">
      <c r="A507" s="2"/>
      <c r="B507" s="2"/>
      <c r="C507" s="2"/>
      <c r="D507" s="2"/>
      <c r="E507" s="11"/>
      <c r="F507" s="11"/>
      <c r="G507" s="2"/>
      <c r="H507" s="18"/>
      <c r="I507" s="19"/>
      <c r="J507" s="18"/>
      <c r="K507" s="6"/>
      <c r="L507" s="14"/>
      <c r="M507" s="6"/>
      <c r="N507" s="6"/>
      <c r="O507" s="6"/>
      <c r="P507" s="13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15"/>
    </row>
    <row r="508" spans="1:31">
      <c r="A508" s="2"/>
      <c r="B508" s="2"/>
      <c r="C508" s="2"/>
      <c r="D508" s="2"/>
      <c r="E508" s="11"/>
      <c r="F508" s="11"/>
      <c r="G508" s="2"/>
      <c r="H508" s="18"/>
      <c r="I508" s="19"/>
      <c r="J508" s="18"/>
      <c r="K508" s="6"/>
      <c r="L508" s="14"/>
      <c r="M508" s="6"/>
      <c r="N508" s="6"/>
      <c r="O508" s="6"/>
      <c r="P508" s="13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15"/>
    </row>
    <row r="509" spans="1:31">
      <c r="A509" s="2"/>
      <c r="B509" s="2"/>
      <c r="C509" s="2"/>
      <c r="D509" s="2"/>
      <c r="E509" s="11"/>
      <c r="F509" s="11"/>
      <c r="G509" s="2"/>
      <c r="H509" s="18"/>
      <c r="I509" s="19"/>
      <c r="J509" s="18"/>
      <c r="K509" s="6"/>
      <c r="L509" s="14"/>
      <c r="M509" s="6"/>
      <c r="N509" s="6"/>
      <c r="O509" s="6"/>
      <c r="P509" s="13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15"/>
    </row>
    <row r="510" spans="1:31">
      <c r="A510" s="2"/>
      <c r="B510" s="2"/>
      <c r="C510" s="2"/>
      <c r="D510" s="2"/>
      <c r="E510" s="11"/>
      <c r="F510" s="11"/>
      <c r="G510" s="2"/>
      <c r="H510" s="18"/>
      <c r="I510" s="19"/>
      <c r="J510" s="18"/>
      <c r="K510" s="6"/>
      <c r="L510" s="14"/>
      <c r="M510" s="6"/>
      <c r="N510" s="6"/>
      <c r="O510" s="6"/>
      <c r="P510" s="13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15"/>
    </row>
    <row r="511" spans="1:31">
      <c r="A511" s="2"/>
      <c r="B511" s="2"/>
      <c r="C511" s="2"/>
      <c r="D511" s="2"/>
      <c r="E511" s="11"/>
      <c r="F511" s="11"/>
      <c r="G511" s="2"/>
      <c r="H511" s="18"/>
      <c r="I511" s="19"/>
      <c r="J511" s="18"/>
      <c r="K511" s="6"/>
      <c r="L511" s="14"/>
      <c r="M511" s="6"/>
      <c r="N511" s="6"/>
      <c r="O511" s="6"/>
      <c r="P511" s="13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15"/>
    </row>
    <row r="512" spans="1:31">
      <c r="A512" s="2"/>
      <c r="B512" s="2"/>
      <c r="C512" s="2"/>
      <c r="D512" s="2"/>
      <c r="E512" s="11"/>
      <c r="F512" s="11"/>
      <c r="G512" s="2"/>
      <c r="H512" s="18"/>
      <c r="I512" s="19"/>
      <c r="J512" s="18"/>
      <c r="K512" s="6"/>
      <c r="L512" s="14"/>
      <c r="M512" s="6"/>
      <c r="N512" s="6"/>
      <c r="O512" s="6"/>
      <c r="P512" s="13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15"/>
    </row>
    <row r="513" spans="1:31">
      <c r="A513" s="2"/>
      <c r="B513" s="2"/>
      <c r="C513" s="2"/>
      <c r="D513" s="2"/>
      <c r="E513" s="11"/>
      <c r="F513" s="11"/>
      <c r="G513" s="2"/>
      <c r="H513" s="18"/>
      <c r="I513" s="19"/>
      <c r="J513" s="18"/>
      <c r="K513" s="6"/>
      <c r="L513" s="14"/>
      <c r="M513" s="6"/>
      <c r="N513" s="6"/>
      <c r="O513" s="6"/>
      <c r="P513" s="13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15"/>
    </row>
    <row r="514" spans="1:31">
      <c r="A514" s="2"/>
      <c r="B514" s="2"/>
      <c r="C514" s="2"/>
      <c r="D514" s="2"/>
      <c r="E514" s="11"/>
      <c r="F514" s="11"/>
      <c r="G514" s="2"/>
      <c r="H514" s="18"/>
      <c r="I514" s="19"/>
      <c r="J514" s="18"/>
      <c r="K514" s="6"/>
      <c r="L514" s="14"/>
      <c r="M514" s="6"/>
      <c r="N514" s="6"/>
      <c r="O514" s="6"/>
      <c r="P514" s="13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15"/>
    </row>
    <row r="515" spans="1:31">
      <c r="A515" s="2"/>
      <c r="B515" s="2"/>
      <c r="C515" s="2"/>
      <c r="D515" s="2"/>
      <c r="E515" s="11"/>
      <c r="F515" s="11"/>
      <c r="G515" s="2"/>
      <c r="H515" s="18"/>
      <c r="I515" s="19"/>
      <c r="J515" s="18"/>
      <c r="K515" s="6"/>
      <c r="L515" s="14"/>
      <c r="M515" s="6"/>
      <c r="N515" s="6"/>
      <c r="O515" s="6"/>
      <c r="P515" s="13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15"/>
    </row>
    <row r="516" spans="1:31">
      <c r="A516" s="2"/>
      <c r="B516" s="2"/>
      <c r="C516" s="2"/>
      <c r="D516" s="2"/>
      <c r="E516" s="11"/>
      <c r="F516" s="11"/>
      <c r="G516" s="2"/>
      <c r="H516" s="18"/>
      <c r="I516" s="19"/>
      <c r="J516" s="18"/>
      <c r="K516" s="6"/>
      <c r="L516" s="14"/>
      <c r="M516" s="6"/>
      <c r="N516" s="6"/>
      <c r="O516" s="6"/>
      <c r="P516" s="13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15"/>
    </row>
    <row r="517" spans="1:31">
      <c r="A517" s="2"/>
      <c r="B517" s="2"/>
      <c r="C517" s="2"/>
      <c r="D517" s="2"/>
      <c r="E517" s="11"/>
      <c r="F517" s="11"/>
      <c r="G517" s="2"/>
      <c r="H517" s="18"/>
      <c r="I517" s="19"/>
      <c r="J517" s="18"/>
      <c r="K517" s="6"/>
      <c r="L517" s="14"/>
      <c r="M517" s="6"/>
      <c r="N517" s="6"/>
      <c r="O517" s="6"/>
      <c r="P517" s="13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15"/>
    </row>
    <row r="518" spans="1:31">
      <c r="A518" s="2"/>
      <c r="B518" s="2"/>
      <c r="C518" s="2"/>
      <c r="D518" s="2"/>
      <c r="E518" s="11"/>
      <c r="F518" s="11"/>
      <c r="G518" s="2"/>
      <c r="H518" s="18"/>
      <c r="I518" s="19"/>
      <c r="J518" s="18"/>
      <c r="K518" s="6"/>
      <c r="L518" s="14"/>
      <c r="M518" s="6"/>
      <c r="N518" s="6"/>
      <c r="O518" s="6"/>
      <c r="P518" s="13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15"/>
    </row>
    <row r="519" spans="1:31">
      <c r="A519" s="2"/>
      <c r="B519" s="2"/>
      <c r="C519" s="2"/>
      <c r="D519" s="2"/>
      <c r="E519" s="11"/>
      <c r="F519" s="11"/>
      <c r="G519" s="2"/>
      <c r="H519" s="18"/>
      <c r="I519" s="19"/>
      <c r="J519" s="18"/>
      <c r="K519" s="6"/>
      <c r="L519" s="14"/>
      <c r="M519" s="6"/>
      <c r="N519" s="6"/>
      <c r="O519" s="6"/>
      <c r="P519" s="13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15"/>
    </row>
    <row r="520" spans="1:31">
      <c r="A520" s="2"/>
      <c r="B520" s="2"/>
      <c r="C520" s="2"/>
      <c r="D520" s="2"/>
      <c r="E520" s="11"/>
      <c r="F520" s="11"/>
      <c r="G520" s="2"/>
      <c r="H520" s="18"/>
      <c r="I520" s="19"/>
      <c r="J520" s="18"/>
      <c r="K520" s="6"/>
      <c r="L520" s="14"/>
      <c r="M520" s="6"/>
      <c r="N520" s="6"/>
      <c r="O520" s="6"/>
      <c r="P520" s="13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15"/>
    </row>
    <row r="521" spans="1:31">
      <c r="A521" s="2"/>
      <c r="B521" s="2"/>
      <c r="C521" s="2"/>
      <c r="D521" s="2"/>
      <c r="E521" s="11"/>
      <c r="F521" s="11"/>
      <c r="G521" s="2"/>
      <c r="H521" s="18"/>
      <c r="I521" s="19"/>
      <c r="J521" s="18"/>
      <c r="K521" s="6"/>
      <c r="L521" s="14"/>
      <c r="M521" s="6"/>
      <c r="N521" s="6"/>
      <c r="O521" s="6"/>
      <c r="P521" s="13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15"/>
    </row>
    <row r="522" spans="1:31">
      <c r="A522" s="2"/>
      <c r="B522" s="2"/>
      <c r="C522" s="2"/>
      <c r="D522" s="2"/>
      <c r="E522" s="11"/>
      <c r="F522" s="11"/>
      <c r="G522" s="2"/>
      <c r="H522" s="18"/>
      <c r="I522" s="19"/>
      <c r="J522" s="18"/>
      <c r="K522" s="6"/>
      <c r="L522" s="14"/>
      <c r="M522" s="6"/>
      <c r="N522" s="6"/>
      <c r="O522" s="6"/>
      <c r="P522" s="13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15"/>
    </row>
    <row r="523" spans="1:31">
      <c r="A523" s="2"/>
      <c r="B523" s="2"/>
      <c r="C523" s="2"/>
      <c r="D523" s="2"/>
      <c r="E523" s="11"/>
      <c r="F523" s="11"/>
      <c r="G523" s="2"/>
      <c r="H523" s="18"/>
      <c r="I523" s="19"/>
      <c r="J523" s="18"/>
      <c r="K523" s="6"/>
      <c r="L523" s="14"/>
      <c r="M523" s="6"/>
      <c r="N523" s="6"/>
      <c r="O523" s="6"/>
      <c r="P523" s="13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15"/>
    </row>
    <row r="524" spans="1:31">
      <c r="A524" s="2"/>
      <c r="B524" s="2"/>
      <c r="C524" s="2"/>
      <c r="D524" s="2"/>
      <c r="E524" s="11"/>
      <c r="F524" s="11"/>
      <c r="G524" s="2"/>
      <c r="H524" s="18"/>
      <c r="I524" s="19"/>
      <c r="J524" s="18"/>
      <c r="K524" s="6"/>
      <c r="L524" s="14"/>
      <c r="M524" s="6"/>
      <c r="N524" s="6"/>
      <c r="O524" s="6"/>
      <c r="P524" s="13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15"/>
    </row>
  </sheetData>
  <autoFilter ref="A25:AE25" xr:uid="{00000000-0009-0000-0000-000004000000}">
    <sortState xmlns:xlrd2="http://schemas.microsoft.com/office/spreadsheetml/2017/richdata2" ref="A21:AD313">
      <sortCondition ref="B20"/>
    </sortState>
  </autoFilter>
  <phoneticPr fontId="3" type="noConversion"/>
  <conditionalFormatting sqref="D26:D1005">
    <cfRule type="duplicateValues" dxfId="1" priority="15"/>
  </conditionalFormatting>
  <conditionalFormatting sqref="A26:AE505">
    <cfRule type="expression" dxfId="0" priority="16">
      <formula>$AD26&gt;0</formula>
    </cfRule>
  </conditionalFormatting>
  <pageMargins left="0.70866141732283472" right="0.70866141732283472" top="0.74803149606299213" bottom="0.74803149606299213" header="0.31496062992125984" footer="0.31496062992125984"/>
  <pageSetup paperSize="9" scale="7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1</vt:i4>
      </vt:variant>
    </vt:vector>
  </HeadingPairs>
  <TitlesOfParts>
    <vt:vector size="6" baseType="lpstr">
      <vt:lpstr>설명</vt:lpstr>
      <vt:lpstr>사용방법</vt:lpstr>
      <vt:lpstr>이름 일치</vt:lpstr>
      <vt:lpstr>통합-정리전</vt:lpstr>
      <vt:lpstr>임시반번호순</vt:lpstr>
      <vt:lpstr>임시반번호순!Print_Titles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박지연</dc:creator>
  <cp:lastModifiedBy>부유민</cp:lastModifiedBy>
  <cp:lastPrinted>2019-05-15T06:43:45Z</cp:lastPrinted>
  <dcterms:created xsi:type="dcterms:W3CDTF">2018-12-24T03:38:56Z</dcterms:created>
  <dcterms:modified xsi:type="dcterms:W3CDTF">2025-02-14T06:39:03Z</dcterms:modified>
</cp:coreProperties>
</file>