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0B3D426-DFAA-46B7-ADE1-4034850FD3B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설명" sheetId="63" r:id="rId1"/>
    <sheet name="사용방법" sheetId="62" r:id="rId2"/>
    <sheet name="이름 일치" sheetId="1" r:id="rId3"/>
    <sheet name="통합-정리전" sheetId="49" r:id="rId4"/>
    <sheet name="임시반번호순" sheetId="50" r:id="rId5"/>
  </sheets>
  <definedNames>
    <definedName name="_xlnm._FilterDatabase" localSheetId="2" hidden="1">'이름 일치'!$O$22:$P$501</definedName>
    <definedName name="_xlnm._FilterDatabase" localSheetId="4" hidden="1">임시반번호순!$A$25:$U$25</definedName>
    <definedName name="_xlnm.Print_Titles" localSheetId="4">임시반번호순!$25:$25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50" l="1"/>
  <c r="B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4" i="50"/>
  <c r="A2" i="50"/>
  <c r="A3" i="50"/>
  <c r="P3" i="1"/>
  <c r="S3" i="1"/>
  <c r="R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3" i="1"/>
  <c r="M20" i="50" l="1"/>
  <c r="M19" i="50"/>
  <c r="M18" i="50"/>
  <c r="M17" i="50"/>
  <c r="M13" i="50"/>
  <c r="M12" i="50"/>
  <c r="M11" i="50"/>
  <c r="M10" i="50"/>
  <c r="M5" i="50"/>
  <c r="M4" i="50"/>
  <c r="M3" i="50"/>
  <c r="M2" i="50"/>
  <c r="C12" i="50"/>
  <c r="C11" i="50"/>
  <c r="C5" i="50"/>
  <c r="C4" i="50"/>
  <c r="C20" i="50"/>
  <c r="C19" i="50"/>
  <c r="C18" i="50"/>
  <c r="C13" i="50"/>
  <c r="C3" i="50"/>
  <c r="C2" i="50"/>
  <c r="B20" i="50"/>
  <c r="B19" i="50"/>
  <c r="B13" i="50"/>
  <c r="B12" i="50"/>
  <c r="B11" i="50"/>
  <c r="B10" i="50"/>
  <c r="B9" i="50"/>
  <c r="E9" i="50" s="1"/>
  <c r="B5" i="50"/>
  <c r="B4" i="50"/>
  <c r="B3" i="50"/>
  <c r="F21" i="50"/>
  <c r="L20" i="50"/>
  <c r="I20" i="50"/>
  <c r="H20" i="50"/>
  <c r="G20" i="50"/>
  <c r="F20" i="50"/>
  <c r="L19" i="50"/>
  <c r="K19" i="50"/>
  <c r="J19" i="50"/>
  <c r="I19" i="50"/>
  <c r="J18" i="50"/>
  <c r="I18" i="50"/>
  <c r="H18" i="50"/>
  <c r="G18" i="50"/>
  <c r="F18" i="50"/>
  <c r="L17" i="50"/>
  <c r="G17" i="50"/>
  <c r="F17" i="50"/>
  <c r="L16" i="50"/>
  <c r="L13" i="50"/>
  <c r="J13" i="50"/>
  <c r="I13" i="50"/>
  <c r="H13" i="50"/>
  <c r="G13" i="50"/>
  <c r="F13" i="50"/>
  <c r="L12" i="50"/>
  <c r="I12" i="50"/>
  <c r="H12" i="50"/>
  <c r="G12" i="50"/>
  <c r="F12" i="50"/>
  <c r="L11" i="50"/>
  <c r="K11" i="50"/>
  <c r="J11" i="50"/>
  <c r="I11" i="50"/>
  <c r="F11" i="50"/>
  <c r="L10" i="50"/>
  <c r="K10" i="50"/>
  <c r="J10" i="50"/>
  <c r="I10" i="50"/>
  <c r="H10" i="50"/>
  <c r="G10" i="50"/>
  <c r="F10" i="50"/>
  <c r="L9" i="50"/>
  <c r="H9" i="50"/>
  <c r="G9" i="50"/>
  <c r="F9" i="50"/>
  <c r="L8" i="50"/>
  <c r="H6" i="50"/>
  <c r="G6" i="50"/>
  <c r="F6" i="50"/>
  <c r="L5" i="50"/>
  <c r="J5" i="50"/>
  <c r="I5" i="50"/>
  <c r="H5" i="50"/>
  <c r="G5" i="50"/>
  <c r="F5" i="50"/>
  <c r="L4" i="50"/>
  <c r="H4" i="50"/>
  <c r="G4" i="50"/>
  <c r="F4" i="50"/>
  <c r="L3" i="50"/>
  <c r="K3" i="50"/>
  <c r="J3" i="50"/>
  <c r="I3" i="50"/>
  <c r="K2" i="50"/>
  <c r="J2" i="50"/>
  <c r="I2" i="50"/>
  <c r="H2" i="50"/>
  <c r="G2" i="50"/>
  <c r="F2" i="50"/>
  <c r="K21" i="50"/>
  <c r="K20" i="50"/>
  <c r="H19" i="50"/>
  <c r="B18" i="50"/>
  <c r="C17" i="50"/>
  <c r="M16" i="50"/>
  <c r="M15" i="50"/>
  <c r="M14" i="50"/>
  <c r="D13" i="50"/>
  <c r="K12" i="50"/>
  <c r="D11" i="50"/>
  <c r="C10" i="50"/>
  <c r="K9" i="50"/>
  <c r="K8" i="50"/>
  <c r="M7" i="50"/>
  <c r="B6" i="50"/>
  <c r="K5" i="50"/>
  <c r="K4" i="50"/>
  <c r="H3" i="50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3" i="1"/>
  <c r="C21" i="50" l="1"/>
  <c r="C6" i="50"/>
  <c r="L21" i="50"/>
  <c r="F14" i="50"/>
  <c r="H14" i="50"/>
  <c r="I6" i="50"/>
  <c r="I14" i="50"/>
  <c r="B7" i="50"/>
  <c r="E7" i="50" s="1"/>
  <c r="M21" i="50"/>
  <c r="J6" i="50"/>
  <c r="J14" i="50"/>
  <c r="K6" i="50"/>
  <c r="K14" i="50"/>
  <c r="K18" i="50"/>
  <c r="L2" i="50"/>
  <c r="L6" i="50"/>
  <c r="L14" i="50"/>
  <c r="L18" i="50"/>
  <c r="C7" i="50"/>
  <c r="F3" i="50"/>
  <c r="F7" i="50"/>
  <c r="F15" i="50"/>
  <c r="F19" i="50"/>
  <c r="C8" i="50"/>
  <c r="G3" i="50"/>
  <c r="G7" i="50"/>
  <c r="G11" i="50"/>
  <c r="G15" i="50"/>
  <c r="G19" i="50"/>
  <c r="C9" i="50"/>
  <c r="H7" i="50"/>
  <c r="H11" i="50"/>
  <c r="H15" i="50"/>
  <c r="B14" i="50"/>
  <c r="I7" i="50"/>
  <c r="I15" i="50"/>
  <c r="B15" i="50"/>
  <c r="E15" i="50" s="1"/>
  <c r="G14" i="50"/>
  <c r="K7" i="50"/>
  <c r="F16" i="50"/>
  <c r="J7" i="50"/>
  <c r="J15" i="50"/>
  <c r="B16" i="50"/>
  <c r="K15" i="50"/>
  <c r="B17" i="50"/>
  <c r="E17" i="50" s="1"/>
  <c r="L7" i="50"/>
  <c r="L15" i="50"/>
  <c r="D9" i="50"/>
  <c r="F8" i="50"/>
  <c r="G8" i="50"/>
  <c r="G16" i="50"/>
  <c r="H8" i="50"/>
  <c r="H16" i="50"/>
  <c r="B21" i="50"/>
  <c r="E21" i="50" s="1"/>
  <c r="M6" i="50"/>
  <c r="M23" i="50" s="1"/>
  <c r="I4" i="50"/>
  <c r="I23" i="50" s="1"/>
  <c r="I8" i="50"/>
  <c r="I16" i="50"/>
  <c r="B8" i="50"/>
  <c r="E8" i="50" s="1"/>
  <c r="J4" i="50"/>
  <c r="J8" i="50"/>
  <c r="J12" i="50"/>
  <c r="J16" i="50"/>
  <c r="J20" i="50"/>
  <c r="M8" i="50"/>
  <c r="K16" i="50"/>
  <c r="M9" i="50"/>
  <c r="G21" i="50"/>
  <c r="H17" i="50"/>
  <c r="H21" i="50"/>
  <c r="C14" i="50"/>
  <c r="I9" i="50"/>
  <c r="I17" i="50"/>
  <c r="I21" i="50"/>
  <c r="C15" i="50"/>
  <c r="J9" i="50"/>
  <c r="J17" i="50"/>
  <c r="J21" i="50"/>
  <c r="C16" i="50"/>
  <c r="K13" i="50"/>
  <c r="K17" i="50"/>
  <c r="E16" i="50"/>
  <c r="E12" i="50"/>
  <c r="D12" i="50"/>
  <c r="D4" i="50"/>
  <c r="E3" i="50"/>
  <c r="D14" i="50"/>
  <c r="E4" i="50"/>
  <c r="E5" i="50"/>
  <c r="D7" i="50"/>
  <c r="E18" i="50"/>
  <c r="D16" i="50"/>
  <c r="D19" i="50"/>
  <c r="E2" i="50"/>
  <c r="D17" i="50"/>
  <c r="E13" i="50"/>
  <c r="D15" i="50"/>
  <c r="D18" i="50"/>
  <c r="E14" i="50"/>
  <c r="E6" i="50"/>
  <c r="D8" i="50"/>
  <c r="E19" i="50"/>
  <c r="D6" i="50"/>
  <c r="E11" i="50"/>
  <c r="E20" i="50"/>
  <c r="D20" i="50"/>
  <c r="D5" i="50"/>
  <c r="D3" i="50"/>
  <c r="E10" i="50"/>
  <c r="D10" i="50"/>
  <c r="D21" i="50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3" i="1"/>
  <c r="F23" i="50" l="1"/>
  <c r="K23" i="50"/>
  <c r="H23" i="50"/>
  <c r="G23" i="50"/>
  <c r="J23" i="50"/>
  <c r="E23" i="50"/>
  <c r="L22" i="50"/>
  <c r="L23" i="50" s="1"/>
  <c r="K22" i="50"/>
  <c r="G22" i="50"/>
  <c r="J22" i="50"/>
  <c r="M22" i="50"/>
  <c r="I22" i="50"/>
  <c r="F22" i="50"/>
  <c r="H22" i="50"/>
  <c r="E22" i="50"/>
  <c r="T6" i="1"/>
  <c r="T5" i="1" l="1"/>
  <c r="T3" i="1" l="1"/>
  <c r="R4" i="1"/>
  <c r="S4" i="1"/>
  <c r="L500" i="1" l="1"/>
  <c r="L498" i="1"/>
  <c r="L496" i="1"/>
  <c r="L495" i="1"/>
  <c r="L493" i="1"/>
  <c r="L491" i="1"/>
  <c r="L489" i="1"/>
  <c r="L487" i="1"/>
  <c r="L485" i="1"/>
  <c r="L483" i="1"/>
  <c r="L482" i="1"/>
  <c r="L501" i="1"/>
  <c r="L499" i="1"/>
  <c r="L497" i="1"/>
  <c r="L494" i="1"/>
  <c r="L492" i="1"/>
  <c r="L490" i="1"/>
  <c r="L488" i="1"/>
  <c r="L486" i="1"/>
  <c r="L484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3" i="1" l="1"/>
  <c r="L22" i="1"/>
  <c r="L20" i="1"/>
  <c r="L18" i="1"/>
  <c r="L16" i="1"/>
  <c r="L14" i="1"/>
  <c r="L12" i="1"/>
  <c r="L10" i="1"/>
  <c r="L8" i="1"/>
  <c r="L6" i="1"/>
  <c r="L4" i="1"/>
  <c r="L21" i="1"/>
  <c r="L19" i="1"/>
  <c r="L17" i="1"/>
  <c r="L15" i="1"/>
  <c r="L13" i="1"/>
  <c r="L11" i="1"/>
  <c r="L9" i="1"/>
  <c r="L7" i="1"/>
  <c r="L5" i="1"/>
  <c r="L88" i="1"/>
  <c r="L260" i="1"/>
  <c r="L258" i="1"/>
  <c r="L256" i="1"/>
  <c r="L254" i="1"/>
  <c r="L252" i="1"/>
  <c r="L250" i="1"/>
  <c r="L248" i="1"/>
  <c r="L246" i="1"/>
  <c r="L244" i="1"/>
  <c r="L242" i="1"/>
  <c r="L240" i="1"/>
  <c r="L238" i="1"/>
  <c r="L236" i="1"/>
  <c r="L234" i="1"/>
  <c r="L232" i="1"/>
  <c r="L230" i="1"/>
  <c r="L228" i="1"/>
  <c r="L226" i="1"/>
  <c r="L224" i="1"/>
  <c r="L222" i="1"/>
  <c r="L220" i="1"/>
  <c r="L218" i="1"/>
  <c r="L216" i="1"/>
  <c r="L214" i="1"/>
  <c r="L212" i="1"/>
  <c r="L210" i="1"/>
  <c r="L208" i="1"/>
  <c r="L206" i="1"/>
  <c r="L204" i="1"/>
  <c r="L202" i="1"/>
  <c r="L200" i="1"/>
  <c r="L198" i="1"/>
  <c r="L196" i="1"/>
  <c r="L194" i="1"/>
  <c r="L192" i="1"/>
  <c r="L190" i="1"/>
  <c r="L188" i="1"/>
  <c r="L186" i="1"/>
  <c r="L184" i="1"/>
  <c r="L182" i="1"/>
  <c r="L180" i="1"/>
  <c r="L178" i="1"/>
  <c r="L176" i="1"/>
  <c r="L174" i="1"/>
  <c r="L172" i="1"/>
  <c r="L170" i="1"/>
  <c r="L168" i="1"/>
  <c r="L166" i="1"/>
  <c r="L164" i="1"/>
  <c r="L162" i="1"/>
  <c r="L160" i="1"/>
  <c r="L158" i="1"/>
  <c r="L156" i="1"/>
  <c r="L154" i="1"/>
  <c r="L152" i="1"/>
  <c r="L150" i="1"/>
  <c r="L148" i="1"/>
  <c r="L146" i="1"/>
  <c r="L144" i="1"/>
  <c r="L142" i="1"/>
  <c r="L140" i="1"/>
  <c r="L138" i="1"/>
  <c r="L136" i="1"/>
  <c r="L134" i="1"/>
  <c r="L132" i="1"/>
  <c r="L130" i="1"/>
  <c r="L128" i="1"/>
  <c r="L126" i="1"/>
  <c r="L124" i="1"/>
  <c r="L122" i="1"/>
  <c r="L120" i="1"/>
  <c r="L118" i="1"/>
  <c r="L116" i="1"/>
  <c r="L114" i="1"/>
  <c r="L112" i="1"/>
  <c r="L110" i="1"/>
  <c r="L108" i="1"/>
  <c r="L106" i="1"/>
  <c r="L104" i="1"/>
  <c r="L102" i="1"/>
  <c r="L100" i="1"/>
  <c r="L98" i="1"/>
  <c r="L96" i="1"/>
  <c r="L94" i="1"/>
  <c r="L92" i="1"/>
  <c r="L90" i="1"/>
  <c r="L86" i="1"/>
  <c r="L84" i="1"/>
  <c r="L82" i="1"/>
  <c r="L80" i="1"/>
  <c r="L78" i="1"/>
  <c r="L76" i="1"/>
  <c r="L74" i="1"/>
  <c r="L72" i="1"/>
  <c r="L70" i="1"/>
  <c r="L68" i="1"/>
  <c r="L66" i="1"/>
  <c r="L64" i="1"/>
  <c r="L62" i="1"/>
  <c r="L60" i="1"/>
  <c r="L58" i="1"/>
  <c r="L56" i="1"/>
  <c r="L54" i="1"/>
  <c r="L52" i="1"/>
  <c r="L50" i="1"/>
  <c r="L48" i="1"/>
  <c r="L46" i="1"/>
  <c r="L44" i="1"/>
  <c r="L42" i="1"/>
  <c r="L40" i="1"/>
  <c r="L38" i="1"/>
  <c r="L36" i="1"/>
  <c r="L34" i="1"/>
  <c r="L32" i="1"/>
  <c r="L30" i="1"/>
  <c r="L28" i="1"/>
  <c r="L26" i="1"/>
  <c r="L24" i="1"/>
  <c r="L261" i="1"/>
  <c r="L259" i="1"/>
  <c r="L257" i="1"/>
  <c r="L255" i="1"/>
  <c r="L253" i="1"/>
  <c r="L251" i="1"/>
  <c r="L249" i="1"/>
  <c r="L247" i="1"/>
  <c r="L245" i="1"/>
  <c r="L243" i="1"/>
  <c r="L241" i="1"/>
  <c r="L239" i="1"/>
  <c r="L237" i="1"/>
  <c r="L235" i="1"/>
  <c r="L233" i="1"/>
  <c r="L231" i="1"/>
  <c r="L229" i="1"/>
  <c r="L227" i="1"/>
  <c r="L225" i="1"/>
  <c r="L223" i="1"/>
  <c r="L221" i="1"/>
  <c r="L219" i="1"/>
  <c r="L217" i="1"/>
  <c r="L215" i="1"/>
  <c r="L213" i="1"/>
  <c r="L211" i="1"/>
  <c r="L209" i="1"/>
  <c r="L207" i="1"/>
  <c r="L205" i="1"/>
  <c r="L203" i="1"/>
  <c r="L201" i="1"/>
  <c r="L199" i="1"/>
  <c r="L197" i="1"/>
  <c r="L195" i="1"/>
  <c r="L193" i="1"/>
  <c r="L191" i="1"/>
  <c r="L189" i="1"/>
  <c r="L187" i="1"/>
  <c r="L185" i="1"/>
  <c r="L183" i="1"/>
  <c r="L181" i="1"/>
  <c r="L179" i="1"/>
  <c r="L177" i="1"/>
  <c r="L175" i="1"/>
  <c r="L173" i="1"/>
  <c r="L171" i="1"/>
  <c r="L169" i="1"/>
  <c r="L167" i="1"/>
  <c r="L165" i="1"/>
  <c r="L163" i="1"/>
  <c r="L161" i="1"/>
  <c r="L159" i="1"/>
  <c r="L157" i="1"/>
  <c r="L155" i="1"/>
  <c r="L153" i="1"/>
  <c r="L151" i="1"/>
  <c r="L149" i="1"/>
  <c r="L147" i="1"/>
  <c r="L145" i="1"/>
  <c r="L143" i="1"/>
  <c r="L141" i="1"/>
  <c r="L139" i="1"/>
  <c r="L137" i="1"/>
  <c r="L135" i="1"/>
  <c r="L133" i="1"/>
  <c r="L131" i="1"/>
  <c r="L129" i="1"/>
  <c r="L127" i="1"/>
  <c r="L125" i="1"/>
  <c r="L123" i="1"/>
  <c r="L121" i="1"/>
  <c r="L119" i="1"/>
  <c r="L117" i="1"/>
  <c r="L115" i="1"/>
  <c r="L113" i="1"/>
  <c r="L111" i="1"/>
  <c r="L109" i="1"/>
  <c r="L107" i="1"/>
  <c r="L105" i="1"/>
  <c r="L103" i="1"/>
  <c r="L101" i="1"/>
  <c r="L99" i="1"/>
  <c r="L97" i="1"/>
  <c r="L95" i="1"/>
  <c r="L93" i="1"/>
  <c r="L91" i="1"/>
  <c r="L89" i="1"/>
  <c r="L87" i="1"/>
  <c r="L85" i="1"/>
  <c r="L83" i="1"/>
  <c r="L81" i="1"/>
  <c r="L79" i="1"/>
  <c r="L77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</calcChain>
</file>

<file path=xl/sharedStrings.xml><?xml version="1.0" encoding="utf-8"?>
<sst xmlns="http://schemas.openxmlformats.org/spreadsheetml/2006/main" count="634" uniqueCount="161">
  <si>
    <t>학년반번호</t>
  </si>
  <si>
    <t>일치 결과</t>
    <phoneticPr fontId="3" type="noConversion"/>
  </si>
  <si>
    <t>동명이인</t>
    <phoneticPr fontId="3" type="noConversion"/>
  </si>
  <si>
    <t>이름</t>
  </si>
  <si>
    <t>비고</t>
    <phoneticPr fontId="3" type="noConversion"/>
  </si>
  <si>
    <t>전체인원수</t>
    <phoneticPr fontId="3" type="noConversion"/>
  </si>
  <si>
    <t>남</t>
    <phoneticPr fontId="3" type="noConversion"/>
  </si>
  <si>
    <t>여</t>
    <phoneticPr fontId="3" type="noConversion"/>
  </si>
  <si>
    <t>이름</t>
    <phoneticPr fontId="3" type="noConversion"/>
  </si>
  <si>
    <t>명이인</t>
  </si>
  <si>
    <t>성+이름</t>
    <phoneticPr fontId="3" type="noConversion"/>
  </si>
  <si>
    <t>학교명</t>
  </si>
  <si>
    <t>성별</t>
  </si>
  <si>
    <t>*붙여넣기</t>
    <phoneticPr fontId="3" type="noConversion"/>
  </si>
  <si>
    <t>*일치하지 않으면 999</t>
    <phoneticPr fontId="3" type="noConversion"/>
  </si>
  <si>
    <t>*동명이인일 때 빨간색 셀-&gt;</t>
    <phoneticPr fontId="3" type="noConversion"/>
  </si>
  <si>
    <t>한 반 인원</t>
    <phoneticPr fontId="3" type="noConversion"/>
  </si>
  <si>
    <t>상담여부</t>
  </si>
  <si>
    <t>비고</t>
  </si>
  <si>
    <t>신규반</t>
  </si>
  <si>
    <t>신규번호</t>
  </si>
  <si>
    <t>로우데이터 불러오기</t>
    <phoneticPr fontId="3" type="noConversion"/>
  </si>
  <si>
    <t>반</t>
    <phoneticPr fontId="3" type="noConversion"/>
  </si>
  <si>
    <t>성비</t>
    <phoneticPr fontId="3" type="noConversion"/>
  </si>
  <si>
    <t>전체</t>
    <phoneticPr fontId="3" type="noConversion"/>
  </si>
  <si>
    <t>무응답</t>
  </si>
  <si>
    <t/>
  </si>
  <si>
    <t>남자 반</t>
    <phoneticPr fontId="3" type="noConversion"/>
  </si>
  <si>
    <t>여자 반</t>
    <phoneticPr fontId="3" type="noConversion"/>
  </si>
  <si>
    <t>남녀 합반</t>
    <phoneticPr fontId="3" type="noConversion"/>
  </si>
  <si>
    <t>남녀 분반</t>
    <phoneticPr fontId="3" type="noConversion"/>
  </si>
  <si>
    <t>학교 양식 시트나눔</t>
    <phoneticPr fontId="3" type="noConversion"/>
  </si>
  <si>
    <t>★ 검수 ★</t>
    <phoneticPr fontId="3" type="noConversion"/>
  </si>
  <si>
    <t>1 )로우데이터 불러오기</t>
    <phoneticPr fontId="3" type="noConversion"/>
  </si>
  <si>
    <t xml:space="preserve"> - 폴더 내 로우데이터만 있어야함</t>
    <phoneticPr fontId="3" type="noConversion"/>
  </si>
  <si>
    <t>2) 이름확인 - 비고작성</t>
    <phoneticPr fontId="3" type="noConversion"/>
  </si>
  <si>
    <t xml:space="preserve"> - 종합, 능력&amp;인성 선택</t>
    <phoneticPr fontId="3" type="noConversion"/>
  </si>
  <si>
    <t xml:space="preserve">    누락된 학생 확인 -&gt; 누락된 검사 같은 위치에 빈 행 삽입해줘야함!</t>
    <phoneticPr fontId="3" type="noConversion"/>
  </si>
  <si>
    <t>3) 정렬 &amp; 저장</t>
    <phoneticPr fontId="3" type="noConversion"/>
  </si>
  <si>
    <t xml:space="preserve"> - 종합, 능력, 인성 선택</t>
    <phoneticPr fontId="3" type="noConversion"/>
  </si>
  <si>
    <t>4) 반 입력 매크로</t>
    <phoneticPr fontId="3" type="noConversion"/>
  </si>
  <si>
    <t xml:space="preserve"> - 남녀 합반, 분반 선택</t>
    <phoneticPr fontId="3" type="noConversion"/>
  </si>
  <si>
    <t>5)  검수 ★</t>
    <phoneticPr fontId="3" type="noConversion"/>
  </si>
  <si>
    <t>6) 학교 양식 시트나눔</t>
    <phoneticPr fontId="3" type="noConversion"/>
  </si>
  <si>
    <t>합반 →</t>
    <phoneticPr fontId="3" type="noConversion"/>
  </si>
  <si>
    <t>분반 →</t>
    <phoneticPr fontId="3" type="noConversion"/>
  </si>
  <si>
    <t>전체 반 수</t>
    <phoneticPr fontId="3" type="noConversion"/>
  </si>
  <si>
    <t xml:space="preserve"> - 인원 수 및 이름 확인</t>
    <phoneticPr fontId="3" type="noConversion"/>
  </si>
  <si>
    <t xml:space="preserve">    ( 오류 시 '이름일치' 탭 반 수 입력되어 있는지 확인! )</t>
    <phoneticPr fontId="3" type="noConversion"/>
  </si>
  <si>
    <r>
      <t xml:space="preserve">* 분반 오류 시 </t>
    </r>
    <r>
      <rPr>
        <b/>
        <sz val="11"/>
        <color rgb="FFFF0000"/>
        <rFont val="맑은 고딕"/>
        <family val="3"/>
        <charset val="129"/>
        <scheme val="minor"/>
      </rPr>
      <t>반 수</t>
    </r>
    <r>
      <rPr>
        <sz val="11"/>
        <color rgb="FFFF0000"/>
        <rFont val="맑은 고딕"/>
        <family val="2"/>
        <charset val="129"/>
        <scheme val="minor"/>
      </rPr>
      <t xml:space="preserve"> 입력했는지 확인</t>
    </r>
    <phoneticPr fontId="3" type="noConversion"/>
  </si>
  <si>
    <t xml:space="preserve">    ( '학교명_반편성'으로 자동저장 )</t>
  </si>
  <si>
    <t xml:space="preserve"> - '통합 - 정리 전' 시트 : 리딩된 로우데이터 값 보존 </t>
  </si>
  <si>
    <t xml:space="preserve"> - '통합 - 정리 전(2)' 시트 : 학교에 보낼 하위척도 정리 (임시반번호순 복사용) </t>
    <phoneticPr fontId="3" type="noConversion"/>
  </si>
  <si>
    <t xml:space="preserve">    ( 수기로 분배 필요 / 분배 후 검수 )</t>
  </si>
  <si>
    <t xml:space="preserve"> - 학교에 보낼 파일로 정리</t>
    <phoneticPr fontId="3" type="noConversion"/>
  </si>
  <si>
    <t xml:space="preserve">    ( 기존반번호순, 임시반번호순, 각반별 시트로 정리 )</t>
    <phoneticPr fontId="3" type="noConversion"/>
  </si>
  <si>
    <t>※ 무응답 수가 많으면 음수값 결과, 신경증 점수 상승, 상담여부 체크 등 신뢰롭지 못한 검사결과가 산출될 수 있으므로 해석에 유의하시기 바랍니다.</t>
    <phoneticPr fontId="3" type="noConversion"/>
  </si>
  <si>
    <t xml:space="preserve"> 신경증 척도중(불안/적대감/우울/충동성/사회적위축/정서충격)이 타 학생들에 비해 요인이 높거나 낮은 학생들로 구성되었습니다.</t>
    <phoneticPr fontId="3" type="noConversion"/>
  </si>
  <si>
    <t>※ 상담 대상군에 속한 학생의 근거치는 5요인(외향성,개방성,친화성,성실성,신경증)을 포함하여</t>
    <phoneticPr fontId="3" type="noConversion"/>
  </si>
  <si>
    <t>단순히 본 결과를 누설하거나 전문적 상담절차 없이 본인에게 잘못 전달하여 심리적인 큰 상처를 주지 않도록 해야 합니다.</t>
  </si>
  <si>
    <t>검사 결과에 따른 상담 대상은 하나의 가능성일 뿐이며, 검사자의 개인적 성장을 위하여 상담을 권장하기 위한 것입니다.</t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</si>
  <si>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B형(인성) 검사 해석 시 유의사항&gt;</t>
    </r>
    <phoneticPr fontId="3" type="noConversion"/>
  </si>
  <si>
    <t>예를 들어, 하위검사의 T점수가 60점인 경우 해당 영역의 능력을 ‘해당영역 60점’으로 해석하기 보다는 ‘보통상’에 속해있다고 해석하는 것이 검사의 결과를 이해하는 데 더 적절합니다.</t>
    <phoneticPr fontId="3" type="noConversion"/>
  </si>
  <si>
    <t>시간이 지남에 따라 상당한 변화와 발달이 발생한다는 점에서 볼 때, 검사에서 얻은 점수는 전체 영역의 단일점수로서보다는 각 하위검사의 점수대 즉, 수준으로서 해석하는 것이 좋습니다. </t>
    <phoneticPr fontId="3" type="noConversion"/>
  </si>
  <si>
    <t xml:space="preserve">※ T점수: 평균이 50, 표준편차가 10인 표준점수로써 50점을 기준으로 이보다 위의 점수는 평균점보다 높고, 아래의 점수는 평균점보다 낮은 것을 의미합니다. </t>
    <phoneticPr fontId="3" type="noConversion"/>
  </si>
  <si>
    <t xml:space="preserve">           일반적으로 T점수가 70점 이상이면 전국기준 2.5% 이내에 해당하는 상당히 높은 점수라고 할 수 있습니다.</t>
    <phoneticPr fontId="3" type="noConversion"/>
  </si>
  <si>
    <t xml:space="preserve">                 자기보다 낮은 점수를 받은 학생이 79명, 높은 학생이 20명 있다는 뜻입니다.</t>
    <phoneticPr fontId="3" type="noConversion"/>
  </si>
  <si>
    <t xml:space="preserve">※ 수준 </t>
    <phoneticPr fontId="3" type="noConversion"/>
  </si>
  <si>
    <t> &lt;잠재능력진단검사 A형(능력) 검사 해석 시 유의사항&gt;</t>
    <phoneticPr fontId="3" type="noConversion"/>
  </si>
  <si>
    <t xml:space="preserve">    (쌍둥이 : 쌍1, 쌍2 / 분리배치필요 : 분1, 분2 ..)</t>
    <phoneticPr fontId="3" type="noConversion"/>
  </si>
  <si>
    <t xml:space="preserve">    ( 홈 - 정렬 및 필터 - 사용자지정 정렬 - 기준추가 - 신규반 가장 위 배치 - 확인 )</t>
    <phoneticPr fontId="3" type="noConversion"/>
  </si>
  <si>
    <t>합계</t>
    <phoneticPr fontId="3" type="noConversion"/>
  </si>
  <si>
    <t>평균</t>
    <phoneticPr fontId="3" type="noConversion"/>
  </si>
  <si>
    <t>(ex. 남자 1-5반, 여자 6-10반일 경우</t>
    <phoneticPr fontId="3" type="noConversion"/>
  </si>
  <si>
    <r>
      <t xml:space="preserve">      </t>
    </r>
    <r>
      <rPr>
        <b/>
        <sz val="11"/>
        <color rgb="FFFF0000"/>
        <rFont val="맑은 고딕"/>
        <family val="3"/>
        <charset val="129"/>
        <scheme val="minor"/>
      </rPr>
      <t>남자 : 5 / 여자 : 10</t>
    </r>
    <r>
      <rPr>
        <sz val="11"/>
        <color rgb="FFFF0000"/>
        <rFont val="맑은 고딕"/>
        <family val="3"/>
        <charset val="129"/>
        <scheme val="minor"/>
      </rPr>
      <t>으로 작성)</t>
    </r>
    <phoneticPr fontId="3" type="noConversion"/>
  </si>
  <si>
    <t xml:space="preserve">* 학교양식으로 시트 나누기 전 </t>
    <phoneticPr fontId="3" type="noConversion"/>
  </si>
  <si>
    <r>
      <t xml:space="preserve">  </t>
    </r>
    <r>
      <rPr>
        <b/>
        <sz val="11"/>
        <color rgb="FFFF0000"/>
        <rFont val="맑은 고딕"/>
        <family val="3"/>
        <charset val="129"/>
        <scheme val="minor"/>
      </rPr>
      <t xml:space="preserve">신규반번호순으로 정렬 </t>
    </r>
    <r>
      <rPr>
        <sz val="11"/>
        <color rgb="FFFF0000"/>
        <rFont val="맑은 고딕"/>
        <family val="3"/>
        <charset val="129"/>
        <scheme val="minor"/>
      </rPr>
      <t>필요</t>
    </r>
    <phoneticPr fontId="3" type="noConversion"/>
  </si>
  <si>
    <t>* 검수 후 신규반번호순 정렬</t>
    <phoneticPr fontId="3" type="noConversion"/>
  </si>
  <si>
    <t xml:space="preserve">   홈 - 정렬 및 필터 - 사용자지정 정렬 - 기준추가 - 확인 </t>
    <phoneticPr fontId="3" type="noConversion"/>
  </si>
  <si>
    <t>* 해당 시트 반번호 기준으로 학교에 보낼 OUTPUT파일 생성</t>
    <phoneticPr fontId="3" type="noConversion"/>
  </si>
  <si>
    <t xml:space="preserve">    ( 남녀 합반 : 전체 반, 분반 : 각 성별 마지막 반 입력 )</t>
    <phoneticPr fontId="3" type="noConversion"/>
  </si>
  <si>
    <t>* 각 성별 마지막 반 적어야 함</t>
    <phoneticPr fontId="3" type="noConversion"/>
  </si>
  <si>
    <r>
      <t xml:space="preserve"> - 검수 후 학교에서 요청한 번호부여순 </t>
    </r>
    <r>
      <rPr>
        <b/>
        <sz val="11"/>
        <color rgb="FFFF0000"/>
        <rFont val="맑은 고딕"/>
        <family val="3"/>
        <charset val="129"/>
        <scheme val="minor"/>
      </rPr>
      <t>정렬★</t>
    </r>
    <phoneticPr fontId="3" type="noConversion"/>
  </si>
  <si>
    <t>&lt; '임시반번호순' 시트에서 수기 작업 / 검수 &gt;</t>
    <phoneticPr fontId="3" type="noConversion"/>
  </si>
  <si>
    <t xml:space="preserve"> - '이름 일치'시트 노란색 음영에 반 입력★</t>
    <phoneticPr fontId="3" type="noConversion"/>
  </si>
  <si>
    <t xml:space="preserve"> - 비고 작성★ </t>
    <phoneticPr fontId="3" type="noConversion"/>
  </si>
  <si>
    <t xml:space="preserve"> - 저장 시 암호설정★</t>
    <phoneticPr fontId="3" type="noConversion"/>
  </si>
  <si>
    <t xml:space="preserve">   ( 로우데이터 시트가 추가로 생성됨 )</t>
    <phoneticPr fontId="3" type="noConversion"/>
  </si>
  <si>
    <t>①</t>
    <phoneticPr fontId="3" type="noConversion"/>
  </si>
  <si>
    <t>②</t>
    <phoneticPr fontId="3" type="noConversion"/>
  </si>
  <si>
    <t>③</t>
    <phoneticPr fontId="3" type="noConversion"/>
  </si>
  <si>
    <t>⑤</t>
    <phoneticPr fontId="3" type="noConversion"/>
  </si>
  <si>
    <t>⑥</t>
    <phoneticPr fontId="3" type="noConversion"/>
  </si>
  <si>
    <t>④</t>
    <phoneticPr fontId="3" type="noConversion"/>
  </si>
  <si>
    <t>원하는 형태 선택</t>
    <phoneticPr fontId="3" type="noConversion"/>
  </si>
  <si>
    <t>여자반-남자반 순서일 경우</t>
    <phoneticPr fontId="3" type="noConversion"/>
  </si>
  <si>
    <t>남자-여자 기준 작업 후 '임시반번호순' 시트에서 마지막으로 수정하세요</t>
    <phoneticPr fontId="3" type="noConversion"/>
  </si>
  <si>
    <t>사용 전
클릭!</t>
    <phoneticPr fontId="3" type="noConversion"/>
  </si>
  <si>
    <t xml:space="preserve"> 파일을 열고, 콘텐츠 사용을 클릭합니다.</t>
    <phoneticPr fontId="3" type="noConversion"/>
  </si>
  <si>
    <t xml:space="preserve"> - 결시생 포함 시 이름 일치 시트와 로우데이터 시트에 인적사항 추가 필요</t>
    <phoneticPr fontId="3" type="noConversion"/>
  </si>
  <si>
    <t>※ 종합지수P: 전체 집단을 100으로 보았을 때, 한 개인의 점수가 아래에서부터 몇 번째에 해당하는가를 나타내는 수치입니다. 예를 들어, 백분위 80은 전체를 100으로 보았을 때</t>
  </si>
  <si>
    <t xml:space="preserve"> - 반 인원 수, 분리배치 필요한 학생, 종합지수, 상담필요학생 등 요청사항에 따라 분배★</t>
  </si>
  <si>
    <t>잠재능력 B Type(인성) Raw Data 중 만성적 학업부진 컬럼 삭제</t>
    <phoneticPr fontId="3" type="noConversion"/>
  </si>
  <si>
    <t>임시반번호순 summary 부분 기존 15반에서 20반으로 수정</t>
    <phoneticPr fontId="3" type="noConversion"/>
  </si>
  <si>
    <t>교육청 NEIS 시트 추가(표시형식 텍스트)</t>
    <phoneticPr fontId="3" type="noConversion"/>
  </si>
  <si>
    <t>* 200922 수정사항</t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</si>
  <si>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C형(학습) 검사 해석 시 유의사항&gt;</t>
    </r>
    <phoneticPr fontId="3" type="noConversion"/>
  </si>
  <si>
    <t>자기주도 학습지수(LQ)는 학습자의 현재 주도학습 수준을 단일지표로 보여줍니다.</t>
    <phoneticPr fontId="3" type="noConversion"/>
  </si>
  <si>
    <t xml:space="preserve">자기주도 학습과 가장 관련성이 높은 요인인 성격 특성, 행동 특성, 학습 동기 세 가지 요인의 총점을 표준화시켜 합산하여 그 값의 평균을 100, 표준편차 15로 환산한 점수입니다. </t>
    <phoneticPr fontId="3" type="noConversion"/>
  </si>
  <si>
    <t xml:space="preserve"> </t>
    <phoneticPr fontId="3" type="noConversion"/>
  </si>
  <si>
    <t xml:space="preserve">※ 수준 </t>
  </si>
  <si>
    <r>
      <rPr>
        <b/>
        <sz val="11"/>
        <color theme="1"/>
        <rFont val="맑은 고딕"/>
        <family val="3"/>
        <charset val="129"/>
        <scheme val="minor"/>
      </rPr>
      <t>잠재능력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</si>
  <si>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잠재능력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</si>
  <si>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t>잠재능력</t>
    <phoneticPr fontId="3" type="noConversion"/>
  </si>
  <si>
    <t>성별</t>
    <phoneticPr fontId="3" type="noConversion"/>
  </si>
  <si>
    <t>담임선생님용 생기부 참고자료 상세형</t>
    <phoneticPr fontId="3" type="noConversion"/>
  </si>
  <si>
    <t>담임선생님용 생기부 참고자료 단축형</t>
    <phoneticPr fontId="3" type="noConversion"/>
  </si>
  <si>
    <t>언어 T점수</t>
    <phoneticPr fontId="3" type="noConversion"/>
  </si>
  <si>
    <t>언어 수준</t>
    <phoneticPr fontId="3" type="noConversion"/>
  </si>
  <si>
    <t>논리수학 T점수</t>
    <phoneticPr fontId="3" type="noConversion"/>
  </si>
  <si>
    <t>논리수학 수준</t>
    <phoneticPr fontId="3" type="noConversion"/>
  </si>
  <si>
    <t>공간 T점수</t>
    <phoneticPr fontId="3" type="noConversion"/>
  </si>
  <si>
    <t>공간 수준</t>
    <phoneticPr fontId="3" type="noConversion"/>
  </si>
  <si>
    <t>무응답</t>
    <phoneticPr fontId="3" type="noConversion"/>
  </si>
  <si>
    <t>무응답 해석</t>
    <phoneticPr fontId="3" type="noConversion"/>
  </si>
  <si>
    <t>응답성실도</t>
    <phoneticPr fontId="3" type="noConversion"/>
  </si>
  <si>
    <t>응답성실도 해석</t>
    <phoneticPr fontId="3" type="noConversion"/>
  </si>
  <si>
    <t>반응 왜곡 지수</t>
    <phoneticPr fontId="3" type="noConversion"/>
  </si>
  <si>
    <t>반응 왜곡 지수 해석</t>
    <phoneticPr fontId="3" type="noConversion"/>
  </si>
  <si>
    <t>우울 T점수</t>
    <phoneticPr fontId="3" type="noConversion"/>
  </si>
  <si>
    <t>우울 수준</t>
    <phoneticPr fontId="3" type="noConversion"/>
  </si>
  <si>
    <t>정서충격 T점수</t>
    <phoneticPr fontId="3" type="noConversion"/>
  </si>
  <si>
    <t>정서충격 수준</t>
    <phoneticPr fontId="3" type="noConversion"/>
  </si>
  <si>
    <t>특이성 T점수</t>
    <phoneticPr fontId="3" type="noConversion"/>
  </si>
  <si>
    <t>특이성 수준</t>
    <phoneticPr fontId="3" type="noConversion"/>
  </si>
  <si>
    <t>예민성 T점수</t>
    <phoneticPr fontId="3" type="noConversion"/>
  </si>
  <si>
    <t>예민성 수준</t>
    <phoneticPr fontId="3" type="noConversion"/>
  </si>
  <si>
    <t>부정적 대인정서 T점수</t>
    <phoneticPr fontId="3" type="noConversion"/>
  </si>
  <si>
    <t>부정적 대인정서 수준</t>
    <phoneticPr fontId="3" type="noConversion"/>
  </si>
  <si>
    <t>과잉행동 T점수</t>
    <phoneticPr fontId="3" type="noConversion"/>
  </si>
  <si>
    <t>과잉행동 수준</t>
    <phoneticPr fontId="3" type="noConversion"/>
  </si>
  <si>
    <t>언어 T점수</t>
  </si>
  <si>
    <t>논리수학 T점수</t>
  </si>
  <si>
    <t>공간 T점수</t>
  </si>
  <si>
    <t>응답성실도</t>
  </si>
  <si>
    <t>반응 왜곡 지수</t>
  </si>
  <si>
    <t>우울 수준</t>
  </si>
  <si>
    <t>정서충격 수준</t>
  </si>
  <si>
    <t>특이성 수준</t>
  </si>
  <si>
    <t>예민성 수준</t>
  </si>
  <si>
    <t>부정적 대인정서 수준</t>
  </si>
  <si>
    <t>과잉행동 수준</t>
  </si>
  <si>
    <t>총점</t>
    <phoneticPr fontId="3" type="noConversion"/>
  </si>
  <si>
    <t>우울 높음</t>
    <phoneticPr fontId="3" type="noConversion"/>
  </si>
  <si>
    <t>정서충격 높음</t>
    <phoneticPr fontId="3" type="noConversion"/>
  </si>
  <si>
    <t>특이성 높음</t>
    <phoneticPr fontId="3" type="noConversion"/>
  </si>
  <si>
    <t>예민성 높음</t>
    <phoneticPr fontId="3" type="noConversion"/>
  </si>
  <si>
    <t>부정적 대인정서 높음</t>
    <phoneticPr fontId="3" type="noConversion"/>
  </si>
  <si>
    <t>과잉행동 높음</t>
    <phoneticPr fontId="3" type="noConversion"/>
  </si>
  <si>
    <t>상담여부 학생</t>
  </si>
  <si>
    <t>* 우울~과잉행동 수준이 높은인 개수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</si>
</sst>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1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4"/>
      <name val="맑은 고딕"/>
      <family val="2"/>
      <charset val="129"/>
      <scheme val="minor"/>
    </font>
    <font>
      <sz val="11"/>
      <color theme="4"/>
      <name val="맑은 고딕"/>
      <family val="3"/>
      <charset val="129"/>
      <scheme val="minor"/>
    </font>
    <font>
      <sz val="11"/>
      <color theme="9"/>
      <name val="맑은 고딕"/>
      <family val="2"/>
      <charset val="129"/>
      <scheme val="minor"/>
    </font>
    <font>
      <sz val="11"/>
      <color theme="9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8" applyNumberFormat="0" applyAlignment="0" applyProtection="0">
      <alignment vertical="center"/>
    </xf>
    <xf numFmtId="0" fontId="17" fillId="8" borderId="9" applyNumberFormat="0" applyAlignment="0" applyProtection="0">
      <alignment vertical="center"/>
    </xf>
    <xf numFmtId="0" fontId="18" fillId="8" borderId="8" applyNumberFormat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9" borderId="1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10" borderId="12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3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" fillId="0" borderId="0">
      <alignment vertical="center"/>
    </xf>
    <xf numFmtId="0" fontId="39" fillId="0" borderId="0">
      <alignment vertical="center"/>
    </xf>
    <xf numFmtId="0" fontId="1" fillId="0" borderId="0">
      <alignment vertical="center"/>
    </xf>
    <xf numFmtId="0" fontId="39" fillId="0" borderId="0">
      <alignment vertical="center"/>
    </xf>
  </cellStyleXfs>
  <cellXfs count="18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3" xfId="0" applyBorder="1">
      <alignment vertical="center"/>
    </xf>
    <xf numFmtId="0" fontId="0" fillId="3" borderId="2" xfId="0" applyFill="1" applyBorder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2" xfId="0" applyBorder="1">
      <alignment vertical="center"/>
    </xf>
    <xf numFmtId="0" fontId="0" fillId="35" borderId="3" xfId="0" applyFill="1" applyBorder="1">
      <alignment vertical="center"/>
    </xf>
    <xf numFmtId="0" fontId="0" fillId="38" borderId="2" xfId="0" applyFill="1" applyBorder="1" applyAlignment="1">
      <alignment vertical="center" wrapText="1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5" fillId="0" borderId="2" xfId="0" applyFont="1" applyBorder="1" applyAlignment="1">
      <alignment vertical="center" wrapText="1"/>
    </xf>
    <xf numFmtId="0" fontId="25" fillId="0" borderId="3" xfId="0" applyFont="1" applyBorder="1">
      <alignment vertical="center"/>
    </xf>
    <xf numFmtId="0" fontId="25" fillId="0" borderId="4" xfId="0" applyFont="1" applyBorder="1" applyAlignment="1">
      <alignment vertical="center" wrapText="1"/>
    </xf>
    <xf numFmtId="0" fontId="25" fillId="0" borderId="0" xfId="0" applyFont="1">
      <alignment vertical="center"/>
    </xf>
    <xf numFmtId="0" fontId="0" fillId="38" borderId="2" xfId="0" applyFill="1" applyBorder="1">
      <alignment vertical="center"/>
    </xf>
    <xf numFmtId="0" fontId="0" fillId="3" borderId="2" xfId="0" applyFill="1" applyBorder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76" fontId="25" fillId="0" borderId="0" xfId="0" applyNumberFormat="1" applyFont="1">
      <alignment vertical="center"/>
    </xf>
    <xf numFmtId="0" fontId="25" fillId="0" borderId="2" xfId="0" applyFont="1" applyBorder="1">
      <alignment vertical="center"/>
    </xf>
    <xf numFmtId="0" fontId="25" fillId="38" borderId="2" xfId="0" applyFont="1" applyFill="1" applyBorder="1" applyAlignment="1">
      <alignment vertical="center" wrapText="1"/>
    </xf>
    <xf numFmtId="0" fontId="25" fillId="39" borderId="2" xfId="0" applyFont="1" applyFill="1" applyBorder="1" applyAlignment="1">
      <alignment vertical="center" wrapText="1"/>
    </xf>
    <xf numFmtId="0" fontId="25" fillId="3" borderId="2" xfId="0" applyFont="1" applyFill="1" applyBorder="1" applyAlignment="1">
      <alignment vertical="center" wrapText="1"/>
    </xf>
    <xf numFmtId="0" fontId="25" fillId="3" borderId="1" xfId="0" applyFont="1" applyFill="1" applyBorder="1" applyAlignment="1">
      <alignment vertical="center" wrapText="1"/>
    </xf>
    <xf numFmtId="0" fontId="25" fillId="35" borderId="3" xfId="0" applyFont="1" applyFill="1" applyBorder="1">
      <alignment vertical="center"/>
    </xf>
    <xf numFmtId="0" fontId="0" fillId="0" borderId="0" xfId="0" quotePrefix="1">
      <alignment vertical="center"/>
    </xf>
    <xf numFmtId="0" fontId="21" fillId="0" borderId="0" xfId="0" applyFont="1">
      <alignment vertical="center"/>
    </xf>
    <xf numFmtId="0" fontId="27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quotePrefix="1" applyBorder="1" applyAlignment="1">
      <alignment horizontal="left" vertical="center"/>
    </xf>
    <xf numFmtId="0" fontId="0" fillId="0" borderId="21" xfId="0" applyBorder="1">
      <alignment vertical="center"/>
    </xf>
    <xf numFmtId="0" fontId="21" fillId="0" borderId="20" xfId="0" applyFont="1" applyBorder="1">
      <alignment vertical="center"/>
    </xf>
    <xf numFmtId="0" fontId="0" fillId="0" borderId="14" xfId="0" quotePrefix="1" applyBorder="1" applyAlignment="1">
      <alignment horizontal="left" vertical="center"/>
    </xf>
    <xf numFmtId="0" fontId="0" fillId="0" borderId="14" xfId="0" quotePrefix="1" applyBorder="1">
      <alignment vertical="center"/>
    </xf>
    <xf numFmtId="0" fontId="29" fillId="0" borderId="20" xfId="0" applyFont="1" applyBorder="1">
      <alignment vertical="center"/>
    </xf>
    <xf numFmtId="0" fontId="0" fillId="0" borderId="20" xfId="0" quotePrefix="1" applyBorder="1">
      <alignment vertical="center"/>
    </xf>
    <xf numFmtId="0" fontId="0" fillId="0" borderId="17" xfId="0" quotePrefix="1" applyBorder="1">
      <alignment vertical="center"/>
    </xf>
    <xf numFmtId="0" fontId="29" fillId="0" borderId="0" xfId="0" applyFont="1">
      <alignment vertical="center"/>
    </xf>
    <xf numFmtId="0" fontId="0" fillId="0" borderId="22" xfId="0" applyBorder="1" applyAlignment="1">
      <alignment vertical="center" wrapText="1"/>
    </xf>
    <xf numFmtId="0" fontId="21" fillId="0" borderId="18" xfId="0" quotePrefix="1" applyFont="1" applyBorder="1">
      <alignment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justify" vertical="center"/>
    </xf>
    <xf numFmtId="0" fontId="32" fillId="0" borderId="20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21" xfId="0" applyFont="1" applyBorder="1" applyAlignment="1">
      <alignment horizontal="left" vertical="center"/>
    </xf>
    <xf numFmtId="0" fontId="32" fillId="0" borderId="17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1" fillId="0" borderId="19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21" xfId="0" applyFont="1" applyBorder="1" applyAlignment="1">
      <alignment horizontal="left" vertical="center"/>
    </xf>
    <xf numFmtId="0" fontId="32" fillId="0" borderId="20" xfId="0" applyFont="1" applyBorder="1">
      <alignment vertical="center"/>
    </xf>
    <xf numFmtId="0" fontId="32" fillId="0" borderId="0" xfId="0" applyFont="1">
      <alignment vertical="center"/>
    </xf>
    <xf numFmtId="0" fontId="31" fillId="0" borderId="20" xfId="0" applyFont="1" applyBorder="1">
      <alignment vertical="center"/>
    </xf>
    <xf numFmtId="0" fontId="30" fillId="0" borderId="0" xfId="0" applyFont="1">
      <alignment vertical="center"/>
    </xf>
    <xf numFmtId="0" fontId="34" fillId="2" borderId="3" xfId="0" applyFont="1" applyFill="1" applyBorder="1">
      <alignment vertical="center"/>
    </xf>
    <xf numFmtId="0" fontId="29" fillId="0" borderId="17" xfId="0" applyFont="1" applyBorder="1">
      <alignment vertical="center"/>
    </xf>
    <xf numFmtId="0" fontId="21" fillId="0" borderId="17" xfId="0" applyFont="1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44" borderId="32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25" fillId="46" borderId="23" xfId="0" applyFont="1" applyFill="1" applyBorder="1">
      <alignment vertical="center"/>
    </xf>
    <xf numFmtId="0" fontId="25" fillId="46" borderId="0" xfId="0" applyFont="1" applyFill="1">
      <alignment vertical="center"/>
    </xf>
    <xf numFmtId="0" fontId="25" fillId="46" borderId="24" xfId="0" applyFont="1" applyFill="1" applyBorder="1">
      <alignment vertical="center"/>
    </xf>
    <xf numFmtId="0" fontId="25" fillId="46" borderId="25" xfId="0" applyFont="1" applyFill="1" applyBorder="1">
      <alignment vertical="center"/>
    </xf>
    <xf numFmtId="0" fontId="25" fillId="45" borderId="31" xfId="0" applyFont="1" applyFill="1" applyBorder="1" applyAlignment="1">
      <alignment horizontal="center" vertical="center"/>
    </xf>
    <xf numFmtId="176" fontId="25" fillId="47" borderId="31" xfId="0" applyNumberFormat="1" applyFont="1" applyFill="1" applyBorder="1">
      <alignment vertical="center"/>
    </xf>
    <xf numFmtId="0" fontId="35" fillId="0" borderId="0" xfId="0" applyFont="1">
      <alignment vertical="center"/>
    </xf>
    <xf numFmtId="0" fontId="30" fillId="0" borderId="14" xfId="0" applyFont="1" applyBorder="1">
      <alignment vertical="center"/>
    </xf>
    <xf numFmtId="0" fontId="0" fillId="0" borderId="0" xfId="0" applyAlignment="1">
      <alignment horizontal="right" vertical="center"/>
    </xf>
    <xf numFmtId="0" fontId="34" fillId="0" borderId="0" xfId="0" applyFont="1">
      <alignment vertical="center"/>
    </xf>
    <xf numFmtId="0" fontId="38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0" fillId="0" borderId="34" xfId="0" applyBorder="1">
      <alignment vertical="center"/>
    </xf>
    <xf numFmtId="0" fontId="25" fillId="45" borderId="35" xfId="0" applyFont="1" applyFill="1" applyBorder="1" applyAlignment="1">
      <alignment horizontal="center" vertical="center"/>
    </xf>
    <xf numFmtId="0" fontId="25" fillId="47" borderId="35" xfId="0" applyFont="1" applyFill="1" applyBorder="1">
      <alignment vertical="center"/>
    </xf>
    <xf numFmtId="0" fontId="31" fillId="0" borderId="0" xfId="0" applyFont="1" applyAlignment="1">
      <alignment vertical="center" wrapText="1"/>
    </xf>
    <xf numFmtId="0" fontId="31" fillId="0" borderId="21" xfId="0" applyFont="1" applyBorder="1">
      <alignment vertical="center"/>
    </xf>
    <xf numFmtId="0" fontId="31" fillId="0" borderId="20" xfId="0" applyFont="1" applyBorder="1" applyAlignment="1">
      <alignment vertical="center" wrapText="1"/>
    </xf>
    <xf numFmtId="0" fontId="31" fillId="0" borderId="21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1" fillId="0" borderId="18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0" fillId="0" borderId="36" xfId="0" applyBorder="1" applyAlignment="1">
      <alignment vertical="center" wrapText="1"/>
    </xf>
    <xf numFmtId="0" fontId="25" fillId="0" borderId="36" xfId="0" applyFont="1" applyBorder="1">
      <alignment vertical="center"/>
    </xf>
    <xf numFmtId="0" fontId="0" fillId="48" borderId="0" xfId="0" applyFill="1">
      <alignment vertical="center"/>
    </xf>
    <xf numFmtId="0" fontId="25" fillId="48" borderId="0" xfId="0" applyFont="1" applyFill="1" applyAlignment="1">
      <alignment vertical="center" wrapText="1"/>
    </xf>
    <xf numFmtId="0" fontId="25" fillId="48" borderId="0" xfId="0" applyFont="1" applyFill="1">
      <alignment vertical="center"/>
    </xf>
    <xf numFmtId="0" fontId="0" fillId="0" borderId="37" xfId="0" applyBorder="1" applyAlignment="1">
      <alignment vertical="center" wrapText="1"/>
    </xf>
    <xf numFmtId="0" fontId="25" fillId="0" borderId="3" xfId="0" applyFont="1" applyBorder="1" applyAlignment="1">
      <alignment vertical="center" wrapText="1"/>
    </xf>
    <xf numFmtId="0" fontId="38" fillId="0" borderId="3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25" fillId="3" borderId="38" xfId="0" applyFont="1" applyFill="1" applyBorder="1" applyAlignment="1">
      <alignment vertical="center" wrapText="1"/>
    </xf>
    <xf numFmtId="0" fontId="0" fillId="3" borderId="4" xfId="0" applyFill="1" applyBorder="1" applyAlignment="1">
      <alignment vertical="center" wrapText="1"/>
    </xf>
    <xf numFmtId="0" fontId="25" fillId="3" borderId="4" xfId="0" applyFont="1" applyFill="1" applyBorder="1" applyAlignment="1">
      <alignment vertical="center" wrapText="1"/>
    </xf>
    <xf numFmtId="0" fontId="0" fillId="3" borderId="4" xfId="0" applyFill="1" applyBorder="1">
      <alignment vertical="center"/>
    </xf>
    <xf numFmtId="0" fontId="0" fillId="39" borderId="3" xfId="0" applyFill="1" applyBorder="1" applyAlignment="1">
      <alignment vertical="center" wrapText="1"/>
    </xf>
    <xf numFmtId="0" fontId="25" fillId="39" borderId="3" xfId="0" applyFont="1" applyFill="1" applyBorder="1" applyAlignment="1">
      <alignment vertical="center" wrapText="1"/>
    </xf>
    <xf numFmtId="0" fontId="0" fillId="39" borderId="3" xfId="0" applyFill="1" applyBorder="1">
      <alignment vertical="center"/>
    </xf>
    <xf numFmtId="0" fontId="0" fillId="44" borderId="39" xfId="0" applyFill="1" applyBorder="1" applyAlignment="1">
      <alignment horizontal="center" vertical="center"/>
    </xf>
    <xf numFmtId="0" fontId="25" fillId="47" borderId="44" xfId="0" applyFont="1" applyFill="1" applyBorder="1">
      <alignment vertical="center"/>
    </xf>
    <xf numFmtId="0" fontId="25" fillId="47" borderId="45" xfId="0" applyFont="1" applyFill="1" applyBorder="1">
      <alignment vertical="center"/>
    </xf>
    <xf numFmtId="0" fontId="25" fillId="47" borderId="31" xfId="0" applyFont="1" applyFill="1" applyBorder="1">
      <alignment vertical="center"/>
    </xf>
    <xf numFmtId="0" fontId="25" fillId="47" borderId="46" xfId="0" applyFont="1" applyFill="1" applyBorder="1">
      <alignment vertical="center"/>
    </xf>
    <xf numFmtId="0" fontId="34" fillId="0" borderId="29" xfId="0" applyFont="1" applyBorder="1">
      <alignment vertical="center"/>
    </xf>
    <xf numFmtId="1" fontId="34" fillId="0" borderId="29" xfId="0" applyNumberFormat="1" applyFont="1" applyBorder="1">
      <alignment vertical="center"/>
    </xf>
    <xf numFmtId="176" fontId="34" fillId="0" borderId="29" xfId="0" applyNumberFormat="1" applyFont="1" applyBorder="1">
      <alignment vertical="center"/>
    </xf>
    <xf numFmtId="0" fontId="34" fillId="0" borderId="40" xfId="0" applyFont="1" applyBorder="1">
      <alignment vertical="center"/>
    </xf>
    <xf numFmtId="0" fontId="34" fillId="0" borderId="41" xfId="0" applyFont="1" applyBorder="1">
      <alignment vertical="center"/>
    </xf>
    <xf numFmtId="0" fontId="34" fillId="0" borderId="27" xfId="0" applyFont="1" applyBorder="1">
      <alignment vertical="center"/>
    </xf>
    <xf numFmtId="1" fontId="34" fillId="0" borderId="27" xfId="0" applyNumberFormat="1" applyFont="1" applyBorder="1">
      <alignment vertical="center"/>
    </xf>
    <xf numFmtId="176" fontId="34" fillId="0" borderId="27" xfId="0" applyNumberFormat="1" applyFont="1" applyBorder="1">
      <alignment vertical="center"/>
    </xf>
    <xf numFmtId="0" fontId="34" fillId="0" borderId="42" xfId="0" applyFont="1" applyBorder="1">
      <alignment vertical="center"/>
    </xf>
    <xf numFmtId="0" fontId="34" fillId="0" borderId="34" xfId="0" applyFont="1" applyBorder="1">
      <alignment vertical="center"/>
    </xf>
    <xf numFmtId="1" fontId="34" fillId="0" borderId="34" xfId="0" applyNumberFormat="1" applyFont="1" applyBorder="1">
      <alignment vertical="center"/>
    </xf>
    <xf numFmtId="176" fontId="34" fillId="0" borderId="34" xfId="0" applyNumberFormat="1" applyFont="1" applyBorder="1">
      <alignment vertical="center"/>
    </xf>
    <xf numFmtId="0" fontId="34" fillId="0" borderId="43" xfId="0" applyFont="1" applyBorder="1">
      <alignment vertical="center"/>
    </xf>
    <xf numFmtId="0" fontId="31" fillId="0" borderId="20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1" fillId="0" borderId="17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2" fillId="0" borderId="20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3" fillId="0" borderId="14" xfId="0" applyFont="1" applyBorder="1" applyAlignment="1">
      <alignment horizontal="left" vertical="center"/>
    </xf>
    <xf numFmtId="0" fontId="33" fillId="0" borderId="15" xfId="0" applyFont="1" applyBorder="1" applyAlignment="1">
      <alignment horizontal="left" vertical="center"/>
    </xf>
    <xf numFmtId="0" fontId="33" fillId="0" borderId="16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31" fillId="0" borderId="20" xfId="0" applyFont="1" applyBorder="1" applyAlignment="1">
      <alignment horizontal="left" vertical="center" wrapText="1"/>
    </xf>
    <xf numFmtId="0" fontId="24" fillId="41" borderId="20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41" borderId="17" xfId="0" applyFont="1" applyFill="1" applyBorder="1" applyAlignment="1">
      <alignment horizontal="center" vertical="center"/>
    </xf>
    <xf numFmtId="0" fontId="24" fillId="41" borderId="18" xfId="0" applyFont="1" applyFill="1" applyBorder="1" applyAlignment="1">
      <alignment horizontal="center" vertical="center"/>
    </xf>
    <xf numFmtId="0" fontId="28" fillId="40" borderId="14" xfId="0" applyFont="1" applyFill="1" applyBorder="1" applyAlignment="1">
      <alignment horizontal="center" vertical="center"/>
    </xf>
    <xf numFmtId="0" fontId="28" fillId="40" borderId="16" xfId="0" applyFont="1" applyFill="1" applyBorder="1" applyAlignment="1">
      <alignment horizontal="center" vertical="center"/>
    </xf>
    <xf numFmtId="0" fontId="28" fillId="40" borderId="20" xfId="0" applyFont="1" applyFill="1" applyBorder="1" applyAlignment="1">
      <alignment horizontal="center" vertical="center"/>
    </xf>
    <xf numFmtId="0" fontId="28" fillId="40" borderId="21" xfId="0" applyFont="1" applyFill="1" applyBorder="1" applyAlignment="1">
      <alignment horizontal="center" vertical="center"/>
    </xf>
    <xf numFmtId="0" fontId="28" fillId="40" borderId="17" xfId="0" applyFont="1" applyFill="1" applyBorder="1" applyAlignment="1">
      <alignment horizontal="center" vertical="center"/>
    </xf>
    <xf numFmtId="0" fontId="28" fillId="40" borderId="19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30" fillId="48" borderId="3" xfId="0" applyFont="1" applyFill="1" applyBorder="1" applyAlignment="1">
      <alignment horizontal="center" vertical="center" wrapText="1"/>
    </xf>
    <xf numFmtId="0" fontId="30" fillId="48" borderId="3" xfId="0" applyFont="1" applyFill="1" applyBorder="1" applyAlignment="1">
      <alignment horizontal="center" vertical="center"/>
    </xf>
    <xf numFmtId="0" fontId="38" fillId="48" borderId="3" xfId="0" applyFont="1" applyFill="1" applyBorder="1" applyAlignment="1">
      <alignment horizontal="left" vertical="center"/>
    </xf>
    <xf numFmtId="0" fontId="0" fillId="37" borderId="14" xfId="0" applyFill="1" applyBorder="1" applyAlignment="1">
      <alignment horizontal="center" vertical="center"/>
    </xf>
    <xf numFmtId="0" fontId="0" fillId="37" borderId="15" xfId="0" applyFill="1" applyBorder="1" applyAlignment="1">
      <alignment horizontal="center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42" borderId="14" xfId="0" applyFill="1" applyBorder="1" applyAlignment="1">
      <alignment horizontal="center" vertical="center"/>
    </xf>
    <xf numFmtId="0" fontId="0" fillId="42" borderId="15" xfId="0" applyFill="1" applyBorder="1" applyAlignment="1">
      <alignment horizontal="center" vertical="center"/>
    </xf>
    <xf numFmtId="0" fontId="0" fillId="42" borderId="17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36" borderId="20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17" xfId="0" applyFill="1" applyBorder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28" fillId="40" borderId="0" xfId="0" applyFont="1" applyFill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25" fillId="36" borderId="0" xfId="0" applyFont="1" applyFill="1" applyAlignment="1">
      <alignment horizontal="center" vertical="center" wrapText="1"/>
    </xf>
    <xf numFmtId="0" fontId="25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36" fillId="0" borderId="20" xfId="0" applyFont="1" applyBorder="1" applyAlignment="1">
      <alignment horizontal="right" vertical="center"/>
    </xf>
    <xf numFmtId="0" fontId="37" fillId="0" borderId="20" xfId="0" applyFont="1" applyBorder="1" applyAlignment="1">
      <alignment horizontal="right" vertical="center"/>
    </xf>
    <xf numFmtId="0" fontId="0" fillId="43" borderId="3" xfId="0" applyFill="1" applyBorder="1" applyAlignment="1">
      <alignment horizontal="center" vertical="center"/>
    </xf>
  </cellXfs>
  <cellStyles count="46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2" xr:uid="{341FD411-2A12-420F-92F7-AA0FEAE36BF6}"/>
    <cellStyle name="표준 3" xfId="43" xr:uid="{D5947716-552D-417C-9AC0-0FA638D6EE50}"/>
    <cellStyle name="표준 4" xfId="44" xr:uid="{CE6F18C4-89DA-4BB6-B9D6-66D18946067C}"/>
    <cellStyle name="표준 4 2" xfId="45" xr:uid="{1AD4747D-3150-4272-BBEE-43EB66A6B840}"/>
  </cellStyles>
  <dxfs count="5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10</xdr:row>
      <xdr:rowOff>0</xdr:rowOff>
    </xdr:from>
    <xdr:to>
      <xdr:col>5</xdr:col>
      <xdr:colOff>222817</xdr:colOff>
      <xdr:row>20</xdr:row>
      <xdr:rowOff>228600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982" t="17932" r="818" b="34810"/>
        <a:stretch>
          <a:fillRect/>
        </a:stretch>
      </xdr:blipFill>
      <xdr:spPr bwMode="auto">
        <a:xfrm>
          <a:off x="9524" y="2105025"/>
          <a:ext cx="7271317" cy="27146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134470</xdr:colOff>
      <xdr:row>34</xdr:row>
      <xdr:rowOff>89649</xdr:rowOff>
    </xdr:from>
    <xdr:to>
      <xdr:col>4</xdr:col>
      <xdr:colOff>2211481</xdr:colOff>
      <xdr:row>45</xdr:row>
      <xdr:rowOff>788336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794" y="8213914"/>
          <a:ext cx="6917952" cy="429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57149</xdr:colOff>
      <xdr:row>1</xdr:row>
      <xdr:rowOff>145677</xdr:rowOff>
    </xdr:from>
    <xdr:to>
      <xdr:col>9</xdr:col>
      <xdr:colOff>112058</xdr:colOff>
      <xdr:row>3</xdr:row>
      <xdr:rowOff>134471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25973" y="268942"/>
          <a:ext cx="6453467" cy="526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2495550</xdr:colOff>
          <xdr:row>2</xdr:row>
          <xdr:rowOff>400050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657226</xdr:colOff>
      <xdr:row>13</xdr:row>
      <xdr:rowOff>171451</xdr:rowOff>
    </xdr:from>
    <xdr:to>
      <xdr:col>17</xdr:col>
      <xdr:colOff>23813</xdr:colOff>
      <xdr:row>16</xdr:row>
      <xdr:rowOff>47625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414398" y="2880123"/>
          <a:ext cx="1563290" cy="501252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666751</xdr:colOff>
      <xdr:row>16</xdr:row>
      <xdr:rowOff>161926</xdr:rowOff>
    </xdr:from>
    <xdr:to>
      <xdr:col>17</xdr:col>
      <xdr:colOff>14574</xdr:colOff>
      <xdr:row>19</xdr:row>
      <xdr:rowOff>38100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423923" y="3495676"/>
          <a:ext cx="1544526" cy="501252"/>
        </a:xfrm>
        <a:prstGeom prst="rect">
          <a:avLst/>
        </a:prstGeom>
        <a:noFill/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9526</xdr:colOff>
      <xdr:row>19</xdr:row>
      <xdr:rowOff>161926</xdr:rowOff>
    </xdr:from>
    <xdr:to>
      <xdr:col>20</xdr:col>
      <xdr:colOff>19051</xdr:colOff>
      <xdr:row>22</xdr:row>
      <xdr:rowOff>38100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782176" y="4143376"/>
          <a:ext cx="3638550" cy="504824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19050</xdr:rowOff>
        </xdr:from>
        <xdr:to>
          <xdr:col>16</xdr:col>
          <xdr:colOff>666750</xdr:colOff>
          <xdr:row>12</xdr:row>
          <xdr:rowOff>190500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17</xdr:row>
          <xdr:rowOff>9525</xdr:rowOff>
        </xdr:from>
        <xdr:to>
          <xdr:col>16</xdr:col>
          <xdr:colOff>676275</xdr:colOff>
          <xdr:row>18</xdr:row>
          <xdr:rowOff>200025</xdr:rowOff>
        </xdr:to>
        <xdr:sp macro="" textlink="">
          <xdr:nvSpPr>
            <xdr:cNvPr id="3074" name="Labe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20</xdr:row>
          <xdr:rowOff>19050</xdr:rowOff>
        </xdr:from>
        <xdr:to>
          <xdr:col>16</xdr:col>
          <xdr:colOff>676275</xdr:colOff>
          <xdr:row>22</xdr:row>
          <xdr:rowOff>0</xdr:rowOff>
        </xdr:to>
        <xdr:sp macro="" textlink="">
          <xdr:nvSpPr>
            <xdr:cNvPr id="3077" name="Label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20</xdr:row>
          <xdr:rowOff>19050</xdr:rowOff>
        </xdr:from>
        <xdr:to>
          <xdr:col>19</xdr:col>
          <xdr:colOff>704850</xdr:colOff>
          <xdr:row>22</xdr:row>
          <xdr:rowOff>0</xdr:rowOff>
        </xdr:to>
        <xdr:sp macro="" textlink="">
          <xdr:nvSpPr>
            <xdr:cNvPr id="3078" name="Label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9525</xdr:rowOff>
        </xdr:from>
        <xdr:to>
          <xdr:col>16</xdr:col>
          <xdr:colOff>676275</xdr:colOff>
          <xdr:row>15</xdr:row>
          <xdr:rowOff>200025</xdr:rowOff>
        </xdr:to>
        <xdr:sp macro="" textlink="">
          <xdr:nvSpPr>
            <xdr:cNvPr id="3079" name="Label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19050</xdr:rowOff>
        </xdr:from>
        <xdr:to>
          <xdr:col>16</xdr:col>
          <xdr:colOff>676275</xdr:colOff>
          <xdr:row>28</xdr:row>
          <xdr:rowOff>0</xdr:rowOff>
        </xdr:to>
        <xdr:sp macro="" textlink="">
          <xdr:nvSpPr>
            <xdr:cNvPr id="3081" name="Label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48"/>
  <sheetViews>
    <sheetView showGridLines="0" zoomScale="85" zoomScaleNormal="85" workbookViewId="0">
      <selection activeCell="J12" sqref="J12"/>
    </sheetView>
  </sheetViews>
  <sheetFormatPr defaultRowHeight="20.100000000000001" customHeight="1" x14ac:dyDescent="0.3"/>
  <cols>
    <col min="1" max="1" width="3.125" style="50" customWidth="1"/>
    <col min="2" max="2" width="5.25" style="50" customWidth="1"/>
    <col min="3" max="6" width="29.125" style="50" customWidth="1"/>
    <col min="7" max="7" width="17.875" style="50" customWidth="1"/>
    <col min="8" max="9" width="14.125" style="50" customWidth="1"/>
    <col min="10" max="10" width="62.5" style="50" customWidth="1"/>
    <col min="11" max="16384" width="9" style="50"/>
  </cols>
  <sheetData>
    <row r="1" spans="2:10" ht="18" customHeight="1" x14ac:dyDescent="0.3"/>
    <row r="2" spans="2:10" ht="20.100000000000001" customHeight="1" x14ac:dyDescent="0.3">
      <c r="B2" s="140" t="s">
        <v>68</v>
      </c>
      <c r="C2" s="141"/>
      <c r="D2" s="141"/>
      <c r="E2" s="141"/>
      <c r="F2" s="141"/>
      <c r="G2" s="142"/>
      <c r="H2" s="61"/>
      <c r="I2" s="61"/>
      <c r="J2" s="61"/>
    </row>
    <row r="3" spans="2:10" ht="20.100000000000001" customHeight="1" x14ac:dyDescent="0.3">
      <c r="B3" s="52" t="s">
        <v>63</v>
      </c>
      <c r="C3" s="58"/>
      <c r="D3" s="58"/>
      <c r="E3" s="58"/>
      <c r="F3" s="58"/>
      <c r="G3" s="59"/>
      <c r="H3" s="61"/>
      <c r="I3" s="61"/>
      <c r="J3" s="61"/>
    </row>
    <row r="4" spans="2:10" ht="20.100000000000001" customHeight="1" x14ac:dyDescent="0.3">
      <c r="B4" s="138" t="s">
        <v>62</v>
      </c>
      <c r="C4" s="139"/>
      <c r="D4" s="139"/>
      <c r="E4" s="139"/>
      <c r="F4" s="139"/>
      <c r="G4" s="143"/>
      <c r="H4" s="61"/>
      <c r="I4" s="61"/>
      <c r="J4" s="61"/>
    </row>
    <row r="5" spans="2:10" ht="9.75" customHeight="1" x14ac:dyDescent="0.3">
      <c r="B5" s="138"/>
      <c r="C5" s="139"/>
      <c r="D5" s="139"/>
      <c r="E5" s="139"/>
      <c r="F5" s="139"/>
      <c r="G5" s="143"/>
      <c r="H5" s="61"/>
      <c r="I5" s="61"/>
      <c r="J5" s="61"/>
    </row>
    <row r="6" spans="2:10" ht="20.100000000000001" customHeight="1" x14ac:dyDescent="0.3">
      <c r="B6" s="138" t="s">
        <v>64</v>
      </c>
      <c r="C6" s="139"/>
      <c r="D6" s="139"/>
      <c r="E6" s="139"/>
      <c r="F6" s="139"/>
      <c r="G6" s="143"/>
      <c r="H6" s="61"/>
      <c r="I6" s="61"/>
      <c r="J6" s="61"/>
    </row>
    <row r="7" spans="2:10" ht="20.100000000000001" customHeight="1" x14ac:dyDescent="0.3">
      <c r="B7" s="138" t="s">
        <v>65</v>
      </c>
      <c r="C7" s="139"/>
      <c r="D7" s="139"/>
      <c r="E7" s="139"/>
      <c r="F7" s="139"/>
      <c r="G7" s="143"/>
      <c r="H7" s="61"/>
      <c r="I7" s="61"/>
      <c r="J7" s="61"/>
    </row>
    <row r="8" spans="2:10" ht="20.100000000000001" customHeight="1" x14ac:dyDescent="0.3">
      <c r="B8" s="138" t="s">
        <v>100</v>
      </c>
      <c r="C8" s="139"/>
      <c r="D8" s="139"/>
      <c r="E8" s="139"/>
      <c r="F8" s="139"/>
      <c r="G8" s="143"/>
      <c r="H8" s="61"/>
      <c r="I8" s="61"/>
      <c r="J8" s="61"/>
    </row>
    <row r="9" spans="2:10" ht="20.100000000000001" customHeight="1" x14ac:dyDescent="0.3">
      <c r="B9" s="138" t="s">
        <v>66</v>
      </c>
      <c r="C9" s="139"/>
      <c r="D9" s="139"/>
      <c r="E9" s="139"/>
      <c r="F9" s="139"/>
      <c r="G9" s="143"/>
      <c r="H9" s="61"/>
      <c r="I9" s="61"/>
      <c r="J9" s="61"/>
    </row>
    <row r="10" spans="2:10" ht="20.100000000000001" customHeight="1" x14ac:dyDescent="0.3">
      <c r="B10" s="52" t="s">
        <v>67</v>
      </c>
      <c r="C10" s="58"/>
      <c r="D10" s="58"/>
      <c r="E10" s="58"/>
      <c r="F10" s="58"/>
      <c r="G10" s="59"/>
      <c r="H10" s="61"/>
      <c r="I10" s="61"/>
      <c r="J10" s="61"/>
    </row>
    <row r="11" spans="2:10" ht="20.100000000000001" customHeight="1" x14ac:dyDescent="0.3">
      <c r="B11" s="52"/>
      <c r="C11" s="58"/>
      <c r="D11" s="58"/>
      <c r="E11" s="58"/>
      <c r="F11" s="58"/>
      <c r="G11" s="59"/>
      <c r="H11" s="61"/>
      <c r="I11" s="61"/>
      <c r="J11" s="61"/>
    </row>
    <row r="12" spans="2:10" ht="20.100000000000001" customHeight="1" x14ac:dyDescent="0.3">
      <c r="B12" s="52"/>
      <c r="C12" s="58"/>
      <c r="D12" s="58"/>
      <c r="E12" s="58"/>
      <c r="F12" s="58"/>
      <c r="G12" s="59"/>
      <c r="H12" s="61"/>
      <c r="I12" s="61"/>
      <c r="J12" s="61"/>
    </row>
    <row r="13" spans="2:10" ht="20.100000000000001" customHeight="1" x14ac:dyDescent="0.3">
      <c r="B13" s="52"/>
      <c r="C13" s="58"/>
      <c r="D13" s="58"/>
      <c r="E13" s="58"/>
      <c r="F13" s="58"/>
      <c r="G13" s="59"/>
      <c r="H13" s="61"/>
      <c r="I13" s="61"/>
      <c r="J13" s="61"/>
    </row>
    <row r="14" spans="2:10" ht="20.100000000000001" customHeight="1" x14ac:dyDescent="0.3">
      <c r="B14" s="52"/>
      <c r="C14" s="58"/>
      <c r="D14" s="58"/>
      <c r="E14" s="58"/>
      <c r="F14" s="58"/>
      <c r="G14" s="59"/>
      <c r="H14" s="61"/>
      <c r="I14" s="61"/>
      <c r="J14" s="61"/>
    </row>
    <row r="15" spans="2:10" ht="20.100000000000001" customHeight="1" x14ac:dyDescent="0.3">
      <c r="B15" s="52"/>
      <c r="C15" s="58"/>
      <c r="D15" s="58"/>
      <c r="E15" s="58"/>
      <c r="F15" s="58"/>
      <c r="G15" s="59"/>
      <c r="H15" s="61"/>
      <c r="I15" s="61"/>
      <c r="J15" s="61"/>
    </row>
    <row r="16" spans="2:10" ht="20.100000000000001" customHeight="1" x14ac:dyDescent="0.3">
      <c r="B16" s="52"/>
      <c r="C16" s="58"/>
      <c r="D16" s="58"/>
      <c r="E16" s="58"/>
      <c r="F16" s="58"/>
      <c r="G16" s="59"/>
      <c r="H16" s="61"/>
      <c r="I16" s="61"/>
      <c r="J16" s="61"/>
    </row>
    <row r="17" spans="2:10" ht="20.100000000000001" customHeight="1" x14ac:dyDescent="0.3">
      <c r="B17" s="52"/>
      <c r="C17" s="58"/>
      <c r="D17" s="58"/>
      <c r="E17" s="58"/>
      <c r="F17" s="58"/>
      <c r="G17" s="59"/>
      <c r="H17" s="58"/>
      <c r="I17" s="58"/>
      <c r="J17" s="58"/>
    </row>
    <row r="18" spans="2:10" ht="20.100000000000001" customHeight="1" x14ac:dyDescent="0.3">
      <c r="B18" s="52"/>
      <c r="C18" s="58"/>
      <c r="D18" s="58"/>
      <c r="E18" s="58"/>
      <c r="F18" s="58"/>
      <c r="G18" s="59"/>
      <c r="H18" s="58"/>
      <c r="I18" s="58"/>
      <c r="J18" s="58"/>
    </row>
    <row r="19" spans="2:10" ht="20.25" customHeight="1" x14ac:dyDescent="0.3">
      <c r="B19" s="52"/>
      <c r="C19" s="53"/>
      <c r="D19" s="53"/>
      <c r="E19" s="53"/>
      <c r="F19" s="53"/>
      <c r="G19" s="54"/>
      <c r="H19" s="53"/>
      <c r="I19" s="53"/>
      <c r="J19" s="53"/>
    </row>
    <row r="20" spans="2:10" ht="20.100000000000001" customHeight="1" x14ac:dyDescent="0.3">
      <c r="B20" s="52"/>
      <c r="C20" s="53"/>
      <c r="D20" s="53"/>
      <c r="E20" s="53"/>
      <c r="F20" s="53"/>
      <c r="G20" s="54"/>
      <c r="H20" s="53"/>
      <c r="I20" s="53"/>
      <c r="J20" s="53"/>
    </row>
    <row r="21" spans="2:10" ht="19.5" customHeight="1" x14ac:dyDescent="0.3">
      <c r="B21" s="55"/>
      <c r="C21" s="56"/>
      <c r="D21" s="56"/>
      <c r="E21" s="56"/>
      <c r="F21" s="56"/>
      <c r="G21" s="57"/>
      <c r="H21" s="53"/>
      <c r="I21" s="53"/>
      <c r="J21" s="53"/>
    </row>
    <row r="22" spans="2:10" ht="20.100000000000001" customHeight="1" x14ac:dyDescent="0.3">
      <c r="B22" s="51"/>
    </row>
    <row r="23" spans="2:10" ht="20.100000000000001" customHeight="1" x14ac:dyDescent="0.3">
      <c r="B23" s="134" t="s">
        <v>61</v>
      </c>
      <c r="C23" s="135"/>
      <c r="D23" s="135"/>
      <c r="E23" s="135"/>
      <c r="F23" s="135"/>
      <c r="G23" s="135"/>
      <c r="H23" s="60"/>
      <c r="I23" s="61"/>
      <c r="J23" s="61"/>
    </row>
    <row r="24" spans="2:10" ht="19.5" customHeight="1" x14ac:dyDescent="0.3">
      <c r="B24" s="132" t="s">
        <v>60</v>
      </c>
      <c r="C24" s="133"/>
      <c r="D24" s="133"/>
      <c r="E24" s="133"/>
      <c r="F24" s="133"/>
      <c r="G24" s="133"/>
      <c r="H24" s="62"/>
    </row>
    <row r="25" spans="2:10" ht="19.5" customHeight="1" x14ac:dyDescent="0.3">
      <c r="B25" s="132" t="s">
        <v>59</v>
      </c>
      <c r="C25" s="133"/>
      <c r="D25" s="133"/>
      <c r="E25" s="133"/>
      <c r="F25" s="133"/>
      <c r="G25" s="133"/>
      <c r="H25" s="62"/>
    </row>
    <row r="26" spans="2:10" ht="9.75" customHeight="1" x14ac:dyDescent="0.3">
      <c r="B26" s="132"/>
      <c r="C26" s="133"/>
      <c r="D26" s="133"/>
      <c r="E26" s="133"/>
      <c r="F26" s="133"/>
      <c r="G26" s="133"/>
      <c r="H26" s="62"/>
    </row>
    <row r="27" spans="2:10" ht="20.100000000000001" customHeight="1" x14ac:dyDescent="0.3">
      <c r="B27" s="138" t="s">
        <v>58</v>
      </c>
      <c r="C27" s="139"/>
      <c r="D27" s="139"/>
      <c r="E27" s="139"/>
      <c r="F27" s="139"/>
      <c r="G27" s="139"/>
      <c r="H27" s="60"/>
      <c r="I27" s="61"/>
      <c r="J27" s="61"/>
    </row>
    <row r="28" spans="2:10" ht="20.100000000000001" customHeight="1" x14ac:dyDescent="0.3">
      <c r="B28" s="132" t="s">
        <v>57</v>
      </c>
      <c r="C28" s="133"/>
      <c r="D28" s="133"/>
      <c r="E28" s="133"/>
      <c r="F28" s="133"/>
      <c r="G28" s="133"/>
      <c r="H28" s="62"/>
    </row>
    <row r="29" spans="2:10" ht="20.100000000000001" customHeight="1" x14ac:dyDescent="0.3">
      <c r="B29" s="136" t="s">
        <v>56</v>
      </c>
      <c r="C29" s="137"/>
      <c r="D29" s="137"/>
      <c r="E29" s="137"/>
      <c r="F29" s="137"/>
      <c r="G29" s="137"/>
      <c r="H29" s="62"/>
    </row>
    <row r="31" spans="2:10" ht="20.100000000000001" customHeight="1" x14ac:dyDescent="0.3">
      <c r="B31" s="134" t="s">
        <v>106</v>
      </c>
      <c r="C31" s="135"/>
      <c r="D31" s="135"/>
      <c r="E31" s="135"/>
      <c r="F31" s="135"/>
      <c r="G31" s="145"/>
    </row>
    <row r="32" spans="2:10" ht="20.100000000000001" customHeight="1" x14ac:dyDescent="0.3">
      <c r="B32" s="146" t="s">
        <v>107</v>
      </c>
      <c r="C32" s="133"/>
      <c r="D32" s="133"/>
      <c r="E32" s="133"/>
      <c r="F32" s="133"/>
      <c r="G32" s="144"/>
    </row>
    <row r="33" spans="2:8" ht="20.100000000000001" customHeight="1" x14ac:dyDescent="0.3">
      <c r="B33" s="132" t="s">
        <v>108</v>
      </c>
      <c r="C33" s="133"/>
      <c r="D33" s="133"/>
      <c r="E33" s="133"/>
      <c r="F33" s="133"/>
      <c r="G33" s="144"/>
    </row>
    <row r="34" spans="2:8" ht="20.100000000000001" customHeight="1" x14ac:dyDescent="0.3">
      <c r="B34" s="132" t="s">
        <v>110</v>
      </c>
      <c r="C34" s="133"/>
      <c r="D34" s="133"/>
      <c r="E34" s="133"/>
      <c r="F34" s="133"/>
      <c r="G34" s="144"/>
    </row>
    <row r="35" spans="2:8" ht="20.100000000000001" customHeight="1" x14ac:dyDescent="0.3">
      <c r="B35" s="138"/>
      <c r="C35" s="139"/>
      <c r="D35" s="139"/>
      <c r="E35" s="139"/>
      <c r="F35" s="139"/>
      <c r="G35" s="143"/>
      <c r="H35" s="50" t="s">
        <v>109</v>
      </c>
    </row>
    <row r="36" spans="2:8" ht="20.100000000000001" customHeight="1" x14ac:dyDescent="0.3">
      <c r="B36" s="132"/>
      <c r="C36" s="133"/>
      <c r="D36" s="133"/>
      <c r="E36" s="133"/>
      <c r="F36" s="133"/>
      <c r="G36" s="144"/>
    </row>
    <row r="37" spans="2:8" ht="20.100000000000001" customHeight="1" x14ac:dyDescent="0.3">
      <c r="B37" s="132"/>
      <c r="C37" s="133"/>
      <c r="D37" s="133"/>
      <c r="E37" s="133"/>
      <c r="F37" s="133"/>
      <c r="G37" s="144"/>
    </row>
    <row r="38" spans="2:8" ht="20.100000000000001" customHeight="1" x14ac:dyDescent="0.3">
      <c r="B38" s="62"/>
      <c r="G38" s="91"/>
    </row>
    <row r="39" spans="2:8" ht="20.100000000000001" customHeight="1" x14ac:dyDescent="0.3">
      <c r="B39" s="62"/>
      <c r="G39" s="91"/>
    </row>
    <row r="40" spans="2:8" ht="20.100000000000001" customHeight="1" x14ac:dyDescent="0.3">
      <c r="B40" s="62"/>
      <c r="G40" s="91"/>
    </row>
    <row r="41" spans="2:8" ht="20.100000000000001" customHeight="1" x14ac:dyDescent="0.3">
      <c r="B41" s="62"/>
      <c r="G41" s="91"/>
    </row>
    <row r="42" spans="2:8" ht="20.100000000000001" customHeight="1" x14ac:dyDescent="0.3">
      <c r="B42" s="62"/>
      <c r="G42" s="91"/>
    </row>
    <row r="43" spans="2:8" ht="20.100000000000001" customHeight="1" x14ac:dyDescent="0.3">
      <c r="B43" s="62"/>
      <c r="G43" s="91"/>
    </row>
    <row r="44" spans="2:8" s="90" customFormat="1" ht="40.5" customHeight="1" x14ac:dyDescent="0.3">
      <c r="B44" s="92"/>
      <c r="G44" s="93"/>
    </row>
    <row r="45" spans="2:8" s="90" customFormat="1" ht="67.5" customHeight="1" x14ac:dyDescent="0.3">
      <c r="B45" s="92"/>
      <c r="G45" s="93"/>
    </row>
    <row r="46" spans="2:8" s="90" customFormat="1" ht="70.5" customHeight="1" x14ac:dyDescent="0.3">
      <c r="B46" s="94"/>
      <c r="C46" s="95"/>
      <c r="D46" s="95"/>
      <c r="E46" s="95"/>
      <c r="F46" s="95"/>
      <c r="G46" s="96"/>
    </row>
    <row r="47" spans="2:8" s="90" customFormat="1" ht="62.25" customHeight="1" x14ac:dyDescent="0.3"/>
    <row r="48" spans="2:8" s="90" customFormat="1" ht="77.25" customHeight="1" x14ac:dyDescent="0.3"/>
  </sheetData>
  <mergeCells count="21">
    <mergeCell ref="B36:G36"/>
    <mergeCell ref="B37:G37"/>
    <mergeCell ref="B31:G31"/>
    <mergeCell ref="B32:G32"/>
    <mergeCell ref="B33:G33"/>
    <mergeCell ref="B34:G34"/>
    <mergeCell ref="B35:G35"/>
    <mergeCell ref="B2:G2"/>
    <mergeCell ref="B9:G9"/>
    <mergeCell ref="B8:G8"/>
    <mergeCell ref="B7:G7"/>
    <mergeCell ref="B6:G6"/>
    <mergeCell ref="B5:G5"/>
    <mergeCell ref="B4:G4"/>
    <mergeCell ref="B24:G24"/>
    <mergeCell ref="B23:G23"/>
    <mergeCell ref="B29:G29"/>
    <mergeCell ref="B28:G28"/>
    <mergeCell ref="B27:G27"/>
    <mergeCell ref="B26:G26"/>
    <mergeCell ref="B25:G25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38"/>
  <sheetViews>
    <sheetView zoomScale="85" zoomScaleNormal="85" workbookViewId="0">
      <selection activeCell="E8" sqref="E8"/>
    </sheetView>
  </sheetViews>
  <sheetFormatPr defaultRowHeight="16.5" x14ac:dyDescent="0.3"/>
  <cols>
    <col min="2" max="3" width="11.625" customWidth="1"/>
    <col min="4" max="10" width="12" customWidth="1"/>
  </cols>
  <sheetData>
    <row r="1" spans="1:13" ht="9.75" customHeight="1" x14ac:dyDescent="0.3"/>
    <row r="2" spans="1:13" ht="21" customHeight="1" x14ac:dyDescent="0.3">
      <c r="A2" s="84"/>
      <c r="B2" s="163" t="s">
        <v>97</v>
      </c>
      <c r="C2" s="165"/>
      <c r="D2" s="165"/>
      <c r="E2" s="165"/>
      <c r="F2" s="165"/>
      <c r="G2" s="165"/>
      <c r="H2" s="165"/>
      <c r="I2" s="165"/>
      <c r="J2" s="165"/>
    </row>
    <row r="3" spans="1:13" ht="21" customHeight="1" x14ac:dyDescent="0.3">
      <c r="B3" s="164"/>
      <c r="C3" s="165"/>
      <c r="D3" s="165"/>
      <c r="E3" s="165"/>
      <c r="F3" s="165"/>
      <c r="G3" s="165"/>
      <c r="H3" s="165"/>
      <c r="I3" s="165"/>
      <c r="J3" s="165"/>
    </row>
    <row r="4" spans="1:13" ht="21" customHeight="1" x14ac:dyDescent="0.3">
      <c r="B4" s="164"/>
      <c r="C4" s="165"/>
      <c r="D4" s="165"/>
      <c r="E4" s="165"/>
      <c r="F4" s="165"/>
      <c r="G4" s="165"/>
      <c r="H4" s="165"/>
      <c r="I4" s="165"/>
      <c r="J4" s="165"/>
    </row>
    <row r="5" spans="1:13" ht="24.75" customHeight="1" x14ac:dyDescent="0.3">
      <c r="B5" s="164"/>
      <c r="C5" s="165" t="s">
        <v>98</v>
      </c>
      <c r="D5" s="165"/>
      <c r="E5" s="165"/>
      <c r="F5" s="165"/>
      <c r="G5" s="165"/>
      <c r="H5" s="165"/>
      <c r="I5" s="165"/>
      <c r="J5" s="165"/>
    </row>
    <row r="6" spans="1:13" x14ac:dyDescent="0.3">
      <c r="B6" s="85"/>
      <c r="C6" s="86"/>
      <c r="D6" s="86"/>
    </row>
    <row r="7" spans="1:13" ht="26.25" customHeight="1" x14ac:dyDescent="0.3">
      <c r="B7" s="170" t="s">
        <v>33</v>
      </c>
      <c r="C7" s="171"/>
      <c r="D7" s="33" t="s">
        <v>34</v>
      </c>
      <c r="E7" s="34"/>
      <c r="F7" s="34"/>
      <c r="G7" s="34"/>
      <c r="H7" s="34"/>
      <c r="I7" s="34"/>
      <c r="J7" s="35"/>
    </row>
    <row r="8" spans="1:13" ht="26.25" customHeight="1" x14ac:dyDescent="0.3">
      <c r="B8" s="172"/>
      <c r="C8" s="173"/>
      <c r="D8" s="36" t="s">
        <v>87</v>
      </c>
      <c r="E8" s="37"/>
      <c r="F8" s="37"/>
      <c r="G8" s="37"/>
      <c r="H8" s="37"/>
      <c r="I8" s="37"/>
      <c r="J8" s="38"/>
    </row>
    <row r="9" spans="1:13" ht="26.25" customHeight="1" x14ac:dyDescent="0.3">
      <c r="B9" s="157" t="s">
        <v>35</v>
      </c>
      <c r="C9" s="158"/>
      <c r="D9" s="39" t="s">
        <v>36</v>
      </c>
      <c r="J9" s="40"/>
    </row>
    <row r="10" spans="1:13" ht="26.25" customHeight="1" x14ac:dyDescent="0.3">
      <c r="B10" s="159"/>
      <c r="C10" s="160"/>
      <c r="D10" s="44" t="s">
        <v>84</v>
      </c>
      <c r="J10" s="40"/>
      <c r="M10" s="32"/>
    </row>
    <row r="11" spans="1:13" ht="26.25" customHeight="1" x14ac:dyDescent="0.3">
      <c r="B11" s="159"/>
      <c r="C11" s="160"/>
      <c r="D11" s="44" t="s">
        <v>80</v>
      </c>
      <c r="J11" s="40"/>
      <c r="M11" s="47"/>
    </row>
    <row r="12" spans="1:13" ht="26.25" customHeight="1" x14ac:dyDescent="0.3">
      <c r="B12" s="159"/>
      <c r="C12" s="160"/>
      <c r="D12" s="45" t="s">
        <v>47</v>
      </c>
      <c r="J12" s="40"/>
    </row>
    <row r="13" spans="1:13" ht="26.25" customHeight="1" x14ac:dyDescent="0.3">
      <c r="B13" s="159"/>
      <c r="C13" s="160"/>
      <c r="D13" s="41" t="s">
        <v>37</v>
      </c>
      <c r="J13" s="40"/>
    </row>
    <row r="14" spans="1:13" ht="26.25" customHeight="1" x14ac:dyDescent="0.3">
      <c r="B14" s="159"/>
      <c r="C14" s="160"/>
      <c r="D14" s="41" t="s">
        <v>99</v>
      </c>
      <c r="J14" s="40"/>
    </row>
    <row r="15" spans="1:13" ht="26.25" customHeight="1" x14ac:dyDescent="0.3">
      <c r="B15" s="159"/>
      <c r="C15" s="160"/>
      <c r="D15" s="44" t="s">
        <v>85</v>
      </c>
      <c r="J15" s="40"/>
    </row>
    <row r="16" spans="1:13" ht="26.25" customHeight="1" x14ac:dyDescent="0.3">
      <c r="B16" s="161"/>
      <c r="C16" s="162"/>
      <c r="D16" s="65" t="s">
        <v>69</v>
      </c>
      <c r="E16" s="37"/>
      <c r="F16" s="37"/>
      <c r="G16" s="37"/>
      <c r="H16" s="37"/>
      <c r="I16" s="37"/>
      <c r="J16" s="38"/>
    </row>
    <row r="17" spans="2:10" ht="26.25" customHeight="1" x14ac:dyDescent="0.3">
      <c r="B17" s="174" t="s">
        <v>38</v>
      </c>
      <c r="C17" s="175"/>
      <c r="D17" s="42" t="s">
        <v>39</v>
      </c>
      <c r="E17" s="34"/>
      <c r="F17" s="34"/>
      <c r="G17" s="34"/>
      <c r="H17" s="34"/>
      <c r="I17" s="34"/>
      <c r="J17" s="35"/>
    </row>
    <row r="18" spans="2:10" ht="26.25" customHeight="1" x14ac:dyDescent="0.3">
      <c r="B18" s="176"/>
      <c r="C18" s="177"/>
      <c r="D18" s="39" t="s">
        <v>50</v>
      </c>
      <c r="J18" s="40"/>
    </row>
    <row r="19" spans="2:10" ht="26.25" customHeight="1" x14ac:dyDescent="0.3">
      <c r="B19" s="176"/>
      <c r="C19" s="177"/>
      <c r="D19" s="39" t="s">
        <v>51</v>
      </c>
      <c r="J19" s="40"/>
    </row>
    <row r="20" spans="2:10" ht="26.25" customHeight="1" x14ac:dyDescent="0.3">
      <c r="B20" s="178"/>
      <c r="C20" s="179"/>
      <c r="D20" s="46" t="s">
        <v>52</v>
      </c>
      <c r="E20" s="37"/>
      <c r="F20" s="37"/>
      <c r="G20" s="37"/>
      <c r="H20" s="37"/>
      <c r="I20" s="37"/>
      <c r="J20" s="38"/>
    </row>
    <row r="21" spans="2:10" ht="26.25" customHeight="1" x14ac:dyDescent="0.3">
      <c r="B21" s="166" t="s">
        <v>40</v>
      </c>
      <c r="C21" s="167"/>
      <c r="D21" s="43" t="s">
        <v>41</v>
      </c>
      <c r="E21" s="34"/>
      <c r="F21" s="34"/>
      <c r="G21" s="34"/>
      <c r="H21" s="34"/>
      <c r="I21" s="34"/>
      <c r="J21" s="35"/>
    </row>
    <row r="22" spans="2:10" ht="26.25" customHeight="1" x14ac:dyDescent="0.3">
      <c r="B22" s="168"/>
      <c r="C22" s="169"/>
      <c r="D22" s="36" t="s">
        <v>48</v>
      </c>
      <c r="E22" s="37"/>
      <c r="F22" s="37"/>
      <c r="G22" s="37"/>
      <c r="H22" s="37"/>
      <c r="I22" s="37"/>
      <c r="J22" s="38"/>
    </row>
    <row r="23" spans="2:10" ht="26.25" customHeight="1" x14ac:dyDescent="0.3">
      <c r="B23" s="151" t="s">
        <v>42</v>
      </c>
      <c r="C23" s="152"/>
      <c r="D23" s="81" t="s">
        <v>83</v>
      </c>
      <c r="E23" s="34"/>
      <c r="F23" s="34"/>
      <c r="G23" s="34"/>
      <c r="H23" s="34"/>
      <c r="I23" s="34"/>
      <c r="J23" s="35"/>
    </row>
    <row r="24" spans="2:10" ht="26.25" customHeight="1" x14ac:dyDescent="0.3">
      <c r="B24" s="153"/>
      <c r="C24" s="154"/>
      <c r="D24" s="44" t="s">
        <v>101</v>
      </c>
      <c r="J24" s="40"/>
    </row>
    <row r="25" spans="2:10" ht="26.25" customHeight="1" x14ac:dyDescent="0.3">
      <c r="B25" s="153"/>
      <c r="C25" s="154"/>
      <c r="D25" s="44" t="s">
        <v>53</v>
      </c>
      <c r="J25" s="40"/>
    </row>
    <row r="26" spans="2:10" ht="26.25" customHeight="1" x14ac:dyDescent="0.3">
      <c r="B26" s="153"/>
      <c r="C26" s="154"/>
      <c r="D26" s="44" t="s">
        <v>82</v>
      </c>
      <c r="J26" s="40"/>
    </row>
    <row r="27" spans="2:10" ht="26.25" customHeight="1" x14ac:dyDescent="0.3">
      <c r="B27" s="155"/>
      <c r="C27" s="156"/>
      <c r="D27" s="66" t="s">
        <v>70</v>
      </c>
      <c r="E27" s="37"/>
      <c r="F27" s="37"/>
      <c r="G27" s="37"/>
      <c r="H27" s="37"/>
      <c r="I27" s="37"/>
      <c r="J27" s="38"/>
    </row>
    <row r="28" spans="2:10" ht="26.25" customHeight="1" x14ac:dyDescent="0.3">
      <c r="B28" s="147" t="s">
        <v>43</v>
      </c>
      <c r="C28" s="148"/>
      <c r="D28" s="45" t="s">
        <v>54</v>
      </c>
      <c r="J28" s="40"/>
    </row>
    <row r="29" spans="2:10" ht="26.25" customHeight="1" x14ac:dyDescent="0.3">
      <c r="B29" s="147"/>
      <c r="C29" s="148"/>
      <c r="D29" t="s">
        <v>55</v>
      </c>
      <c r="J29" s="40"/>
    </row>
    <row r="30" spans="2:10" ht="26.25" customHeight="1" x14ac:dyDescent="0.3">
      <c r="B30" s="149"/>
      <c r="C30" s="150"/>
      <c r="D30" s="49" t="s">
        <v>86</v>
      </c>
      <c r="E30" s="37"/>
      <c r="F30" s="37"/>
      <c r="G30" s="37"/>
      <c r="H30" s="37"/>
      <c r="I30" s="37"/>
      <c r="J30" s="38"/>
    </row>
    <row r="31" spans="2:10" x14ac:dyDescent="0.3">
      <c r="B31" s="23"/>
    </row>
    <row r="32" spans="2:10" x14ac:dyDescent="0.3">
      <c r="B32" s="23" t="s">
        <v>105</v>
      </c>
    </row>
    <row r="33" spans="2:2" x14ac:dyDescent="0.3">
      <c r="B33" t="s">
        <v>102</v>
      </c>
    </row>
    <row r="34" spans="2:2" x14ac:dyDescent="0.3">
      <c r="B34" t="s">
        <v>103</v>
      </c>
    </row>
    <row r="35" spans="2:2" x14ac:dyDescent="0.3">
      <c r="B35" t="s">
        <v>104</v>
      </c>
    </row>
    <row r="36" spans="2:2" x14ac:dyDescent="0.3">
      <c r="B36" s="23"/>
    </row>
    <row r="37" spans="2:2" x14ac:dyDescent="0.3">
      <c r="B37" s="23"/>
    </row>
    <row r="38" spans="2:2" x14ac:dyDescent="0.3">
      <c r="B38" s="23"/>
    </row>
  </sheetData>
  <mergeCells count="9">
    <mergeCell ref="B28:C30"/>
    <mergeCell ref="B23:C27"/>
    <mergeCell ref="B9:C16"/>
    <mergeCell ref="B2:B5"/>
    <mergeCell ref="C5:J5"/>
    <mergeCell ref="C2:J4"/>
    <mergeCell ref="B21:C22"/>
    <mergeCell ref="B7:C8"/>
    <mergeCell ref="B17:C2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abel 1">
              <controlPr defaultSize="0" autoFill="0" autoLine="0" autoPict="0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2495550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V502"/>
  <sheetViews>
    <sheetView tabSelected="1" zoomScale="115" zoomScaleNormal="115" workbookViewId="0">
      <selection activeCell="I12" sqref="I12"/>
    </sheetView>
  </sheetViews>
  <sheetFormatPr defaultRowHeight="16.5" x14ac:dyDescent="0.3"/>
  <cols>
    <col min="2" max="2" width="11" style="19" bestFit="1" customWidth="1"/>
    <col min="3" max="3" width="5.25" style="19" bestFit="1" customWidth="1"/>
    <col min="4" max="4" width="9" style="19"/>
    <col min="5" max="6" width="9" style="102"/>
    <col min="7" max="7" width="13" style="19" bestFit="1" customWidth="1"/>
    <col min="16" max="16" width="10.5" customWidth="1"/>
    <col min="17" max="17" width="9.375" customWidth="1"/>
    <col min="20" max="20" width="9.75" customWidth="1"/>
  </cols>
  <sheetData>
    <row r="1" spans="1:22" x14ac:dyDescent="0.3">
      <c r="D1" s="5" t="s">
        <v>113</v>
      </c>
      <c r="E1" s="100"/>
      <c r="F1" s="100"/>
      <c r="G1" s="5" t="s">
        <v>1</v>
      </c>
      <c r="K1" t="s">
        <v>2</v>
      </c>
      <c r="L1" s="1" t="s">
        <v>9</v>
      </c>
    </row>
    <row r="2" spans="1:22" x14ac:dyDescent="0.3">
      <c r="B2" s="4" t="s">
        <v>0</v>
      </c>
      <c r="C2" s="98" t="s">
        <v>12</v>
      </c>
      <c r="D2" s="5" t="s">
        <v>3</v>
      </c>
      <c r="E2" s="100"/>
      <c r="F2" s="100"/>
      <c r="G2" s="5"/>
      <c r="H2" s="8" t="s">
        <v>14</v>
      </c>
      <c r="K2" s="3" t="s">
        <v>10</v>
      </c>
      <c r="L2" s="4" t="s">
        <v>8</v>
      </c>
      <c r="N2" s="5" t="s">
        <v>4</v>
      </c>
      <c r="O2" s="188" t="s">
        <v>44</v>
      </c>
      <c r="P2" s="5" t="s">
        <v>5</v>
      </c>
      <c r="Q2" s="5" t="s">
        <v>46</v>
      </c>
      <c r="R2" s="5" t="s">
        <v>6</v>
      </c>
      <c r="S2" s="5" t="s">
        <v>7</v>
      </c>
      <c r="T2" s="5" t="s">
        <v>16</v>
      </c>
    </row>
    <row r="3" spans="1:22" x14ac:dyDescent="0.3">
      <c r="A3" s="7" t="s">
        <v>13</v>
      </c>
      <c r="B3" s="4"/>
      <c r="C3" s="98"/>
      <c r="D3" s="4"/>
      <c r="E3" s="101"/>
      <c r="F3" s="101"/>
      <c r="G3" s="17" t="str">
        <f>IF(AND(D3=E3,E3=F3),"",IF(AND(F3="",D3=E3),"",IF(AND(D3="",E3=F3),"",IF(AND(E3="",D3=F3),"",""))))</f>
        <v/>
      </c>
      <c r="H3" s="9" t="s">
        <v>15</v>
      </c>
      <c r="K3" s="2" t="str">
        <f>IF(D3="","",+D3)</f>
        <v/>
      </c>
      <c r="L3" s="2" t="str">
        <f>RIGHT(K3,2)</f>
        <v/>
      </c>
      <c r="M3" s="2" t="str">
        <f>IF(B3="","",IF(COUNTIF($K$3:$K$295,K3)&gt;1,"동명",""))</f>
        <v/>
      </c>
      <c r="N3" s="5"/>
      <c r="O3" s="188"/>
      <c r="P3" s="5" t="str">
        <f>IF(COUNTA(B3:B482)=0,"",COUNTA(B3:B482))</f>
        <v/>
      </c>
      <c r="Q3" s="64"/>
      <c r="R3" s="5" t="str">
        <f>IF(COUNTA(B3:B482)=0,"",COUNTIF(C3:C482,1))</f>
        <v/>
      </c>
      <c r="S3" s="5" t="str">
        <f>IF(COUNTA(B3:B482)=0,"",COUNTIF(C3:C482,2))</f>
        <v/>
      </c>
      <c r="T3" s="5" t="str">
        <f>IF(Q3="","",P3/Q3)</f>
        <v/>
      </c>
    </row>
    <row r="4" spans="1:22" x14ac:dyDescent="0.3">
      <c r="B4" s="48"/>
      <c r="C4" s="103"/>
      <c r="D4" s="4"/>
      <c r="E4" s="101"/>
      <c r="F4" s="101"/>
      <c r="G4" s="17" t="str">
        <f t="shared" ref="G4:G67" si="0">IF(AND(D4=E4,E4=F4),"",IF(AND(F4="",D4=E4),"",IF(AND(D4="",E4=F4),"",IF(AND(E4="",D4=F4),"",""))))</f>
        <v/>
      </c>
      <c r="K4" s="2" t="str">
        <f t="shared" ref="K4:K67" si="1">IF(D4="","",+D4)</f>
        <v/>
      </c>
      <c r="L4" s="2" t="str">
        <f t="shared" ref="L4:L67" si="2">RIGHT(K4,2)</f>
        <v/>
      </c>
      <c r="M4" s="2" t="str">
        <f t="shared" ref="M4:M67" si="3">IF(B4="","",IF(COUNTIF($K$3:$K$295,K4)&gt;1,"동명",""))</f>
        <v/>
      </c>
      <c r="N4" s="5"/>
      <c r="R4" s="5" t="str">
        <f>IF(Q3="","",R3/Q3)</f>
        <v/>
      </c>
      <c r="S4" s="5" t="str">
        <f>IF(Q3="","",S3/Q3)</f>
        <v/>
      </c>
    </row>
    <row r="5" spans="1:22" x14ac:dyDescent="0.3">
      <c r="B5" s="16"/>
      <c r="C5" s="18"/>
      <c r="D5" s="104"/>
      <c r="E5" s="101"/>
      <c r="F5" s="101"/>
      <c r="G5" s="17" t="str">
        <f t="shared" si="0"/>
        <v/>
      </c>
      <c r="K5" s="2" t="str">
        <f t="shared" si="1"/>
        <v/>
      </c>
      <c r="L5" s="2" t="str">
        <f t="shared" si="2"/>
        <v/>
      </c>
      <c r="M5" s="2" t="str">
        <f t="shared" si="3"/>
        <v/>
      </c>
      <c r="N5" s="5"/>
      <c r="O5" s="188" t="s">
        <v>45</v>
      </c>
      <c r="P5" s="5" t="s">
        <v>27</v>
      </c>
      <c r="Q5" s="64"/>
      <c r="T5" s="5" t="str">
        <f>IF(Q5="","",R3/Q5)</f>
        <v/>
      </c>
      <c r="U5" s="32" t="s">
        <v>81</v>
      </c>
    </row>
    <row r="6" spans="1:22" x14ac:dyDescent="0.3">
      <c r="B6" s="16"/>
      <c r="C6" s="18"/>
      <c r="D6" s="104"/>
      <c r="E6" s="101"/>
      <c r="F6" s="101"/>
      <c r="G6" s="17" t="str">
        <f t="shared" si="0"/>
        <v/>
      </c>
      <c r="H6" s="9"/>
      <c r="K6" s="2" t="str">
        <f t="shared" si="1"/>
        <v/>
      </c>
      <c r="L6" s="2" t="str">
        <f t="shared" si="2"/>
        <v/>
      </c>
      <c r="M6" s="2" t="str">
        <f t="shared" si="3"/>
        <v/>
      </c>
      <c r="N6" s="5"/>
      <c r="O6" s="188"/>
      <c r="P6" s="5" t="s">
        <v>28</v>
      </c>
      <c r="Q6" s="64"/>
      <c r="T6" s="5" t="str">
        <f>IF(Q6="","",S3/(Q6-Q5))</f>
        <v/>
      </c>
      <c r="U6" s="32" t="s">
        <v>73</v>
      </c>
    </row>
    <row r="7" spans="1:22" x14ac:dyDescent="0.3">
      <c r="B7" s="16"/>
      <c r="C7" s="18"/>
      <c r="D7" s="104"/>
      <c r="E7" s="101"/>
      <c r="F7" s="101"/>
      <c r="G7" s="17" t="str">
        <f t="shared" si="0"/>
        <v/>
      </c>
      <c r="H7" s="10"/>
      <c r="K7" s="2" t="str">
        <f t="shared" si="1"/>
        <v/>
      </c>
      <c r="L7" s="2" t="str">
        <f t="shared" si="2"/>
        <v/>
      </c>
      <c r="M7" s="2" t="str">
        <f t="shared" si="3"/>
        <v/>
      </c>
      <c r="N7" s="5"/>
      <c r="U7" s="32" t="s">
        <v>74</v>
      </c>
    </row>
    <row r="8" spans="1:22" x14ac:dyDescent="0.3">
      <c r="B8" s="16"/>
      <c r="C8" s="18"/>
      <c r="D8" s="104"/>
      <c r="E8" s="101"/>
      <c r="F8" s="101"/>
      <c r="G8" s="17" t="str">
        <f t="shared" si="0"/>
        <v/>
      </c>
      <c r="H8" s="10"/>
      <c r="K8" s="2" t="str">
        <f t="shared" si="1"/>
        <v/>
      </c>
      <c r="L8" s="2" t="str">
        <f t="shared" si="2"/>
        <v/>
      </c>
      <c r="M8" s="2" t="str">
        <f t="shared" si="3"/>
        <v/>
      </c>
      <c r="N8" s="5"/>
      <c r="Q8" s="63"/>
      <c r="T8" s="83" t="s">
        <v>95</v>
      </c>
    </row>
    <row r="9" spans="1:22" x14ac:dyDescent="0.3">
      <c r="B9" s="16"/>
      <c r="C9" s="18"/>
      <c r="D9" s="104"/>
      <c r="E9" s="101"/>
      <c r="F9" s="101"/>
      <c r="G9" s="17" t="str">
        <f t="shared" si="0"/>
        <v/>
      </c>
      <c r="K9" s="2" t="str">
        <f t="shared" si="1"/>
        <v/>
      </c>
      <c r="L9" s="2" t="str">
        <f t="shared" si="2"/>
        <v/>
      </c>
      <c r="M9" s="2" t="str">
        <f t="shared" si="3"/>
        <v/>
      </c>
      <c r="N9" s="5"/>
      <c r="T9" s="83" t="s">
        <v>96</v>
      </c>
    </row>
    <row r="10" spans="1:22" x14ac:dyDescent="0.3">
      <c r="B10" s="16"/>
      <c r="C10" s="18"/>
      <c r="D10" s="104"/>
      <c r="E10" s="101"/>
      <c r="F10" s="101"/>
      <c r="G10" s="17" t="str">
        <f t="shared" si="0"/>
        <v/>
      </c>
      <c r="K10" s="2" t="str">
        <f t="shared" si="1"/>
        <v/>
      </c>
      <c r="L10" s="2" t="str">
        <f t="shared" si="2"/>
        <v/>
      </c>
      <c r="M10" s="2" t="str">
        <f t="shared" si="3"/>
        <v/>
      </c>
      <c r="N10" s="5"/>
    </row>
    <row r="11" spans="1:22" x14ac:dyDescent="0.3">
      <c r="B11" s="16"/>
      <c r="C11" s="18"/>
      <c r="D11" s="104"/>
      <c r="E11" s="101"/>
      <c r="F11" s="101"/>
      <c r="G11" s="17" t="str">
        <f t="shared" si="0"/>
        <v/>
      </c>
      <c r="K11" s="2" t="str">
        <f t="shared" si="1"/>
        <v/>
      </c>
      <c r="L11" s="2" t="str">
        <f t="shared" si="2"/>
        <v/>
      </c>
      <c r="M11" s="2" t="str">
        <f t="shared" si="3"/>
        <v/>
      </c>
      <c r="N11" s="5"/>
    </row>
    <row r="12" spans="1:22" x14ac:dyDescent="0.3">
      <c r="B12" s="16"/>
      <c r="C12" s="18"/>
      <c r="D12" s="104"/>
      <c r="E12" s="101"/>
      <c r="F12" s="101"/>
      <c r="G12" s="17" t="str">
        <f t="shared" si="0"/>
        <v/>
      </c>
      <c r="K12" s="2" t="str">
        <f t="shared" si="1"/>
        <v/>
      </c>
      <c r="L12" s="2" t="str">
        <f t="shared" si="2"/>
        <v/>
      </c>
      <c r="M12" s="2" t="str">
        <f t="shared" si="3"/>
        <v/>
      </c>
      <c r="N12" s="5"/>
      <c r="O12" s="186" t="s">
        <v>88</v>
      </c>
      <c r="P12" s="182" t="s">
        <v>21</v>
      </c>
      <c r="Q12" s="182"/>
    </row>
    <row r="13" spans="1:22" x14ac:dyDescent="0.3">
      <c r="B13" s="16"/>
      <c r="C13" s="18"/>
      <c r="D13" s="104"/>
      <c r="E13" s="101"/>
      <c r="F13" s="101"/>
      <c r="G13" s="17" t="str">
        <f t="shared" si="0"/>
        <v/>
      </c>
      <c r="K13" s="2" t="str">
        <f t="shared" si="1"/>
        <v/>
      </c>
      <c r="L13" s="2" t="str">
        <f t="shared" si="2"/>
        <v/>
      </c>
      <c r="M13" s="2" t="str">
        <f t="shared" si="3"/>
        <v/>
      </c>
      <c r="N13" s="5"/>
      <c r="O13" s="187"/>
      <c r="P13" s="182"/>
      <c r="Q13" s="182"/>
    </row>
    <row r="14" spans="1:22" x14ac:dyDescent="0.3">
      <c r="B14" s="16"/>
      <c r="C14" s="18"/>
      <c r="D14" s="104"/>
      <c r="E14" s="101"/>
      <c r="F14" s="101"/>
      <c r="G14" s="17" t="str">
        <f t="shared" si="0"/>
        <v/>
      </c>
      <c r="K14" s="2" t="str">
        <f t="shared" si="1"/>
        <v/>
      </c>
      <c r="L14" s="2" t="str">
        <f t="shared" si="2"/>
        <v/>
      </c>
      <c r="M14" s="2" t="str">
        <f t="shared" si="3"/>
        <v/>
      </c>
      <c r="N14" s="5"/>
      <c r="O14" s="82"/>
    </row>
    <row r="15" spans="1:22" x14ac:dyDescent="0.3">
      <c r="B15" s="16"/>
      <c r="C15" s="18"/>
      <c r="D15" s="104"/>
      <c r="E15" s="101"/>
      <c r="F15" s="101"/>
      <c r="G15" s="17" t="str">
        <f t="shared" si="0"/>
        <v/>
      </c>
      <c r="K15" s="2" t="str">
        <f t="shared" si="1"/>
        <v/>
      </c>
      <c r="L15" s="2" t="str">
        <f t="shared" si="2"/>
        <v/>
      </c>
      <c r="M15" s="2" t="str">
        <f t="shared" si="3"/>
        <v/>
      </c>
      <c r="N15" s="5"/>
      <c r="O15" s="187" t="s">
        <v>89</v>
      </c>
      <c r="P15" s="184" t="s">
        <v>112</v>
      </c>
      <c r="Q15" s="185"/>
      <c r="V15" s="97"/>
    </row>
    <row r="16" spans="1:22" x14ac:dyDescent="0.3">
      <c r="B16" s="16"/>
      <c r="C16" s="18"/>
      <c r="D16" s="104"/>
      <c r="E16" s="101"/>
      <c r="F16" s="101"/>
      <c r="G16" s="17" t="str">
        <f t="shared" si="0"/>
        <v/>
      </c>
      <c r="K16" s="2" t="str">
        <f t="shared" si="1"/>
        <v/>
      </c>
      <c r="L16" s="2" t="str">
        <f t="shared" si="2"/>
        <v/>
      </c>
      <c r="M16" s="2" t="str">
        <f t="shared" si="3"/>
        <v/>
      </c>
      <c r="N16" s="5"/>
      <c r="O16" s="187"/>
      <c r="P16" s="185"/>
      <c r="Q16" s="185"/>
    </row>
    <row r="17" spans="2:22" x14ac:dyDescent="0.3">
      <c r="B17" s="16"/>
      <c r="C17" s="18"/>
      <c r="D17" s="104"/>
      <c r="E17" s="101"/>
      <c r="F17" s="101"/>
      <c r="G17" s="17" t="str">
        <f t="shared" si="0"/>
        <v/>
      </c>
      <c r="K17" s="2" t="str">
        <f t="shared" si="1"/>
        <v/>
      </c>
      <c r="L17" s="2" t="str">
        <f t="shared" si="2"/>
        <v/>
      </c>
      <c r="M17" s="2" t="str">
        <f t="shared" si="3"/>
        <v/>
      </c>
      <c r="N17" s="5"/>
      <c r="O17" s="82"/>
    </row>
    <row r="18" spans="2:22" x14ac:dyDescent="0.3">
      <c r="B18" s="16"/>
      <c r="C18" s="18"/>
      <c r="D18" s="104"/>
      <c r="E18" s="101"/>
      <c r="F18" s="101"/>
      <c r="G18" s="17" t="str">
        <f t="shared" si="0"/>
        <v/>
      </c>
      <c r="K18" s="2" t="str">
        <f t="shared" si="1"/>
        <v/>
      </c>
      <c r="L18" s="2" t="str">
        <f t="shared" si="2"/>
        <v/>
      </c>
      <c r="M18" s="2" t="str">
        <f t="shared" si="3"/>
        <v/>
      </c>
      <c r="N18" s="5"/>
      <c r="O18" s="187" t="s">
        <v>90</v>
      </c>
      <c r="P18" s="183" t="s">
        <v>111</v>
      </c>
      <c r="Q18" s="177"/>
      <c r="S18" s="97"/>
      <c r="V18" s="97"/>
    </row>
    <row r="19" spans="2:22" x14ac:dyDescent="0.3">
      <c r="B19" s="16"/>
      <c r="C19" s="18"/>
      <c r="D19" s="104"/>
      <c r="E19" s="101"/>
      <c r="F19" s="101"/>
      <c r="G19" s="17" t="str">
        <f t="shared" si="0"/>
        <v/>
      </c>
      <c r="K19" s="2" t="str">
        <f t="shared" si="1"/>
        <v/>
      </c>
      <c r="L19" s="2" t="str">
        <f t="shared" si="2"/>
        <v/>
      </c>
      <c r="M19" s="2" t="str">
        <f t="shared" si="3"/>
        <v/>
      </c>
      <c r="N19" s="5"/>
      <c r="O19" s="187"/>
      <c r="P19" s="177"/>
      <c r="Q19" s="177"/>
    </row>
    <row r="20" spans="2:22" x14ac:dyDescent="0.3">
      <c r="B20" s="16"/>
      <c r="C20" s="18"/>
      <c r="D20" s="104"/>
      <c r="E20" s="101"/>
      <c r="F20" s="101"/>
      <c r="G20" s="17" t="str">
        <f t="shared" si="0"/>
        <v/>
      </c>
      <c r="K20" s="2" t="str">
        <f t="shared" si="1"/>
        <v/>
      </c>
      <c r="L20" s="2" t="str">
        <f t="shared" si="2"/>
        <v/>
      </c>
      <c r="M20" s="2" t="str">
        <f t="shared" si="3"/>
        <v/>
      </c>
      <c r="N20" s="5"/>
      <c r="O20" s="82"/>
    </row>
    <row r="21" spans="2:22" x14ac:dyDescent="0.3">
      <c r="B21" s="16"/>
      <c r="C21" s="18"/>
      <c r="D21" s="104"/>
      <c r="E21" s="101"/>
      <c r="F21" s="101"/>
      <c r="G21" s="17" t="str">
        <f t="shared" si="0"/>
        <v/>
      </c>
      <c r="K21" s="2" t="str">
        <f t="shared" si="1"/>
        <v/>
      </c>
      <c r="L21" s="2" t="str">
        <f t="shared" si="2"/>
        <v/>
      </c>
      <c r="M21" s="2" t="str">
        <f t="shared" si="3"/>
        <v/>
      </c>
      <c r="N21" s="5"/>
      <c r="O21" s="186" t="s">
        <v>93</v>
      </c>
      <c r="P21" s="180" t="s">
        <v>29</v>
      </c>
      <c r="Q21" s="180"/>
      <c r="S21" s="180" t="s">
        <v>30</v>
      </c>
      <c r="T21" s="180"/>
      <c r="U21" t="s">
        <v>94</v>
      </c>
    </row>
    <row r="22" spans="2:22" x14ac:dyDescent="0.3">
      <c r="B22" s="16"/>
      <c r="C22" s="18"/>
      <c r="D22" s="104"/>
      <c r="E22" s="101"/>
      <c r="F22" s="101"/>
      <c r="G22" s="17" t="str">
        <f t="shared" si="0"/>
        <v/>
      </c>
      <c r="K22" s="2" t="str">
        <f t="shared" si="1"/>
        <v/>
      </c>
      <c r="L22" s="2" t="str">
        <f t="shared" si="2"/>
        <v/>
      </c>
      <c r="M22" s="2" t="str">
        <f t="shared" si="3"/>
        <v/>
      </c>
      <c r="N22" s="5"/>
      <c r="O22" s="187"/>
      <c r="P22" s="180"/>
      <c r="Q22" s="180"/>
      <c r="S22" s="180"/>
      <c r="T22" s="180"/>
      <c r="U22" s="32" t="s">
        <v>49</v>
      </c>
    </row>
    <row r="23" spans="2:22" x14ac:dyDescent="0.3">
      <c r="B23" s="16"/>
      <c r="C23" s="18"/>
      <c r="D23" s="104"/>
      <c r="E23" s="101"/>
      <c r="F23" s="101"/>
      <c r="G23" s="17" t="str">
        <f t="shared" si="0"/>
        <v/>
      </c>
      <c r="K23" s="2" t="str">
        <f t="shared" si="1"/>
        <v/>
      </c>
      <c r="L23" s="2" t="str">
        <f t="shared" si="2"/>
        <v/>
      </c>
      <c r="M23" s="2" t="str">
        <f t="shared" si="3"/>
        <v/>
      </c>
      <c r="N23" s="5"/>
      <c r="O23" s="82"/>
    </row>
    <row r="24" spans="2:22" x14ac:dyDescent="0.3">
      <c r="B24" s="16"/>
      <c r="C24" s="18"/>
      <c r="D24" s="104"/>
      <c r="E24" s="101"/>
      <c r="F24" s="101"/>
      <c r="G24" s="17" t="str">
        <f t="shared" si="0"/>
        <v/>
      </c>
      <c r="K24" s="2" t="str">
        <f t="shared" si="1"/>
        <v/>
      </c>
      <c r="L24" s="2" t="str">
        <f t="shared" si="2"/>
        <v/>
      </c>
      <c r="M24" s="2" t="str">
        <f t="shared" si="3"/>
        <v/>
      </c>
      <c r="N24" s="5"/>
      <c r="O24" s="187" t="s">
        <v>91</v>
      </c>
      <c r="P24" s="181" t="s">
        <v>32</v>
      </c>
      <c r="Q24" s="181"/>
    </row>
    <row r="25" spans="2:22" x14ac:dyDescent="0.3">
      <c r="B25" s="16"/>
      <c r="C25" s="18"/>
      <c r="D25" s="104"/>
      <c r="E25" s="101"/>
      <c r="F25" s="101"/>
      <c r="G25" s="17" t="str">
        <f t="shared" si="0"/>
        <v/>
      </c>
      <c r="K25" s="2" t="str">
        <f t="shared" si="1"/>
        <v/>
      </c>
      <c r="L25" s="2" t="str">
        <f t="shared" si="2"/>
        <v/>
      </c>
      <c r="M25" s="2" t="str">
        <f t="shared" si="3"/>
        <v/>
      </c>
      <c r="N25" s="5"/>
      <c r="O25" s="187"/>
      <c r="P25" s="181"/>
      <c r="Q25" s="181"/>
    </row>
    <row r="26" spans="2:22" x14ac:dyDescent="0.3">
      <c r="B26" s="16"/>
      <c r="C26" s="18"/>
      <c r="D26" s="104"/>
      <c r="E26" s="101"/>
      <c r="F26" s="101"/>
      <c r="G26" s="17" t="str">
        <f t="shared" si="0"/>
        <v/>
      </c>
      <c r="K26" s="2" t="str">
        <f t="shared" si="1"/>
        <v/>
      </c>
      <c r="L26" s="2" t="str">
        <f t="shared" si="2"/>
        <v/>
      </c>
      <c r="M26" s="2" t="str">
        <f t="shared" si="3"/>
        <v/>
      </c>
      <c r="N26" s="5"/>
      <c r="O26" s="82"/>
    </row>
    <row r="27" spans="2:22" x14ac:dyDescent="0.3">
      <c r="B27" s="16"/>
      <c r="C27" s="18"/>
      <c r="D27" s="104"/>
      <c r="E27" s="101"/>
      <c r="F27" s="101"/>
      <c r="G27" s="17" t="str">
        <f t="shared" si="0"/>
        <v/>
      </c>
      <c r="K27" s="2" t="str">
        <f t="shared" si="1"/>
        <v/>
      </c>
      <c r="L27" s="2" t="str">
        <f t="shared" si="2"/>
        <v/>
      </c>
      <c r="M27" s="2" t="str">
        <f t="shared" si="3"/>
        <v/>
      </c>
      <c r="N27" s="5"/>
      <c r="O27" s="187" t="s">
        <v>92</v>
      </c>
      <c r="P27" s="148" t="s">
        <v>31</v>
      </c>
      <c r="Q27" s="148"/>
      <c r="S27" s="32" t="s">
        <v>75</v>
      </c>
    </row>
    <row r="28" spans="2:22" x14ac:dyDescent="0.3">
      <c r="B28" s="16"/>
      <c r="C28" s="18"/>
      <c r="D28" s="104"/>
      <c r="E28" s="101"/>
      <c r="F28" s="101"/>
      <c r="G28" s="17" t="str">
        <f t="shared" si="0"/>
        <v/>
      </c>
      <c r="K28" s="2" t="str">
        <f t="shared" si="1"/>
        <v/>
      </c>
      <c r="L28" s="2" t="str">
        <f t="shared" si="2"/>
        <v/>
      </c>
      <c r="M28" s="2" t="str">
        <f t="shared" si="3"/>
        <v/>
      </c>
      <c r="N28" s="5"/>
      <c r="O28" s="187"/>
      <c r="P28" s="148"/>
      <c r="Q28" s="148"/>
      <c r="R28" s="31"/>
      <c r="S28" s="47" t="s">
        <v>76</v>
      </c>
    </row>
    <row r="29" spans="2:22" x14ac:dyDescent="0.3">
      <c r="B29" s="16"/>
      <c r="C29" s="18"/>
      <c r="D29" s="104"/>
      <c r="E29" s="101"/>
      <c r="F29" s="101"/>
      <c r="G29" s="17" t="str">
        <f t="shared" si="0"/>
        <v/>
      </c>
      <c r="K29" s="2" t="str">
        <f t="shared" si="1"/>
        <v/>
      </c>
      <c r="L29" s="2" t="str">
        <f t="shared" si="2"/>
        <v/>
      </c>
      <c r="M29" s="2" t="str">
        <f t="shared" si="3"/>
        <v/>
      </c>
      <c r="N29" s="5"/>
    </row>
    <row r="30" spans="2:22" x14ac:dyDescent="0.3">
      <c r="B30" s="16"/>
      <c r="C30" s="18"/>
      <c r="D30" s="104"/>
      <c r="E30" s="101"/>
      <c r="F30" s="101"/>
      <c r="G30" s="17" t="str">
        <f t="shared" si="0"/>
        <v/>
      </c>
      <c r="K30" s="2" t="str">
        <f t="shared" si="1"/>
        <v/>
      </c>
      <c r="L30" s="2" t="str">
        <f t="shared" si="2"/>
        <v/>
      </c>
      <c r="M30" s="2" t="str">
        <f t="shared" si="3"/>
        <v/>
      </c>
      <c r="N30" s="5"/>
    </row>
    <row r="31" spans="2:22" x14ac:dyDescent="0.3">
      <c r="B31" s="16"/>
      <c r="C31" s="18"/>
      <c r="D31" s="104"/>
      <c r="E31" s="101"/>
      <c r="F31" s="101"/>
      <c r="G31" s="17" t="str">
        <f t="shared" si="0"/>
        <v/>
      </c>
      <c r="K31" s="2" t="str">
        <f t="shared" si="1"/>
        <v/>
      </c>
      <c r="L31" s="2" t="str">
        <f t="shared" si="2"/>
        <v/>
      </c>
      <c r="M31" s="2" t="str">
        <f t="shared" si="3"/>
        <v/>
      </c>
      <c r="N31" s="5"/>
    </row>
    <row r="32" spans="2:22" x14ac:dyDescent="0.3">
      <c r="B32" s="16"/>
      <c r="C32" s="18"/>
      <c r="D32" s="104"/>
      <c r="E32" s="101"/>
      <c r="F32" s="101"/>
      <c r="G32" s="17" t="str">
        <f t="shared" si="0"/>
        <v/>
      </c>
      <c r="K32" s="2" t="str">
        <f t="shared" si="1"/>
        <v/>
      </c>
      <c r="L32" s="2" t="str">
        <f t="shared" si="2"/>
        <v/>
      </c>
      <c r="M32" s="2" t="str">
        <f t="shared" si="3"/>
        <v/>
      </c>
      <c r="N32" s="5"/>
    </row>
    <row r="33" spans="2:16" x14ac:dyDescent="0.3">
      <c r="B33" s="16"/>
      <c r="C33" s="18"/>
      <c r="D33" s="104"/>
      <c r="E33" s="101"/>
      <c r="F33" s="101"/>
      <c r="G33" s="17" t="str">
        <f t="shared" si="0"/>
        <v/>
      </c>
      <c r="K33" s="2" t="str">
        <f t="shared" si="1"/>
        <v/>
      </c>
      <c r="L33" s="2" t="str">
        <f t="shared" si="2"/>
        <v/>
      </c>
      <c r="M33" s="2" t="str">
        <f t="shared" si="3"/>
        <v/>
      </c>
      <c r="N33" s="5"/>
    </row>
    <row r="34" spans="2:16" x14ac:dyDescent="0.3">
      <c r="B34" s="16"/>
      <c r="C34" s="18"/>
      <c r="D34" s="104"/>
      <c r="E34" s="101"/>
      <c r="F34" s="101"/>
      <c r="G34" s="17" t="str">
        <f t="shared" si="0"/>
        <v/>
      </c>
      <c r="K34" s="2" t="str">
        <f t="shared" si="1"/>
        <v/>
      </c>
      <c r="L34" s="2" t="str">
        <f t="shared" si="2"/>
        <v/>
      </c>
      <c r="M34" s="2" t="str">
        <f t="shared" si="3"/>
        <v/>
      </c>
      <c r="N34" s="5"/>
    </row>
    <row r="35" spans="2:16" x14ac:dyDescent="0.3">
      <c r="B35" s="16"/>
      <c r="C35" s="18"/>
      <c r="D35" s="104"/>
      <c r="E35" s="101"/>
      <c r="F35" s="101"/>
      <c r="G35" s="17" t="str">
        <f t="shared" si="0"/>
        <v/>
      </c>
      <c r="K35" s="2" t="str">
        <f t="shared" si="1"/>
        <v/>
      </c>
      <c r="L35" s="2" t="str">
        <f t="shared" si="2"/>
        <v/>
      </c>
      <c r="M35" s="2" t="str">
        <f t="shared" si="3"/>
        <v/>
      </c>
      <c r="N35" s="5"/>
    </row>
    <row r="36" spans="2:16" x14ac:dyDescent="0.3">
      <c r="B36" s="16"/>
      <c r="C36" s="18"/>
      <c r="D36" s="104"/>
      <c r="E36" s="101"/>
      <c r="F36" s="101"/>
      <c r="G36" s="17" t="str">
        <f t="shared" si="0"/>
        <v/>
      </c>
      <c r="K36" s="2" t="str">
        <f t="shared" si="1"/>
        <v/>
      </c>
      <c r="L36" s="2" t="str">
        <f t="shared" si="2"/>
        <v/>
      </c>
      <c r="M36" s="2" t="str">
        <f t="shared" si="3"/>
        <v/>
      </c>
      <c r="N36" s="5"/>
    </row>
    <row r="37" spans="2:16" x14ac:dyDescent="0.3">
      <c r="B37" s="16"/>
      <c r="C37" s="18"/>
      <c r="D37" s="104"/>
      <c r="E37" s="101"/>
      <c r="F37" s="101"/>
      <c r="G37" s="17" t="str">
        <f t="shared" si="0"/>
        <v/>
      </c>
      <c r="K37" s="2" t="str">
        <f t="shared" si="1"/>
        <v/>
      </c>
      <c r="L37" s="2" t="str">
        <f t="shared" si="2"/>
        <v/>
      </c>
      <c r="M37" s="2" t="str">
        <f t="shared" si="3"/>
        <v/>
      </c>
      <c r="N37" s="5"/>
      <c r="P37" t="s">
        <v>26</v>
      </c>
    </row>
    <row r="38" spans="2:16" x14ac:dyDescent="0.3">
      <c r="B38" s="16"/>
      <c r="C38" s="18"/>
      <c r="D38" s="104"/>
      <c r="E38" s="101"/>
      <c r="F38" s="101"/>
      <c r="G38" s="17" t="str">
        <f t="shared" si="0"/>
        <v/>
      </c>
      <c r="K38" s="2" t="str">
        <f t="shared" si="1"/>
        <v/>
      </c>
      <c r="L38" s="2" t="str">
        <f t="shared" si="2"/>
        <v/>
      </c>
      <c r="M38" s="2" t="str">
        <f t="shared" si="3"/>
        <v/>
      </c>
      <c r="N38" s="5"/>
      <c r="P38" t="s">
        <v>26</v>
      </c>
    </row>
    <row r="39" spans="2:16" x14ac:dyDescent="0.3">
      <c r="B39" s="16"/>
      <c r="C39" s="18"/>
      <c r="D39" s="104"/>
      <c r="E39" s="101"/>
      <c r="F39" s="101"/>
      <c r="G39" s="17" t="str">
        <f t="shared" si="0"/>
        <v/>
      </c>
      <c r="K39" s="2" t="str">
        <f t="shared" si="1"/>
        <v/>
      </c>
      <c r="L39" s="2" t="str">
        <f t="shared" si="2"/>
        <v/>
      </c>
      <c r="M39" s="2" t="str">
        <f t="shared" si="3"/>
        <v/>
      </c>
      <c r="N39" s="5"/>
      <c r="P39" t="s">
        <v>26</v>
      </c>
    </row>
    <row r="40" spans="2:16" x14ac:dyDescent="0.3">
      <c r="B40" s="16"/>
      <c r="C40" s="18"/>
      <c r="D40" s="104"/>
      <c r="E40" s="101"/>
      <c r="F40" s="101"/>
      <c r="G40" s="17" t="str">
        <f t="shared" si="0"/>
        <v/>
      </c>
      <c r="K40" s="2" t="str">
        <f t="shared" si="1"/>
        <v/>
      </c>
      <c r="L40" s="2" t="str">
        <f t="shared" si="2"/>
        <v/>
      </c>
      <c r="M40" s="2" t="str">
        <f t="shared" si="3"/>
        <v/>
      </c>
      <c r="N40" s="5"/>
      <c r="P40" t="s">
        <v>26</v>
      </c>
    </row>
    <row r="41" spans="2:16" x14ac:dyDescent="0.3">
      <c r="B41" s="16"/>
      <c r="C41" s="18"/>
      <c r="D41" s="104"/>
      <c r="E41" s="101"/>
      <c r="F41" s="101"/>
      <c r="G41" s="17" t="str">
        <f t="shared" si="0"/>
        <v/>
      </c>
      <c r="K41" s="2" t="str">
        <f t="shared" si="1"/>
        <v/>
      </c>
      <c r="L41" s="2" t="str">
        <f t="shared" si="2"/>
        <v/>
      </c>
      <c r="M41" s="2" t="str">
        <f t="shared" si="3"/>
        <v/>
      </c>
      <c r="N41" s="5"/>
      <c r="P41" t="s">
        <v>26</v>
      </c>
    </row>
    <row r="42" spans="2:16" x14ac:dyDescent="0.3">
      <c r="B42" s="16"/>
      <c r="C42" s="18"/>
      <c r="D42" s="104"/>
      <c r="E42" s="101"/>
      <c r="F42" s="101"/>
      <c r="G42" s="17" t="str">
        <f t="shared" si="0"/>
        <v/>
      </c>
      <c r="K42" s="2" t="str">
        <f t="shared" si="1"/>
        <v/>
      </c>
      <c r="L42" s="2" t="str">
        <f t="shared" si="2"/>
        <v/>
      </c>
      <c r="M42" s="2" t="str">
        <f t="shared" si="3"/>
        <v/>
      </c>
      <c r="N42" s="5"/>
      <c r="P42" t="s">
        <v>26</v>
      </c>
    </row>
    <row r="43" spans="2:16" x14ac:dyDescent="0.3">
      <c r="B43" s="16"/>
      <c r="C43" s="18"/>
      <c r="D43" s="104"/>
      <c r="E43" s="101"/>
      <c r="F43" s="101"/>
      <c r="G43" s="17" t="str">
        <f t="shared" si="0"/>
        <v/>
      </c>
      <c r="K43" s="2" t="str">
        <f t="shared" si="1"/>
        <v/>
      </c>
      <c r="L43" s="2" t="str">
        <f t="shared" si="2"/>
        <v/>
      </c>
      <c r="M43" s="2" t="str">
        <f t="shared" si="3"/>
        <v/>
      </c>
      <c r="N43" s="5"/>
      <c r="P43" t="s">
        <v>26</v>
      </c>
    </row>
    <row r="44" spans="2:16" x14ac:dyDescent="0.3">
      <c r="B44" s="16"/>
      <c r="C44" s="18"/>
      <c r="D44" s="104"/>
      <c r="E44" s="101"/>
      <c r="F44" s="101"/>
      <c r="G44" s="17" t="str">
        <f t="shared" si="0"/>
        <v/>
      </c>
      <c r="K44" s="2" t="str">
        <f t="shared" si="1"/>
        <v/>
      </c>
      <c r="L44" s="2" t="str">
        <f t="shared" si="2"/>
        <v/>
      </c>
      <c r="M44" s="2" t="str">
        <f t="shared" si="3"/>
        <v/>
      </c>
      <c r="N44" s="5"/>
      <c r="P44" t="s">
        <v>26</v>
      </c>
    </row>
    <row r="45" spans="2:16" x14ac:dyDescent="0.3">
      <c r="B45" s="16"/>
      <c r="C45" s="18"/>
      <c r="D45" s="104"/>
      <c r="E45" s="101"/>
      <c r="F45" s="101"/>
      <c r="G45" s="17" t="str">
        <f t="shared" si="0"/>
        <v/>
      </c>
      <c r="K45" s="2" t="str">
        <f t="shared" si="1"/>
        <v/>
      </c>
      <c r="L45" s="2" t="str">
        <f t="shared" si="2"/>
        <v/>
      </c>
      <c r="M45" s="2" t="str">
        <f t="shared" si="3"/>
        <v/>
      </c>
      <c r="N45" s="5"/>
      <c r="P45" t="s">
        <v>26</v>
      </c>
    </row>
    <row r="46" spans="2:16" x14ac:dyDescent="0.3">
      <c r="B46" s="16"/>
      <c r="C46" s="18"/>
      <c r="D46" s="104"/>
      <c r="E46" s="101"/>
      <c r="F46" s="101"/>
      <c r="G46" s="17" t="str">
        <f t="shared" si="0"/>
        <v/>
      </c>
      <c r="K46" s="2" t="str">
        <f t="shared" si="1"/>
        <v/>
      </c>
      <c r="L46" s="2" t="str">
        <f t="shared" si="2"/>
        <v/>
      </c>
      <c r="M46" s="2" t="str">
        <f t="shared" si="3"/>
        <v/>
      </c>
      <c r="N46" s="5"/>
      <c r="P46" t="s">
        <v>26</v>
      </c>
    </row>
    <row r="47" spans="2:16" x14ac:dyDescent="0.3">
      <c r="B47" s="16"/>
      <c r="C47" s="18"/>
      <c r="D47" s="104"/>
      <c r="E47" s="101"/>
      <c r="F47" s="101"/>
      <c r="G47" s="17" t="str">
        <f t="shared" si="0"/>
        <v/>
      </c>
      <c r="K47" s="2" t="str">
        <f t="shared" si="1"/>
        <v/>
      </c>
      <c r="L47" s="2" t="str">
        <f t="shared" si="2"/>
        <v/>
      </c>
      <c r="M47" s="2" t="str">
        <f t="shared" si="3"/>
        <v/>
      </c>
      <c r="N47" s="4"/>
      <c r="O47" s="1"/>
      <c r="P47" t="s">
        <v>26</v>
      </c>
    </row>
    <row r="48" spans="2:16" x14ac:dyDescent="0.3">
      <c r="B48" s="16"/>
      <c r="C48" s="18"/>
      <c r="D48" s="104"/>
      <c r="E48" s="101"/>
      <c r="F48" s="101"/>
      <c r="G48" s="17" t="str">
        <f t="shared" si="0"/>
        <v/>
      </c>
      <c r="K48" s="2" t="str">
        <f t="shared" si="1"/>
        <v/>
      </c>
      <c r="L48" s="2" t="str">
        <f t="shared" si="2"/>
        <v/>
      </c>
      <c r="M48" s="2" t="str">
        <f t="shared" si="3"/>
        <v/>
      </c>
      <c r="N48" s="5"/>
      <c r="P48" t="s">
        <v>26</v>
      </c>
    </row>
    <row r="49" spans="2:16" x14ac:dyDescent="0.3">
      <c r="B49" s="16"/>
      <c r="C49" s="18"/>
      <c r="D49" s="104"/>
      <c r="E49" s="101"/>
      <c r="F49" s="101"/>
      <c r="G49" s="17" t="str">
        <f t="shared" si="0"/>
        <v/>
      </c>
      <c r="K49" s="2" t="str">
        <f t="shared" si="1"/>
        <v/>
      </c>
      <c r="L49" s="2" t="str">
        <f t="shared" si="2"/>
        <v/>
      </c>
      <c r="M49" s="2" t="str">
        <f t="shared" si="3"/>
        <v/>
      </c>
      <c r="N49" s="5"/>
      <c r="P49" t="s">
        <v>26</v>
      </c>
    </row>
    <row r="50" spans="2:16" x14ac:dyDescent="0.3">
      <c r="B50" s="16"/>
      <c r="C50" s="18"/>
      <c r="D50" s="104"/>
      <c r="E50" s="101"/>
      <c r="F50" s="101"/>
      <c r="G50" s="17" t="str">
        <f t="shared" si="0"/>
        <v/>
      </c>
      <c r="K50" s="2" t="str">
        <f t="shared" si="1"/>
        <v/>
      </c>
      <c r="L50" s="2" t="str">
        <f t="shared" si="2"/>
        <v/>
      </c>
      <c r="M50" s="2" t="str">
        <f t="shared" si="3"/>
        <v/>
      </c>
      <c r="N50" s="5"/>
      <c r="P50" t="s">
        <v>26</v>
      </c>
    </row>
    <row r="51" spans="2:16" x14ac:dyDescent="0.3">
      <c r="B51" s="16"/>
      <c r="C51" s="18"/>
      <c r="D51" s="104"/>
      <c r="E51" s="101"/>
      <c r="F51" s="101"/>
      <c r="G51" s="17" t="str">
        <f t="shared" si="0"/>
        <v/>
      </c>
      <c r="K51" s="2" t="str">
        <f t="shared" si="1"/>
        <v/>
      </c>
      <c r="L51" s="2" t="str">
        <f t="shared" si="2"/>
        <v/>
      </c>
      <c r="M51" s="2" t="str">
        <f t="shared" si="3"/>
        <v/>
      </c>
      <c r="N51" s="4"/>
      <c r="O51" s="1"/>
      <c r="P51" t="s">
        <v>26</v>
      </c>
    </row>
    <row r="52" spans="2:16" x14ac:dyDescent="0.3">
      <c r="B52" s="16"/>
      <c r="C52" s="18"/>
      <c r="D52" s="104"/>
      <c r="E52" s="101"/>
      <c r="F52" s="101"/>
      <c r="G52" s="17" t="str">
        <f t="shared" si="0"/>
        <v/>
      </c>
      <c r="K52" s="2" t="str">
        <f t="shared" si="1"/>
        <v/>
      </c>
      <c r="L52" s="2" t="str">
        <f t="shared" si="2"/>
        <v/>
      </c>
      <c r="M52" s="2" t="str">
        <f t="shared" si="3"/>
        <v/>
      </c>
      <c r="N52" s="5"/>
      <c r="P52" t="s">
        <v>26</v>
      </c>
    </row>
    <row r="53" spans="2:16" x14ac:dyDescent="0.3">
      <c r="B53" s="16"/>
      <c r="C53" s="18"/>
      <c r="D53" s="104"/>
      <c r="E53" s="101"/>
      <c r="F53" s="101"/>
      <c r="G53" s="17" t="str">
        <f t="shared" si="0"/>
        <v/>
      </c>
      <c r="K53" s="2" t="str">
        <f t="shared" si="1"/>
        <v/>
      </c>
      <c r="L53" s="2" t="str">
        <f t="shared" si="2"/>
        <v/>
      </c>
      <c r="M53" s="2" t="str">
        <f t="shared" si="3"/>
        <v/>
      </c>
      <c r="N53" s="5"/>
      <c r="P53" t="s">
        <v>26</v>
      </c>
    </row>
    <row r="54" spans="2:16" x14ac:dyDescent="0.3">
      <c r="B54" s="16"/>
      <c r="C54" s="18"/>
      <c r="D54" s="104"/>
      <c r="E54" s="101"/>
      <c r="F54" s="101"/>
      <c r="G54" s="17" t="str">
        <f t="shared" si="0"/>
        <v/>
      </c>
      <c r="K54" s="2" t="str">
        <f t="shared" si="1"/>
        <v/>
      </c>
      <c r="L54" s="2" t="str">
        <f t="shared" si="2"/>
        <v/>
      </c>
      <c r="M54" s="2" t="str">
        <f t="shared" si="3"/>
        <v/>
      </c>
      <c r="N54" s="5"/>
      <c r="P54" t="s">
        <v>26</v>
      </c>
    </row>
    <row r="55" spans="2:16" x14ac:dyDescent="0.3">
      <c r="B55" s="16"/>
      <c r="C55" s="18"/>
      <c r="D55" s="104"/>
      <c r="E55" s="101"/>
      <c r="F55" s="101"/>
      <c r="G55" s="17" t="str">
        <f t="shared" si="0"/>
        <v/>
      </c>
      <c r="K55" s="2" t="str">
        <f t="shared" si="1"/>
        <v/>
      </c>
      <c r="L55" s="2" t="str">
        <f t="shared" si="2"/>
        <v/>
      </c>
      <c r="M55" s="2" t="str">
        <f t="shared" si="3"/>
        <v/>
      </c>
      <c r="N55" s="5"/>
      <c r="P55" t="s">
        <v>26</v>
      </c>
    </row>
    <row r="56" spans="2:16" x14ac:dyDescent="0.3">
      <c r="B56" s="16"/>
      <c r="C56" s="18"/>
      <c r="D56" s="104"/>
      <c r="E56" s="101"/>
      <c r="F56" s="101"/>
      <c r="G56" s="17" t="str">
        <f t="shared" si="0"/>
        <v/>
      </c>
      <c r="K56" s="2" t="str">
        <f t="shared" si="1"/>
        <v/>
      </c>
      <c r="L56" s="2" t="str">
        <f t="shared" si="2"/>
        <v/>
      </c>
      <c r="M56" s="2" t="str">
        <f t="shared" si="3"/>
        <v/>
      </c>
      <c r="N56" s="5"/>
      <c r="P56" t="s">
        <v>26</v>
      </c>
    </row>
    <row r="57" spans="2:16" x14ac:dyDescent="0.3">
      <c r="B57" s="16"/>
      <c r="C57" s="18"/>
      <c r="D57" s="104"/>
      <c r="E57" s="101"/>
      <c r="F57" s="101"/>
      <c r="G57" s="17" t="str">
        <f t="shared" si="0"/>
        <v/>
      </c>
      <c r="K57" s="2" t="str">
        <f t="shared" si="1"/>
        <v/>
      </c>
      <c r="L57" s="2" t="str">
        <f t="shared" si="2"/>
        <v/>
      </c>
      <c r="M57" s="2" t="str">
        <f t="shared" si="3"/>
        <v/>
      </c>
      <c r="N57" s="5"/>
      <c r="P57" t="s">
        <v>26</v>
      </c>
    </row>
    <row r="58" spans="2:16" x14ac:dyDescent="0.3">
      <c r="B58" s="16"/>
      <c r="C58" s="18"/>
      <c r="D58" s="104"/>
      <c r="E58" s="101"/>
      <c r="F58" s="101"/>
      <c r="G58" s="17" t="str">
        <f t="shared" si="0"/>
        <v/>
      </c>
      <c r="K58" s="2" t="str">
        <f t="shared" si="1"/>
        <v/>
      </c>
      <c r="L58" s="2" t="str">
        <f t="shared" si="2"/>
        <v/>
      </c>
      <c r="M58" s="2" t="str">
        <f t="shared" si="3"/>
        <v/>
      </c>
      <c r="N58" s="5"/>
      <c r="P58" t="s">
        <v>26</v>
      </c>
    </row>
    <row r="59" spans="2:16" x14ac:dyDescent="0.3">
      <c r="B59" s="16"/>
      <c r="C59" s="18"/>
      <c r="D59" s="104"/>
      <c r="E59" s="101"/>
      <c r="F59" s="101"/>
      <c r="G59" s="17" t="str">
        <f t="shared" si="0"/>
        <v/>
      </c>
      <c r="K59" s="2" t="str">
        <f t="shared" si="1"/>
        <v/>
      </c>
      <c r="L59" s="2" t="str">
        <f t="shared" si="2"/>
        <v/>
      </c>
      <c r="M59" s="2" t="str">
        <f t="shared" si="3"/>
        <v/>
      </c>
      <c r="N59" s="5"/>
      <c r="P59" t="s">
        <v>26</v>
      </c>
    </row>
    <row r="60" spans="2:16" x14ac:dyDescent="0.3">
      <c r="B60" s="16"/>
      <c r="C60" s="18"/>
      <c r="D60" s="104"/>
      <c r="E60" s="101"/>
      <c r="F60" s="101"/>
      <c r="G60" s="17" t="str">
        <f t="shared" si="0"/>
        <v/>
      </c>
      <c r="K60" s="2" t="str">
        <f t="shared" si="1"/>
        <v/>
      </c>
      <c r="L60" s="2" t="str">
        <f t="shared" si="2"/>
        <v/>
      </c>
      <c r="M60" s="2" t="str">
        <f t="shared" si="3"/>
        <v/>
      </c>
      <c r="N60" s="5"/>
      <c r="P60" t="s">
        <v>26</v>
      </c>
    </row>
    <row r="61" spans="2:16" x14ac:dyDescent="0.3">
      <c r="B61" s="16"/>
      <c r="C61" s="18"/>
      <c r="D61" s="104"/>
      <c r="E61" s="101"/>
      <c r="F61" s="101"/>
      <c r="G61" s="17" t="str">
        <f t="shared" si="0"/>
        <v/>
      </c>
      <c r="K61" s="2" t="str">
        <f t="shared" si="1"/>
        <v/>
      </c>
      <c r="L61" s="2" t="str">
        <f t="shared" si="2"/>
        <v/>
      </c>
      <c r="M61" s="2" t="str">
        <f t="shared" si="3"/>
        <v/>
      </c>
      <c r="N61" s="5"/>
      <c r="P61" t="s">
        <v>26</v>
      </c>
    </row>
    <row r="62" spans="2:16" x14ac:dyDescent="0.3">
      <c r="B62" s="16"/>
      <c r="C62" s="18"/>
      <c r="D62" s="104"/>
      <c r="E62" s="101"/>
      <c r="F62" s="101"/>
      <c r="G62" s="17" t="str">
        <f t="shared" si="0"/>
        <v/>
      </c>
      <c r="K62" s="2" t="str">
        <f t="shared" si="1"/>
        <v/>
      </c>
      <c r="L62" s="2" t="str">
        <f t="shared" si="2"/>
        <v/>
      </c>
      <c r="M62" s="2" t="str">
        <f t="shared" si="3"/>
        <v/>
      </c>
      <c r="N62" s="5"/>
      <c r="P62" t="s">
        <v>26</v>
      </c>
    </row>
    <row r="63" spans="2:16" x14ac:dyDescent="0.3">
      <c r="B63" s="16"/>
      <c r="C63" s="18"/>
      <c r="D63" s="104"/>
      <c r="E63" s="101"/>
      <c r="F63" s="101"/>
      <c r="G63" s="17" t="str">
        <f t="shared" si="0"/>
        <v/>
      </c>
      <c r="K63" s="2" t="str">
        <f t="shared" si="1"/>
        <v/>
      </c>
      <c r="L63" s="2" t="str">
        <f t="shared" si="2"/>
        <v/>
      </c>
      <c r="M63" s="2" t="str">
        <f t="shared" si="3"/>
        <v/>
      </c>
      <c r="N63" s="5"/>
      <c r="P63" t="s">
        <v>26</v>
      </c>
    </row>
    <row r="64" spans="2:16" x14ac:dyDescent="0.3">
      <c r="B64" s="16"/>
      <c r="C64" s="18"/>
      <c r="D64" s="104"/>
      <c r="E64" s="101"/>
      <c r="F64" s="101"/>
      <c r="G64" s="17" t="str">
        <f t="shared" si="0"/>
        <v/>
      </c>
      <c r="K64" s="2" t="str">
        <f t="shared" si="1"/>
        <v/>
      </c>
      <c r="L64" s="2" t="str">
        <f t="shared" si="2"/>
        <v/>
      </c>
      <c r="M64" s="2" t="str">
        <f t="shared" si="3"/>
        <v/>
      </c>
      <c r="N64" s="5"/>
      <c r="P64" t="s">
        <v>26</v>
      </c>
    </row>
    <row r="65" spans="2:16" x14ac:dyDescent="0.3">
      <c r="B65" s="16"/>
      <c r="C65" s="18"/>
      <c r="D65" s="104"/>
      <c r="E65" s="101"/>
      <c r="F65" s="101"/>
      <c r="G65" s="17" t="str">
        <f t="shared" si="0"/>
        <v/>
      </c>
      <c r="K65" s="2" t="str">
        <f t="shared" si="1"/>
        <v/>
      </c>
      <c r="L65" s="2" t="str">
        <f t="shared" si="2"/>
        <v/>
      </c>
      <c r="M65" s="2" t="str">
        <f t="shared" si="3"/>
        <v/>
      </c>
      <c r="N65" s="5"/>
      <c r="P65" t="s">
        <v>26</v>
      </c>
    </row>
    <row r="66" spans="2:16" x14ac:dyDescent="0.3">
      <c r="B66" s="16"/>
      <c r="C66" s="18"/>
      <c r="D66" s="104"/>
      <c r="E66" s="101"/>
      <c r="F66" s="101"/>
      <c r="G66" s="17" t="str">
        <f t="shared" si="0"/>
        <v/>
      </c>
      <c r="K66" s="2" t="str">
        <f t="shared" si="1"/>
        <v/>
      </c>
      <c r="L66" s="2" t="str">
        <f t="shared" si="2"/>
        <v/>
      </c>
      <c r="M66" s="2" t="str">
        <f t="shared" si="3"/>
        <v/>
      </c>
      <c r="N66" s="5"/>
      <c r="P66" t="s">
        <v>26</v>
      </c>
    </row>
    <row r="67" spans="2:16" x14ac:dyDescent="0.3">
      <c r="B67" s="16"/>
      <c r="C67" s="18"/>
      <c r="D67" s="104"/>
      <c r="E67" s="101"/>
      <c r="F67" s="101"/>
      <c r="G67" s="17" t="str">
        <f t="shared" si="0"/>
        <v/>
      </c>
      <c r="K67" s="2" t="str">
        <f t="shared" si="1"/>
        <v/>
      </c>
      <c r="L67" s="2" t="str">
        <f t="shared" si="2"/>
        <v/>
      </c>
      <c r="M67" s="2" t="str">
        <f t="shared" si="3"/>
        <v/>
      </c>
      <c r="N67" s="5"/>
      <c r="P67" t="s">
        <v>26</v>
      </c>
    </row>
    <row r="68" spans="2:16" x14ac:dyDescent="0.3">
      <c r="B68" s="16"/>
      <c r="C68" s="18"/>
      <c r="D68" s="104"/>
      <c r="E68" s="101"/>
      <c r="F68" s="101"/>
      <c r="G68" s="17" t="str">
        <f t="shared" ref="G68:G131" si="4">IF(AND(D68=E68,E68=F68),"",IF(AND(F68="",D68=E68),"",IF(AND(D68="",E68=F68),"",IF(AND(E68="",D68=F68),"",""))))</f>
        <v/>
      </c>
      <c r="K68" s="2" t="str">
        <f t="shared" ref="K68:K131" si="5">IF(D68="","",+D68)</f>
        <v/>
      </c>
      <c r="L68" s="2" t="str">
        <f t="shared" ref="L68:L115" si="6">RIGHT(K68,2)</f>
        <v/>
      </c>
      <c r="M68" s="2" t="str">
        <f t="shared" ref="M68:M131" si="7">IF(B68="","",IF(COUNTIF($K$3:$K$295,K68)&gt;1,"동명",""))</f>
        <v/>
      </c>
      <c r="N68" s="5"/>
      <c r="P68" t="s">
        <v>26</v>
      </c>
    </row>
    <row r="69" spans="2:16" x14ac:dyDescent="0.3">
      <c r="B69" s="16"/>
      <c r="C69" s="18"/>
      <c r="D69" s="104"/>
      <c r="E69" s="101"/>
      <c r="F69" s="101"/>
      <c r="G69" s="17" t="str">
        <f t="shared" si="4"/>
        <v/>
      </c>
      <c r="K69" s="2" t="str">
        <f t="shared" si="5"/>
        <v/>
      </c>
      <c r="L69" s="2" t="str">
        <f t="shared" si="6"/>
        <v/>
      </c>
      <c r="M69" s="2" t="str">
        <f t="shared" si="7"/>
        <v/>
      </c>
      <c r="N69" s="5"/>
      <c r="P69" t="s">
        <v>26</v>
      </c>
    </row>
    <row r="70" spans="2:16" x14ac:dyDescent="0.3">
      <c r="B70" s="16"/>
      <c r="C70" s="18"/>
      <c r="D70" s="104"/>
      <c r="E70" s="101"/>
      <c r="F70" s="101"/>
      <c r="G70" s="17" t="str">
        <f t="shared" si="4"/>
        <v/>
      </c>
      <c r="K70" s="2" t="str">
        <f t="shared" si="5"/>
        <v/>
      </c>
      <c r="L70" s="2" t="str">
        <f t="shared" si="6"/>
        <v/>
      </c>
      <c r="M70" s="2" t="str">
        <f t="shared" si="7"/>
        <v/>
      </c>
      <c r="N70" s="5"/>
      <c r="P70" t="s">
        <v>26</v>
      </c>
    </row>
    <row r="71" spans="2:16" x14ac:dyDescent="0.3">
      <c r="B71" s="16"/>
      <c r="C71" s="18"/>
      <c r="D71" s="104"/>
      <c r="E71" s="101"/>
      <c r="F71" s="101"/>
      <c r="G71" s="17" t="str">
        <f t="shared" si="4"/>
        <v/>
      </c>
      <c r="K71" s="2" t="str">
        <f t="shared" si="5"/>
        <v/>
      </c>
      <c r="L71" s="2" t="str">
        <f t="shared" si="6"/>
        <v/>
      </c>
      <c r="M71" s="2" t="str">
        <f t="shared" si="7"/>
        <v/>
      </c>
      <c r="N71" s="5"/>
      <c r="P71" t="s">
        <v>26</v>
      </c>
    </row>
    <row r="72" spans="2:16" x14ac:dyDescent="0.3">
      <c r="B72" s="16"/>
      <c r="C72" s="18"/>
      <c r="D72" s="104"/>
      <c r="E72" s="101"/>
      <c r="F72" s="101"/>
      <c r="G72" s="17" t="str">
        <f t="shared" si="4"/>
        <v/>
      </c>
      <c r="K72" s="2" t="str">
        <f t="shared" si="5"/>
        <v/>
      </c>
      <c r="L72" s="2" t="str">
        <f t="shared" si="6"/>
        <v/>
      </c>
      <c r="M72" s="2" t="str">
        <f t="shared" si="7"/>
        <v/>
      </c>
      <c r="N72" s="5"/>
      <c r="P72" t="s">
        <v>26</v>
      </c>
    </row>
    <row r="73" spans="2:16" x14ac:dyDescent="0.3">
      <c r="B73" s="16"/>
      <c r="C73" s="18"/>
      <c r="D73" s="104"/>
      <c r="E73" s="101"/>
      <c r="F73" s="101"/>
      <c r="G73" s="17" t="str">
        <f t="shared" si="4"/>
        <v/>
      </c>
      <c r="K73" s="2" t="str">
        <f t="shared" si="5"/>
        <v/>
      </c>
      <c r="L73" s="2" t="str">
        <f t="shared" si="6"/>
        <v/>
      </c>
      <c r="M73" s="2" t="str">
        <f t="shared" si="7"/>
        <v/>
      </c>
      <c r="N73" s="5"/>
      <c r="P73" t="s">
        <v>26</v>
      </c>
    </row>
    <row r="74" spans="2:16" x14ac:dyDescent="0.3">
      <c r="B74" s="16"/>
      <c r="C74" s="18"/>
      <c r="D74" s="104"/>
      <c r="E74" s="101"/>
      <c r="F74" s="101"/>
      <c r="G74" s="17" t="str">
        <f t="shared" si="4"/>
        <v/>
      </c>
      <c r="K74" s="2" t="str">
        <f t="shared" si="5"/>
        <v/>
      </c>
      <c r="L74" s="2" t="str">
        <f t="shared" si="6"/>
        <v/>
      </c>
      <c r="M74" s="2" t="str">
        <f t="shared" si="7"/>
        <v/>
      </c>
      <c r="N74" s="5"/>
      <c r="P74" t="s">
        <v>26</v>
      </c>
    </row>
    <row r="75" spans="2:16" x14ac:dyDescent="0.3">
      <c r="B75" s="16"/>
      <c r="C75" s="18"/>
      <c r="D75" s="104"/>
      <c r="E75" s="101"/>
      <c r="F75" s="101"/>
      <c r="G75" s="17" t="str">
        <f t="shared" si="4"/>
        <v/>
      </c>
      <c r="K75" s="2" t="str">
        <f t="shared" si="5"/>
        <v/>
      </c>
      <c r="L75" s="2" t="str">
        <f t="shared" si="6"/>
        <v/>
      </c>
      <c r="M75" s="2" t="str">
        <f t="shared" si="7"/>
        <v/>
      </c>
      <c r="N75" s="5"/>
      <c r="P75" t="s">
        <v>26</v>
      </c>
    </row>
    <row r="76" spans="2:16" x14ac:dyDescent="0.3">
      <c r="B76" s="16"/>
      <c r="C76" s="18"/>
      <c r="D76" s="104"/>
      <c r="E76" s="101"/>
      <c r="F76" s="101"/>
      <c r="G76" s="17" t="str">
        <f t="shared" si="4"/>
        <v/>
      </c>
      <c r="K76" s="2" t="str">
        <f t="shared" si="5"/>
        <v/>
      </c>
      <c r="L76" s="2" t="str">
        <f t="shared" si="6"/>
        <v/>
      </c>
      <c r="M76" s="2" t="str">
        <f t="shared" si="7"/>
        <v/>
      </c>
      <c r="N76" s="5"/>
      <c r="P76" t="s">
        <v>26</v>
      </c>
    </row>
    <row r="77" spans="2:16" x14ac:dyDescent="0.3">
      <c r="B77" s="16"/>
      <c r="C77" s="18"/>
      <c r="D77" s="104"/>
      <c r="E77" s="101"/>
      <c r="F77" s="101"/>
      <c r="G77" s="17" t="str">
        <f t="shared" si="4"/>
        <v/>
      </c>
      <c r="K77" s="2" t="str">
        <f t="shared" si="5"/>
        <v/>
      </c>
      <c r="L77" s="2" t="str">
        <f t="shared" si="6"/>
        <v/>
      </c>
      <c r="M77" s="2" t="str">
        <f t="shared" si="7"/>
        <v/>
      </c>
      <c r="N77" s="5"/>
      <c r="P77" t="s">
        <v>26</v>
      </c>
    </row>
    <row r="78" spans="2:16" x14ac:dyDescent="0.3">
      <c r="B78" s="16"/>
      <c r="C78" s="18"/>
      <c r="D78" s="104"/>
      <c r="E78" s="101"/>
      <c r="F78" s="101"/>
      <c r="G78" s="17" t="str">
        <f t="shared" si="4"/>
        <v/>
      </c>
      <c r="K78" s="2" t="str">
        <f t="shared" si="5"/>
        <v/>
      </c>
      <c r="L78" s="2" t="str">
        <f t="shared" si="6"/>
        <v/>
      </c>
      <c r="M78" s="2" t="str">
        <f t="shared" si="7"/>
        <v/>
      </c>
      <c r="N78" s="5"/>
      <c r="P78" t="s">
        <v>26</v>
      </c>
    </row>
    <row r="79" spans="2:16" x14ac:dyDescent="0.3">
      <c r="B79" s="16"/>
      <c r="C79" s="18"/>
      <c r="D79" s="104"/>
      <c r="E79" s="101"/>
      <c r="F79" s="101"/>
      <c r="G79" s="17" t="str">
        <f t="shared" si="4"/>
        <v/>
      </c>
      <c r="K79" s="2" t="str">
        <f t="shared" si="5"/>
        <v/>
      </c>
      <c r="L79" s="2" t="str">
        <f t="shared" si="6"/>
        <v/>
      </c>
      <c r="M79" s="2" t="str">
        <f t="shared" si="7"/>
        <v/>
      </c>
      <c r="N79" s="5"/>
      <c r="P79" t="s">
        <v>26</v>
      </c>
    </row>
    <row r="80" spans="2:16" x14ac:dyDescent="0.3">
      <c r="B80" s="16"/>
      <c r="C80" s="18"/>
      <c r="D80" s="104"/>
      <c r="E80" s="101"/>
      <c r="F80" s="101"/>
      <c r="G80" s="17" t="str">
        <f t="shared" si="4"/>
        <v/>
      </c>
      <c r="K80" s="2" t="str">
        <f t="shared" si="5"/>
        <v/>
      </c>
      <c r="L80" s="2" t="str">
        <f t="shared" si="6"/>
        <v/>
      </c>
      <c r="M80" s="2" t="str">
        <f t="shared" si="7"/>
        <v/>
      </c>
      <c r="N80" s="5"/>
      <c r="P80" t="s">
        <v>26</v>
      </c>
    </row>
    <row r="81" spans="2:16" x14ac:dyDescent="0.3">
      <c r="B81" s="16"/>
      <c r="C81" s="18"/>
      <c r="D81" s="104"/>
      <c r="E81" s="101"/>
      <c r="F81" s="101"/>
      <c r="G81" s="17" t="str">
        <f t="shared" si="4"/>
        <v/>
      </c>
      <c r="K81" s="2" t="str">
        <f t="shared" si="5"/>
        <v/>
      </c>
      <c r="L81" s="2" t="str">
        <f t="shared" si="6"/>
        <v/>
      </c>
      <c r="M81" s="2" t="str">
        <f t="shared" si="7"/>
        <v/>
      </c>
      <c r="N81" s="5"/>
      <c r="P81" t="s">
        <v>26</v>
      </c>
    </row>
    <row r="82" spans="2:16" x14ac:dyDescent="0.3">
      <c r="B82" s="16"/>
      <c r="C82" s="18"/>
      <c r="D82" s="104"/>
      <c r="E82" s="101"/>
      <c r="F82" s="101"/>
      <c r="G82" s="17" t="str">
        <f t="shared" si="4"/>
        <v/>
      </c>
      <c r="K82" s="2" t="str">
        <f t="shared" si="5"/>
        <v/>
      </c>
      <c r="L82" s="2" t="str">
        <f t="shared" si="6"/>
        <v/>
      </c>
      <c r="M82" s="2" t="str">
        <f t="shared" si="7"/>
        <v/>
      </c>
      <c r="N82" s="5"/>
      <c r="P82" t="s">
        <v>26</v>
      </c>
    </row>
    <row r="83" spans="2:16" x14ac:dyDescent="0.3">
      <c r="B83" s="16"/>
      <c r="C83" s="18"/>
      <c r="D83" s="104"/>
      <c r="E83" s="101"/>
      <c r="F83" s="101"/>
      <c r="G83" s="17" t="str">
        <f t="shared" si="4"/>
        <v/>
      </c>
      <c r="K83" s="2" t="str">
        <f t="shared" si="5"/>
        <v/>
      </c>
      <c r="L83" s="2" t="str">
        <f t="shared" si="6"/>
        <v/>
      </c>
      <c r="M83" s="2" t="str">
        <f t="shared" si="7"/>
        <v/>
      </c>
      <c r="N83" s="5"/>
      <c r="P83" t="s">
        <v>26</v>
      </c>
    </row>
    <row r="84" spans="2:16" x14ac:dyDescent="0.3">
      <c r="B84" s="16"/>
      <c r="C84" s="18"/>
      <c r="D84" s="104"/>
      <c r="E84" s="101"/>
      <c r="F84" s="101"/>
      <c r="G84" s="17" t="str">
        <f t="shared" si="4"/>
        <v/>
      </c>
      <c r="K84" s="2" t="str">
        <f t="shared" si="5"/>
        <v/>
      </c>
      <c r="L84" s="2" t="str">
        <f t="shared" si="6"/>
        <v/>
      </c>
      <c r="M84" s="2" t="str">
        <f t="shared" si="7"/>
        <v/>
      </c>
      <c r="N84" s="5"/>
      <c r="P84" t="s">
        <v>26</v>
      </c>
    </row>
    <row r="85" spans="2:16" x14ac:dyDescent="0.3">
      <c r="B85" s="16"/>
      <c r="C85" s="18"/>
      <c r="D85" s="104"/>
      <c r="E85" s="101"/>
      <c r="F85" s="101"/>
      <c r="G85" s="17" t="str">
        <f t="shared" si="4"/>
        <v/>
      </c>
      <c r="K85" s="2" t="str">
        <f t="shared" si="5"/>
        <v/>
      </c>
      <c r="L85" s="2" t="str">
        <f t="shared" si="6"/>
        <v/>
      </c>
      <c r="M85" s="2" t="str">
        <f t="shared" si="7"/>
        <v/>
      </c>
      <c r="N85" s="5"/>
      <c r="P85" t="s">
        <v>26</v>
      </c>
    </row>
    <row r="86" spans="2:16" x14ac:dyDescent="0.3">
      <c r="B86" s="16"/>
      <c r="C86" s="18"/>
      <c r="D86" s="104"/>
      <c r="E86" s="101"/>
      <c r="F86" s="101"/>
      <c r="G86" s="17" t="str">
        <f t="shared" si="4"/>
        <v/>
      </c>
      <c r="K86" s="2" t="str">
        <f t="shared" si="5"/>
        <v/>
      </c>
      <c r="L86" s="2" t="str">
        <f t="shared" si="6"/>
        <v/>
      </c>
      <c r="M86" s="2" t="str">
        <f t="shared" si="7"/>
        <v/>
      </c>
      <c r="N86" s="5"/>
      <c r="P86" t="s">
        <v>26</v>
      </c>
    </row>
    <row r="87" spans="2:16" x14ac:dyDescent="0.3">
      <c r="B87" s="16"/>
      <c r="C87" s="18"/>
      <c r="D87" s="104"/>
      <c r="E87" s="101"/>
      <c r="F87" s="101"/>
      <c r="G87" s="17" t="str">
        <f t="shared" si="4"/>
        <v/>
      </c>
      <c r="K87" s="2" t="str">
        <f t="shared" si="5"/>
        <v/>
      </c>
      <c r="L87" s="2" t="str">
        <f t="shared" si="6"/>
        <v/>
      </c>
      <c r="M87" s="2" t="str">
        <f t="shared" si="7"/>
        <v/>
      </c>
      <c r="N87" s="5"/>
      <c r="P87" t="s">
        <v>26</v>
      </c>
    </row>
    <row r="88" spans="2:16" x14ac:dyDescent="0.3">
      <c r="B88" s="16"/>
      <c r="C88" s="18"/>
      <c r="D88" s="104"/>
      <c r="E88" s="101"/>
      <c r="F88" s="101"/>
      <c r="G88" s="17" t="str">
        <f t="shared" si="4"/>
        <v/>
      </c>
      <c r="K88" s="2" t="str">
        <f t="shared" si="5"/>
        <v/>
      </c>
      <c r="L88" s="2" t="str">
        <f t="shared" si="6"/>
        <v/>
      </c>
      <c r="M88" s="2" t="str">
        <f t="shared" si="7"/>
        <v/>
      </c>
      <c r="N88" s="5"/>
      <c r="P88" t="s">
        <v>26</v>
      </c>
    </row>
    <row r="89" spans="2:16" x14ac:dyDescent="0.3">
      <c r="B89" s="16"/>
      <c r="C89" s="18"/>
      <c r="D89" s="104"/>
      <c r="E89" s="101"/>
      <c r="F89" s="101"/>
      <c r="G89" s="17" t="str">
        <f t="shared" si="4"/>
        <v/>
      </c>
      <c r="K89" s="2" t="str">
        <f t="shared" si="5"/>
        <v/>
      </c>
      <c r="L89" s="2" t="str">
        <f t="shared" si="6"/>
        <v/>
      </c>
      <c r="M89" s="2" t="str">
        <f t="shared" si="7"/>
        <v/>
      </c>
      <c r="N89" s="5"/>
      <c r="P89" t="s">
        <v>26</v>
      </c>
    </row>
    <row r="90" spans="2:16" x14ac:dyDescent="0.3">
      <c r="B90" s="16"/>
      <c r="C90" s="18"/>
      <c r="D90" s="104"/>
      <c r="E90" s="101"/>
      <c r="F90" s="101"/>
      <c r="G90" s="17" t="str">
        <f t="shared" si="4"/>
        <v/>
      </c>
      <c r="K90" s="2" t="str">
        <f t="shared" si="5"/>
        <v/>
      </c>
      <c r="L90" s="2" t="str">
        <f t="shared" si="6"/>
        <v/>
      </c>
      <c r="M90" s="2" t="str">
        <f t="shared" si="7"/>
        <v/>
      </c>
      <c r="N90" s="5"/>
      <c r="P90" t="s">
        <v>26</v>
      </c>
    </row>
    <row r="91" spans="2:16" x14ac:dyDescent="0.3">
      <c r="B91" s="16"/>
      <c r="C91" s="18"/>
      <c r="D91" s="104"/>
      <c r="E91" s="101"/>
      <c r="F91" s="101"/>
      <c r="G91" s="17" t="str">
        <f t="shared" si="4"/>
        <v/>
      </c>
      <c r="K91" s="2" t="str">
        <f t="shared" si="5"/>
        <v/>
      </c>
      <c r="L91" s="2" t="str">
        <f t="shared" si="6"/>
        <v/>
      </c>
      <c r="M91" s="2" t="str">
        <f t="shared" si="7"/>
        <v/>
      </c>
      <c r="N91" s="5"/>
      <c r="P91" t="s">
        <v>26</v>
      </c>
    </row>
    <row r="92" spans="2:16" x14ac:dyDescent="0.3">
      <c r="B92" s="16"/>
      <c r="C92" s="18"/>
      <c r="D92" s="104"/>
      <c r="E92" s="101"/>
      <c r="F92" s="101"/>
      <c r="G92" s="17" t="str">
        <f t="shared" si="4"/>
        <v/>
      </c>
      <c r="K92" s="2" t="str">
        <f t="shared" si="5"/>
        <v/>
      </c>
      <c r="L92" s="2" t="str">
        <f t="shared" si="6"/>
        <v/>
      </c>
      <c r="M92" s="2" t="str">
        <f t="shared" si="7"/>
        <v/>
      </c>
      <c r="N92" s="5"/>
      <c r="P92" t="s">
        <v>26</v>
      </c>
    </row>
    <row r="93" spans="2:16" x14ac:dyDescent="0.3">
      <c r="B93" s="16"/>
      <c r="C93" s="18"/>
      <c r="D93" s="104"/>
      <c r="E93" s="101"/>
      <c r="F93" s="101"/>
      <c r="G93" s="17" t="str">
        <f t="shared" si="4"/>
        <v/>
      </c>
      <c r="K93" s="2" t="str">
        <f t="shared" si="5"/>
        <v/>
      </c>
      <c r="L93" s="2" t="str">
        <f t="shared" si="6"/>
        <v/>
      </c>
      <c r="M93" s="2" t="str">
        <f t="shared" si="7"/>
        <v/>
      </c>
      <c r="N93" s="5"/>
      <c r="P93" t="s">
        <v>26</v>
      </c>
    </row>
    <row r="94" spans="2:16" x14ac:dyDescent="0.3">
      <c r="B94" s="16"/>
      <c r="C94" s="18"/>
      <c r="D94" s="104"/>
      <c r="E94" s="101"/>
      <c r="F94" s="101"/>
      <c r="G94" s="17" t="str">
        <f t="shared" si="4"/>
        <v/>
      </c>
      <c r="K94" s="2" t="str">
        <f t="shared" si="5"/>
        <v/>
      </c>
      <c r="L94" s="2" t="str">
        <f t="shared" si="6"/>
        <v/>
      </c>
      <c r="M94" s="2" t="str">
        <f t="shared" si="7"/>
        <v/>
      </c>
      <c r="N94" s="5"/>
      <c r="P94" t="s">
        <v>26</v>
      </c>
    </row>
    <row r="95" spans="2:16" x14ac:dyDescent="0.3">
      <c r="B95" s="16"/>
      <c r="C95" s="18"/>
      <c r="D95" s="104"/>
      <c r="E95" s="101"/>
      <c r="F95" s="101"/>
      <c r="G95" s="17" t="str">
        <f t="shared" si="4"/>
        <v/>
      </c>
      <c r="K95" s="2" t="str">
        <f t="shared" si="5"/>
        <v/>
      </c>
      <c r="L95" s="2" t="str">
        <f t="shared" si="6"/>
        <v/>
      </c>
      <c r="M95" s="2" t="str">
        <f t="shared" si="7"/>
        <v/>
      </c>
      <c r="N95" s="5"/>
      <c r="P95" t="s">
        <v>26</v>
      </c>
    </row>
    <row r="96" spans="2:16" x14ac:dyDescent="0.3">
      <c r="B96" s="16"/>
      <c r="C96" s="18"/>
      <c r="D96" s="104"/>
      <c r="E96" s="101"/>
      <c r="F96" s="101"/>
      <c r="G96" s="17" t="str">
        <f t="shared" si="4"/>
        <v/>
      </c>
      <c r="K96" s="2" t="str">
        <f t="shared" si="5"/>
        <v/>
      </c>
      <c r="L96" s="2" t="str">
        <f t="shared" si="6"/>
        <v/>
      </c>
      <c r="M96" s="2" t="str">
        <f t="shared" si="7"/>
        <v/>
      </c>
      <c r="N96" s="5"/>
      <c r="P96" t="s">
        <v>26</v>
      </c>
    </row>
    <row r="97" spans="2:16" x14ac:dyDescent="0.3">
      <c r="B97" s="16"/>
      <c r="C97" s="18"/>
      <c r="D97" s="104"/>
      <c r="E97" s="101"/>
      <c r="F97" s="101"/>
      <c r="G97" s="17" t="str">
        <f t="shared" si="4"/>
        <v/>
      </c>
      <c r="K97" s="2" t="str">
        <f t="shared" si="5"/>
        <v/>
      </c>
      <c r="L97" s="2" t="str">
        <f t="shared" si="6"/>
        <v/>
      </c>
      <c r="M97" s="2" t="str">
        <f t="shared" si="7"/>
        <v/>
      </c>
      <c r="N97" s="5"/>
      <c r="P97" t="s">
        <v>26</v>
      </c>
    </row>
    <row r="98" spans="2:16" x14ac:dyDescent="0.3">
      <c r="B98" s="16"/>
      <c r="C98" s="18"/>
      <c r="D98" s="104"/>
      <c r="E98" s="101"/>
      <c r="F98" s="101"/>
      <c r="G98" s="17" t="str">
        <f t="shared" si="4"/>
        <v/>
      </c>
      <c r="K98" s="2" t="str">
        <f t="shared" si="5"/>
        <v/>
      </c>
      <c r="L98" s="2" t="str">
        <f t="shared" si="6"/>
        <v/>
      </c>
      <c r="M98" s="2" t="str">
        <f t="shared" si="7"/>
        <v/>
      </c>
      <c r="N98" s="5"/>
      <c r="P98" t="s">
        <v>26</v>
      </c>
    </row>
    <row r="99" spans="2:16" x14ac:dyDescent="0.3">
      <c r="B99" s="16"/>
      <c r="C99" s="18"/>
      <c r="D99" s="104"/>
      <c r="E99" s="101"/>
      <c r="F99" s="101"/>
      <c r="G99" s="17" t="str">
        <f t="shared" si="4"/>
        <v/>
      </c>
      <c r="K99" s="2" t="str">
        <f t="shared" si="5"/>
        <v/>
      </c>
      <c r="L99" s="2" t="str">
        <f t="shared" si="6"/>
        <v/>
      </c>
      <c r="M99" s="2" t="str">
        <f t="shared" si="7"/>
        <v/>
      </c>
      <c r="N99" s="5"/>
      <c r="P99" t="s">
        <v>26</v>
      </c>
    </row>
    <row r="100" spans="2:16" x14ac:dyDescent="0.3">
      <c r="B100" s="16"/>
      <c r="C100" s="18"/>
      <c r="D100" s="104"/>
      <c r="E100" s="101"/>
      <c r="F100" s="101"/>
      <c r="G100" s="17" t="str">
        <f t="shared" si="4"/>
        <v/>
      </c>
      <c r="K100" s="2" t="str">
        <f t="shared" si="5"/>
        <v/>
      </c>
      <c r="L100" s="2" t="str">
        <f t="shared" si="6"/>
        <v/>
      </c>
      <c r="M100" s="2" t="str">
        <f t="shared" si="7"/>
        <v/>
      </c>
      <c r="N100" s="5"/>
      <c r="P100" t="s">
        <v>26</v>
      </c>
    </row>
    <row r="101" spans="2:16" x14ac:dyDescent="0.3">
      <c r="B101" s="16"/>
      <c r="C101" s="18"/>
      <c r="D101" s="104"/>
      <c r="E101" s="101"/>
      <c r="F101" s="101"/>
      <c r="G101" s="17" t="str">
        <f t="shared" si="4"/>
        <v/>
      </c>
      <c r="K101" s="2" t="str">
        <f t="shared" si="5"/>
        <v/>
      </c>
      <c r="L101" s="2" t="str">
        <f t="shared" si="6"/>
        <v/>
      </c>
      <c r="M101" s="2" t="str">
        <f t="shared" si="7"/>
        <v/>
      </c>
      <c r="N101" s="5"/>
      <c r="P101" t="s">
        <v>26</v>
      </c>
    </row>
    <row r="102" spans="2:16" x14ac:dyDescent="0.3">
      <c r="B102" s="16"/>
      <c r="C102" s="18"/>
      <c r="D102" s="104"/>
      <c r="E102" s="101"/>
      <c r="F102" s="101"/>
      <c r="G102" s="17" t="str">
        <f t="shared" si="4"/>
        <v/>
      </c>
      <c r="K102" s="2" t="str">
        <f t="shared" si="5"/>
        <v/>
      </c>
      <c r="L102" s="2" t="str">
        <f t="shared" si="6"/>
        <v/>
      </c>
      <c r="M102" s="2" t="str">
        <f t="shared" si="7"/>
        <v/>
      </c>
      <c r="N102" s="5"/>
      <c r="P102" t="s">
        <v>26</v>
      </c>
    </row>
    <row r="103" spans="2:16" x14ac:dyDescent="0.3">
      <c r="B103" s="16"/>
      <c r="C103" s="18"/>
      <c r="D103" s="104"/>
      <c r="E103" s="101"/>
      <c r="F103" s="101"/>
      <c r="G103" s="17" t="str">
        <f t="shared" si="4"/>
        <v/>
      </c>
      <c r="K103" s="2" t="str">
        <f t="shared" si="5"/>
        <v/>
      </c>
      <c r="L103" s="2" t="str">
        <f t="shared" si="6"/>
        <v/>
      </c>
      <c r="M103" s="2" t="str">
        <f t="shared" si="7"/>
        <v/>
      </c>
      <c r="N103" s="5"/>
      <c r="P103" t="s">
        <v>26</v>
      </c>
    </row>
    <row r="104" spans="2:16" x14ac:dyDescent="0.3">
      <c r="B104" s="16"/>
      <c r="C104" s="18"/>
      <c r="D104" s="104"/>
      <c r="E104" s="101"/>
      <c r="F104" s="101"/>
      <c r="G104" s="17" t="str">
        <f t="shared" si="4"/>
        <v/>
      </c>
      <c r="K104" s="2" t="str">
        <f t="shared" si="5"/>
        <v/>
      </c>
      <c r="L104" s="2" t="str">
        <f t="shared" si="6"/>
        <v/>
      </c>
      <c r="M104" s="2" t="str">
        <f t="shared" si="7"/>
        <v/>
      </c>
      <c r="N104" s="5"/>
      <c r="P104" t="s">
        <v>26</v>
      </c>
    </row>
    <row r="105" spans="2:16" x14ac:dyDescent="0.3">
      <c r="B105" s="16"/>
      <c r="C105" s="18"/>
      <c r="D105" s="104"/>
      <c r="E105" s="101"/>
      <c r="F105" s="101"/>
      <c r="G105" s="17" t="str">
        <f t="shared" si="4"/>
        <v/>
      </c>
      <c r="K105" s="2" t="str">
        <f t="shared" si="5"/>
        <v/>
      </c>
      <c r="L105" s="2" t="str">
        <f t="shared" si="6"/>
        <v/>
      </c>
      <c r="M105" s="2" t="str">
        <f t="shared" si="7"/>
        <v/>
      </c>
      <c r="N105" s="5"/>
      <c r="P105" t="s">
        <v>26</v>
      </c>
    </row>
    <row r="106" spans="2:16" x14ac:dyDescent="0.3">
      <c r="B106" s="16"/>
      <c r="C106" s="18"/>
      <c r="D106" s="104"/>
      <c r="E106" s="101"/>
      <c r="F106" s="101"/>
      <c r="G106" s="17" t="str">
        <f t="shared" si="4"/>
        <v/>
      </c>
      <c r="K106" s="2" t="str">
        <f t="shared" si="5"/>
        <v/>
      </c>
      <c r="L106" s="2" t="str">
        <f t="shared" si="6"/>
        <v/>
      </c>
      <c r="M106" s="2" t="str">
        <f t="shared" si="7"/>
        <v/>
      </c>
      <c r="N106" s="5"/>
      <c r="P106" t="s">
        <v>26</v>
      </c>
    </row>
    <row r="107" spans="2:16" x14ac:dyDescent="0.3">
      <c r="B107" s="16"/>
      <c r="C107" s="18"/>
      <c r="D107" s="104"/>
      <c r="E107" s="101"/>
      <c r="F107" s="101"/>
      <c r="G107" s="17" t="str">
        <f t="shared" si="4"/>
        <v/>
      </c>
      <c r="K107" s="2" t="str">
        <f t="shared" si="5"/>
        <v/>
      </c>
      <c r="L107" s="2" t="str">
        <f t="shared" si="6"/>
        <v/>
      </c>
      <c r="M107" s="2" t="str">
        <f t="shared" si="7"/>
        <v/>
      </c>
      <c r="N107" s="5"/>
      <c r="P107" t="s">
        <v>26</v>
      </c>
    </row>
    <row r="108" spans="2:16" x14ac:dyDescent="0.3">
      <c r="B108" s="16"/>
      <c r="C108" s="18"/>
      <c r="D108" s="104"/>
      <c r="E108" s="101"/>
      <c r="F108" s="101"/>
      <c r="G108" s="17" t="str">
        <f t="shared" si="4"/>
        <v/>
      </c>
      <c r="K108" s="2" t="str">
        <f t="shared" si="5"/>
        <v/>
      </c>
      <c r="L108" s="2" t="str">
        <f t="shared" si="6"/>
        <v/>
      </c>
      <c r="M108" s="2" t="str">
        <f t="shared" si="7"/>
        <v/>
      </c>
      <c r="N108" s="5"/>
      <c r="P108" t="s">
        <v>26</v>
      </c>
    </row>
    <row r="109" spans="2:16" x14ac:dyDescent="0.3">
      <c r="B109" s="16"/>
      <c r="C109" s="18"/>
      <c r="D109" s="104"/>
      <c r="E109" s="101"/>
      <c r="F109" s="101"/>
      <c r="G109" s="17" t="str">
        <f t="shared" si="4"/>
        <v/>
      </c>
      <c r="K109" s="2" t="str">
        <f t="shared" si="5"/>
        <v/>
      </c>
      <c r="L109" s="2" t="str">
        <f t="shared" si="6"/>
        <v/>
      </c>
      <c r="M109" s="2" t="str">
        <f t="shared" si="7"/>
        <v/>
      </c>
      <c r="N109" s="5"/>
      <c r="P109" t="s">
        <v>26</v>
      </c>
    </row>
    <row r="110" spans="2:16" x14ac:dyDescent="0.3">
      <c r="B110" s="16"/>
      <c r="C110" s="18"/>
      <c r="D110" s="104"/>
      <c r="E110" s="101"/>
      <c r="F110" s="101"/>
      <c r="G110" s="17" t="str">
        <f t="shared" si="4"/>
        <v/>
      </c>
      <c r="K110" s="2" t="str">
        <f t="shared" si="5"/>
        <v/>
      </c>
      <c r="L110" s="2" t="str">
        <f t="shared" si="6"/>
        <v/>
      </c>
      <c r="M110" s="2" t="str">
        <f t="shared" si="7"/>
        <v/>
      </c>
      <c r="N110" s="5"/>
      <c r="P110" t="s">
        <v>26</v>
      </c>
    </row>
    <row r="111" spans="2:16" x14ac:dyDescent="0.3">
      <c r="B111" s="16"/>
      <c r="C111" s="18"/>
      <c r="D111" s="104"/>
      <c r="E111" s="101"/>
      <c r="F111" s="101"/>
      <c r="G111" s="17" t="str">
        <f t="shared" si="4"/>
        <v/>
      </c>
      <c r="K111" s="2" t="str">
        <f t="shared" si="5"/>
        <v/>
      </c>
      <c r="L111" s="2" t="str">
        <f t="shared" si="6"/>
        <v/>
      </c>
      <c r="M111" s="2" t="str">
        <f t="shared" si="7"/>
        <v/>
      </c>
      <c r="N111" s="5"/>
      <c r="P111" t="s">
        <v>26</v>
      </c>
    </row>
    <row r="112" spans="2:16" x14ac:dyDescent="0.3">
      <c r="B112" s="16"/>
      <c r="C112" s="18"/>
      <c r="D112" s="104"/>
      <c r="E112" s="101"/>
      <c r="F112" s="101"/>
      <c r="G112" s="17" t="str">
        <f t="shared" si="4"/>
        <v/>
      </c>
      <c r="K112" s="2" t="str">
        <f t="shared" si="5"/>
        <v/>
      </c>
      <c r="L112" s="2" t="str">
        <f t="shared" si="6"/>
        <v/>
      </c>
      <c r="M112" s="2" t="str">
        <f t="shared" si="7"/>
        <v/>
      </c>
      <c r="N112" s="5"/>
      <c r="P112" t="s">
        <v>26</v>
      </c>
    </row>
    <row r="113" spans="2:16" x14ac:dyDescent="0.3">
      <c r="B113" s="16"/>
      <c r="C113" s="18"/>
      <c r="D113" s="104"/>
      <c r="E113" s="101"/>
      <c r="F113" s="101"/>
      <c r="G113" s="17" t="str">
        <f t="shared" si="4"/>
        <v/>
      </c>
      <c r="K113" s="2" t="str">
        <f t="shared" si="5"/>
        <v/>
      </c>
      <c r="L113" s="2" t="str">
        <f t="shared" si="6"/>
        <v/>
      </c>
      <c r="M113" s="2" t="str">
        <f t="shared" si="7"/>
        <v/>
      </c>
      <c r="N113" s="5"/>
      <c r="P113" t="s">
        <v>26</v>
      </c>
    </row>
    <row r="114" spans="2:16" x14ac:dyDescent="0.3">
      <c r="B114" s="16"/>
      <c r="C114" s="18"/>
      <c r="D114" s="104"/>
      <c r="E114" s="101"/>
      <c r="F114" s="101"/>
      <c r="G114" s="17" t="str">
        <f t="shared" si="4"/>
        <v/>
      </c>
      <c r="K114" s="2" t="str">
        <f t="shared" si="5"/>
        <v/>
      </c>
      <c r="L114" s="2" t="str">
        <f t="shared" si="6"/>
        <v/>
      </c>
      <c r="M114" s="2" t="str">
        <f t="shared" si="7"/>
        <v/>
      </c>
      <c r="N114" s="5"/>
      <c r="P114" t="s">
        <v>26</v>
      </c>
    </row>
    <row r="115" spans="2:16" x14ac:dyDescent="0.3">
      <c r="B115" s="16"/>
      <c r="C115" s="18"/>
      <c r="D115" s="104"/>
      <c r="E115" s="101"/>
      <c r="F115" s="101"/>
      <c r="G115" s="17" t="str">
        <f t="shared" si="4"/>
        <v/>
      </c>
      <c r="K115" s="2" t="str">
        <f t="shared" si="5"/>
        <v/>
      </c>
      <c r="L115" s="2" t="str">
        <f t="shared" si="6"/>
        <v/>
      </c>
      <c r="M115" s="2" t="str">
        <f t="shared" si="7"/>
        <v/>
      </c>
      <c r="N115" s="4"/>
      <c r="O115" s="1"/>
      <c r="P115" t="s">
        <v>26</v>
      </c>
    </row>
    <row r="116" spans="2:16" x14ac:dyDescent="0.3">
      <c r="B116" s="16"/>
      <c r="C116" s="18"/>
      <c r="D116" s="104"/>
      <c r="G116" s="17" t="str">
        <f t="shared" si="4"/>
        <v/>
      </c>
      <c r="K116" s="2" t="str">
        <f t="shared" si="5"/>
        <v/>
      </c>
      <c r="L116" s="2" t="str">
        <f t="shared" ref="L116:L176" si="8">RIGHT(K116,2)</f>
        <v/>
      </c>
      <c r="M116" s="2" t="str">
        <f t="shared" si="7"/>
        <v/>
      </c>
      <c r="N116" s="5"/>
      <c r="P116" t="s">
        <v>26</v>
      </c>
    </row>
    <row r="117" spans="2:16" x14ac:dyDescent="0.3">
      <c r="B117" s="17"/>
      <c r="C117" s="99"/>
      <c r="D117" s="17"/>
      <c r="G117" s="17" t="str">
        <f t="shared" si="4"/>
        <v/>
      </c>
      <c r="K117" s="2" t="str">
        <f t="shared" si="5"/>
        <v/>
      </c>
      <c r="L117" s="2" t="str">
        <f t="shared" si="8"/>
        <v/>
      </c>
      <c r="M117" s="2" t="str">
        <f t="shared" si="7"/>
        <v/>
      </c>
      <c r="N117" s="5"/>
      <c r="P117" t="s">
        <v>26</v>
      </c>
    </row>
    <row r="118" spans="2:16" x14ac:dyDescent="0.3">
      <c r="B118" s="17"/>
      <c r="C118" s="99"/>
      <c r="D118" s="17"/>
      <c r="G118" s="17" t="str">
        <f t="shared" si="4"/>
        <v/>
      </c>
      <c r="K118" s="2" t="str">
        <f t="shared" si="5"/>
        <v/>
      </c>
      <c r="L118" s="2" t="str">
        <f t="shared" si="8"/>
        <v/>
      </c>
      <c r="M118" s="2" t="str">
        <f t="shared" si="7"/>
        <v/>
      </c>
      <c r="N118" s="5"/>
      <c r="P118" t="s">
        <v>26</v>
      </c>
    </row>
    <row r="119" spans="2:16" x14ac:dyDescent="0.3">
      <c r="B119" s="17"/>
      <c r="C119" s="99"/>
      <c r="D119" s="17"/>
      <c r="G119" s="17" t="str">
        <f t="shared" si="4"/>
        <v/>
      </c>
      <c r="K119" s="2" t="str">
        <f t="shared" si="5"/>
        <v/>
      </c>
      <c r="L119" s="2" t="str">
        <f t="shared" si="8"/>
        <v/>
      </c>
      <c r="M119" s="2" t="str">
        <f t="shared" si="7"/>
        <v/>
      </c>
      <c r="N119" s="5"/>
      <c r="P119" t="s">
        <v>26</v>
      </c>
    </row>
    <row r="120" spans="2:16" x14ac:dyDescent="0.3">
      <c r="B120" s="17"/>
      <c r="C120" s="99"/>
      <c r="D120" s="17"/>
      <c r="G120" s="17" t="str">
        <f t="shared" si="4"/>
        <v/>
      </c>
      <c r="K120" s="2" t="str">
        <f t="shared" si="5"/>
        <v/>
      </c>
      <c r="L120" s="2" t="str">
        <f t="shared" si="8"/>
        <v/>
      </c>
      <c r="M120" s="2" t="str">
        <f t="shared" si="7"/>
        <v/>
      </c>
      <c r="N120" s="5"/>
      <c r="P120" t="s">
        <v>26</v>
      </c>
    </row>
    <row r="121" spans="2:16" x14ac:dyDescent="0.3">
      <c r="B121" s="17"/>
      <c r="C121" s="99"/>
      <c r="D121" s="17"/>
      <c r="G121" s="17" t="str">
        <f t="shared" si="4"/>
        <v/>
      </c>
      <c r="K121" s="2" t="str">
        <f t="shared" si="5"/>
        <v/>
      </c>
      <c r="L121" s="2" t="str">
        <f t="shared" si="8"/>
        <v/>
      </c>
      <c r="M121" s="2" t="str">
        <f t="shared" si="7"/>
        <v/>
      </c>
      <c r="N121" s="5"/>
      <c r="P121" t="s">
        <v>26</v>
      </c>
    </row>
    <row r="122" spans="2:16" x14ac:dyDescent="0.3">
      <c r="B122" s="17"/>
      <c r="C122" s="99"/>
      <c r="D122" s="17"/>
      <c r="G122" s="17" t="str">
        <f t="shared" si="4"/>
        <v/>
      </c>
      <c r="K122" s="2" t="str">
        <f t="shared" si="5"/>
        <v/>
      </c>
      <c r="L122" s="2" t="str">
        <f t="shared" si="8"/>
        <v/>
      </c>
      <c r="M122" s="2" t="str">
        <f t="shared" si="7"/>
        <v/>
      </c>
      <c r="N122" s="5"/>
      <c r="P122" t="s">
        <v>26</v>
      </c>
    </row>
    <row r="123" spans="2:16" x14ac:dyDescent="0.3">
      <c r="B123" s="17"/>
      <c r="C123" s="99"/>
      <c r="D123" s="17"/>
      <c r="G123" s="17" t="str">
        <f t="shared" si="4"/>
        <v/>
      </c>
      <c r="K123" s="2" t="str">
        <f t="shared" si="5"/>
        <v/>
      </c>
      <c r="L123" s="2" t="str">
        <f t="shared" si="8"/>
        <v/>
      </c>
      <c r="M123" s="2" t="str">
        <f t="shared" si="7"/>
        <v/>
      </c>
      <c r="N123" s="5"/>
      <c r="P123" t="s">
        <v>26</v>
      </c>
    </row>
    <row r="124" spans="2:16" x14ac:dyDescent="0.3">
      <c r="B124" s="17"/>
      <c r="C124" s="99"/>
      <c r="D124" s="17"/>
      <c r="G124" s="17" t="str">
        <f t="shared" si="4"/>
        <v/>
      </c>
      <c r="K124" s="2" t="str">
        <f t="shared" si="5"/>
        <v/>
      </c>
      <c r="L124" s="2" t="str">
        <f t="shared" si="8"/>
        <v/>
      </c>
      <c r="M124" s="2" t="str">
        <f t="shared" si="7"/>
        <v/>
      </c>
      <c r="N124" s="5"/>
      <c r="P124" t="s">
        <v>26</v>
      </c>
    </row>
    <row r="125" spans="2:16" x14ac:dyDescent="0.3">
      <c r="B125" s="17"/>
      <c r="C125" s="99"/>
      <c r="D125" s="17"/>
      <c r="G125" s="17" t="str">
        <f t="shared" si="4"/>
        <v/>
      </c>
      <c r="K125" s="2" t="str">
        <f t="shared" si="5"/>
        <v/>
      </c>
      <c r="L125" s="2" t="str">
        <f t="shared" si="8"/>
        <v/>
      </c>
      <c r="M125" s="2" t="str">
        <f t="shared" si="7"/>
        <v/>
      </c>
      <c r="N125" s="5"/>
      <c r="P125" t="s">
        <v>26</v>
      </c>
    </row>
    <row r="126" spans="2:16" x14ac:dyDescent="0.3">
      <c r="B126" s="17"/>
      <c r="C126" s="99"/>
      <c r="D126" s="17"/>
      <c r="G126" s="17" t="str">
        <f t="shared" si="4"/>
        <v/>
      </c>
      <c r="K126" s="2" t="str">
        <f t="shared" si="5"/>
        <v/>
      </c>
      <c r="L126" s="2" t="str">
        <f t="shared" si="8"/>
        <v/>
      </c>
      <c r="M126" s="2" t="str">
        <f t="shared" si="7"/>
        <v/>
      </c>
      <c r="N126" s="5"/>
      <c r="P126" t="s">
        <v>26</v>
      </c>
    </row>
    <row r="127" spans="2:16" x14ac:dyDescent="0.3">
      <c r="B127" s="17"/>
      <c r="C127" s="99"/>
      <c r="D127" s="17"/>
      <c r="G127" s="17" t="str">
        <f t="shared" si="4"/>
        <v/>
      </c>
      <c r="K127" s="2" t="str">
        <f t="shared" si="5"/>
        <v/>
      </c>
      <c r="L127" s="2" t="str">
        <f t="shared" si="8"/>
        <v/>
      </c>
      <c r="M127" s="2" t="str">
        <f t="shared" si="7"/>
        <v/>
      </c>
      <c r="N127" s="5"/>
      <c r="P127" t="s">
        <v>26</v>
      </c>
    </row>
    <row r="128" spans="2:16" x14ac:dyDescent="0.3">
      <c r="B128" s="17"/>
      <c r="C128" s="99"/>
      <c r="D128" s="17"/>
      <c r="G128" s="17" t="str">
        <f t="shared" si="4"/>
        <v/>
      </c>
      <c r="K128" s="2" t="str">
        <f t="shared" si="5"/>
        <v/>
      </c>
      <c r="L128" s="2" t="str">
        <f t="shared" si="8"/>
        <v/>
      </c>
      <c r="M128" s="2" t="str">
        <f t="shared" si="7"/>
        <v/>
      </c>
      <c r="N128" s="5"/>
      <c r="P128" t="s">
        <v>26</v>
      </c>
    </row>
    <row r="129" spans="2:16" x14ac:dyDescent="0.3">
      <c r="B129" s="17"/>
      <c r="C129" s="99"/>
      <c r="D129" s="17"/>
      <c r="G129" s="17" t="str">
        <f t="shared" si="4"/>
        <v/>
      </c>
      <c r="K129" s="2" t="str">
        <f t="shared" si="5"/>
        <v/>
      </c>
      <c r="L129" s="2" t="str">
        <f t="shared" si="8"/>
        <v/>
      </c>
      <c r="M129" s="2" t="str">
        <f t="shared" si="7"/>
        <v/>
      </c>
      <c r="N129" s="5"/>
      <c r="P129" t="s">
        <v>26</v>
      </c>
    </row>
    <row r="130" spans="2:16" x14ac:dyDescent="0.3">
      <c r="B130" s="17"/>
      <c r="C130" s="99"/>
      <c r="D130" s="17"/>
      <c r="G130" s="17" t="str">
        <f t="shared" si="4"/>
        <v/>
      </c>
      <c r="K130" s="2" t="str">
        <f t="shared" si="5"/>
        <v/>
      </c>
      <c r="L130" s="2" t="str">
        <f t="shared" si="8"/>
        <v/>
      </c>
      <c r="M130" s="2" t="str">
        <f t="shared" si="7"/>
        <v/>
      </c>
      <c r="N130" s="5"/>
      <c r="P130" t="s">
        <v>26</v>
      </c>
    </row>
    <row r="131" spans="2:16" x14ac:dyDescent="0.3">
      <c r="B131" s="17"/>
      <c r="C131" s="99"/>
      <c r="D131" s="17"/>
      <c r="G131" s="17" t="str">
        <f t="shared" si="4"/>
        <v/>
      </c>
      <c r="K131" s="2" t="str">
        <f t="shared" si="5"/>
        <v/>
      </c>
      <c r="L131" s="2" t="str">
        <f t="shared" si="8"/>
        <v/>
      </c>
      <c r="M131" s="2" t="str">
        <f t="shared" si="7"/>
        <v/>
      </c>
      <c r="N131" s="5"/>
      <c r="P131" t="s">
        <v>26</v>
      </c>
    </row>
    <row r="132" spans="2:16" x14ac:dyDescent="0.3">
      <c r="B132" s="17"/>
      <c r="C132" s="99"/>
      <c r="D132" s="17"/>
      <c r="G132" s="17" t="str">
        <f t="shared" ref="G132:G195" si="9">IF(AND(D132=E132,E132=F132),"",IF(AND(F132="",D132=E132),"",IF(AND(D132="",E132=F132),"",IF(AND(E132="",D132=F132),"",""))))</f>
        <v/>
      </c>
      <c r="K132" s="2" t="str">
        <f t="shared" ref="K132:K195" si="10">IF(D132="","",+D132)</f>
        <v/>
      </c>
      <c r="L132" s="2" t="str">
        <f t="shared" si="8"/>
        <v/>
      </c>
      <c r="M132" s="2" t="str">
        <f t="shared" ref="M132:M195" si="11">IF(B132="","",IF(COUNTIF($K$3:$K$295,K132)&gt;1,"동명",""))</f>
        <v/>
      </c>
      <c r="N132" s="5"/>
      <c r="P132" t="s">
        <v>26</v>
      </c>
    </row>
    <row r="133" spans="2:16" x14ac:dyDescent="0.3">
      <c r="B133" s="17"/>
      <c r="C133" s="99"/>
      <c r="D133" s="17"/>
      <c r="G133" s="17" t="str">
        <f t="shared" si="9"/>
        <v/>
      </c>
      <c r="K133" s="2" t="str">
        <f t="shared" si="10"/>
        <v/>
      </c>
      <c r="L133" s="2" t="str">
        <f t="shared" si="8"/>
        <v/>
      </c>
      <c r="M133" s="2" t="str">
        <f t="shared" si="11"/>
        <v/>
      </c>
      <c r="N133" s="5"/>
      <c r="P133" t="s">
        <v>26</v>
      </c>
    </row>
    <row r="134" spans="2:16" x14ac:dyDescent="0.3">
      <c r="B134" s="17"/>
      <c r="C134" s="99"/>
      <c r="D134" s="17"/>
      <c r="G134" s="17" t="str">
        <f t="shared" si="9"/>
        <v/>
      </c>
      <c r="K134" s="2" t="str">
        <f t="shared" si="10"/>
        <v/>
      </c>
      <c r="L134" s="2" t="str">
        <f t="shared" si="8"/>
        <v/>
      </c>
      <c r="M134" s="2" t="str">
        <f t="shared" si="11"/>
        <v/>
      </c>
      <c r="N134" s="5"/>
      <c r="P134" t="s">
        <v>26</v>
      </c>
    </row>
    <row r="135" spans="2:16" x14ac:dyDescent="0.3">
      <c r="B135" s="17"/>
      <c r="C135" s="99"/>
      <c r="D135" s="17"/>
      <c r="G135" s="17" t="str">
        <f t="shared" si="9"/>
        <v/>
      </c>
      <c r="K135" s="2" t="str">
        <f t="shared" si="10"/>
        <v/>
      </c>
      <c r="L135" s="2" t="str">
        <f t="shared" si="8"/>
        <v/>
      </c>
      <c r="M135" s="2" t="str">
        <f t="shared" si="11"/>
        <v/>
      </c>
      <c r="N135" s="5"/>
      <c r="P135" t="s">
        <v>26</v>
      </c>
    </row>
    <row r="136" spans="2:16" x14ac:dyDescent="0.3">
      <c r="B136" s="17"/>
      <c r="C136" s="99"/>
      <c r="D136" s="17"/>
      <c r="G136" s="17" t="str">
        <f t="shared" si="9"/>
        <v/>
      </c>
      <c r="K136" s="2" t="str">
        <f t="shared" si="10"/>
        <v/>
      </c>
      <c r="L136" s="2" t="str">
        <f t="shared" si="8"/>
        <v/>
      </c>
      <c r="M136" s="2" t="str">
        <f t="shared" si="11"/>
        <v/>
      </c>
      <c r="N136" s="5"/>
      <c r="P136" t="s">
        <v>26</v>
      </c>
    </row>
    <row r="137" spans="2:16" x14ac:dyDescent="0.3">
      <c r="B137" s="17"/>
      <c r="C137" s="99"/>
      <c r="D137" s="17"/>
      <c r="G137" s="17" t="str">
        <f t="shared" si="9"/>
        <v/>
      </c>
      <c r="K137" s="2" t="str">
        <f t="shared" si="10"/>
        <v/>
      </c>
      <c r="L137" s="2" t="str">
        <f t="shared" si="8"/>
        <v/>
      </c>
      <c r="M137" s="2" t="str">
        <f t="shared" si="11"/>
        <v/>
      </c>
      <c r="N137" s="5"/>
      <c r="P137" t="s">
        <v>26</v>
      </c>
    </row>
    <row r="138" spans="2:16" x14ac:dyDescent="0.3">
      <c r="B138" s="17"/>
      <c r="C138" s="99"/>
      <c r="D138" s="17"/>
      <c r="G138" s="17" t="str">
        <f t="shared" si="9"/>
        <v/>
      </c>
      <c r="K138" s="2" t="str">
        <f t="shared" si="10"/>
        <v/>
      </c>
      <c r="L138" s="2" t="str">
        <f t="shared" si="8"/>
        <v/>
      </c>
      <c r="M138" s="2" t="str">
        <f t="shared" si="11"/>
        <v/>
      </c>
      <c r="N138" s="5"/>
      <c r="P138" t="s">
        <v>26</v>
      </c>
    </row>
    <row r="139" spans="2:16" x14ac:dyDescent="0.3">
      <c r="B139" s="17"/>
      <c r="C139" s="99"/>
      <c r="D139" s="17"/>
      <c r="G139" s="17" t="str">
        <f t="shared" si="9"/>
        <v/>
      </c>
      <c r="K139" s="2" t="str">
        <f t="shared" si="10"/>
        <v/>
      </c>
      <c r="L139" s="2" t="str">
        <f t="shared" si="8"/>
        <v/>
      </c>
      <c r="M139" s="2" t="str">
        <f t="shared" si="11"/>
        <v/>
      </c>
      <c r="N139" s="5"/>
      <c r="P139" t="s">
        <v>26</v>
      </c>
    </row>
    <row r="140" spans="2:16" x14ac:dyDescent="0.3">
      <c r="B140" s="17"/>
      <c r="C140" s="99"/>
      <c r="D140" s="17"/>
      <c r="G140" s="17" t="str">
        <f t="shared" si="9"/>
        <v/>
      </c>
      <c r="K140" s="2" t="str">
        <f t="shared" si="10"/>
        <v/>
      </c>
      <c r="L140" s="2" t="str">
        <f t="shared" si="8"/>
        <v/>
      </c>
      <c r="M140" s="2" t="str">
        <f t="shared" si="11"/>
        <v/>
      </c>
      <c r="N140" s="5"/>
      <c r="P140" t="s">
        <v>26</v>
      </c>
    </row>
    <row r="141" spans="2:16" x14ac:dyDescent="0.3">
      <c r="B141" s="17"/>
      <c r="C141" s="99"/>
      <c r="D141" s="17"/>
      <c r="G141" s="17" t="str">
        <f t="shared" si="9"/>
        <v/>
      </c>
      <c r="K141" s="2" t="str">
        <f t="shared" si="10"/>
        <v/>
      </c>
      <c r="L141" s="2" t="str">
        <f t="shared" si="8"/>
        <v/>
      </c>
      <c r="M141" s="2" t="str">
        <f t="shared" si="11"/>
        <v/>
      </c>
      <c r="N141" s="5"/>
      <c r="P141" t="s">
        <v>26</v>
      </c>
    </row>
    <row r="142" spans="2:16" x14ac:dyDescent="0.3">
      <c r="B142" s="17"/>
      <c r="C142" s="99"/>
      <c r="D142" s="17"/>
      <c r="G142" s="17" t="str">
        <f t="shared" si="9"/>
        <v/>
      </c>
      <c r="K142" s="2" t="str">
        <f t="shared" si="10"/>
        <v/>
      </c>
      <c r="L142" s="2" t="str">
        <f t="shared" si="8"/>
        <v/>
      </c>
      <c r="M142" s="2" t="str">
        <f t="shared" si="11"/>
        <v/>
      </c>
      <c r="N142" s="5"/>
      <c r="P142" t="s">
        <v>26</v>
      </c>
    </row>
    <row r="143" spans="2:16" x14ac:dyDescent="0.3">
      <c r="B143" s="17"/>
      <c r="C143" s="99"/>
      <c r="D143" s="17"/>
      <c r="G143" s="17" t="str">
        <f t="shared" si="9"/>
        <v/>
      </c>
      <c r="K143" s="2" t="str">
        <f t="shared" si="10"/>
        <v/>
      </c>
      <c r="L143" s="2" t="str">
        <f t="shared" si="8"/>
        <v/>
      </c>
      <c r="M143" s="2" t="str">
        <f t="shared" si="11"/>
        <v/>
      </c>
      <c r="N143" s="5"/>
      <c r="P143" t="s">
        <v>26</v>
      </c>
    </row>
    <row r="144" spans="2:16" x14ac:dyDescent="0.3">
      <c r="B144" s="17"/>
      <c r="C144" s="99"/>
      <c r="D144" s="17"/>
      <c r="G144" s="17" t="str">
        <f t="shared" si="9"/>
        <v/>
      </c>
      <c r="K144" s="2" t="str">
        <f t="shared" si="10"/>
        <v/>
      </c>
      <c r="L144" s="2" t="str">
        <f t="shared" si="8"/>
        <v/>
      </c>
      <c r="M144" s="2" t="str">
        <f t="shared" si="11"/>
        <v/>
      </c>
      <c r="N144" s="5"/>
      <c r="P144" t="s">
        <v>26</v>
      </c>
    </row>
    <row r="145" spans="2:16" x14ac:dyDescent="0.3">
      <c r="B145" s="17"/>
      <c r="C145" s="99"/>
      <c r="D145" s="17"/>
      <c r="G145" s="17" t="str">
        <f t="shared" si="9"/>
        <v/>
      </c>
      <c r="K145" s="2" t="str">
        <f t="shared" si="10"/>
        <v/>
      </c>
      <c r="L145" s="2" t="str">
        <f t="shared" si="8"/>
        <v/>
      </c>
      <c r="M145" s="2" t="str">
        <f t="shared" si="11"/>
        <v/>
      </c>
      <c r="N145" s="5"/>
      <c r="P145" t="s">
        <v>26</v>
      </c>
    </row>
    <row r="146" spans="2:16" x14ac:dyDescent="0.3">
      <c r="B146" s="17"/>
      <c r="C146" s="99"/>
      <c r="D146" s="17"/>
      <c r="G146" s="17" t="str">
        <f t="shared" si="9"/>
        <v/>
      </c>
      <c r="K146" s="2" t="str">
        <f t="shared" si="10"/>
        <v/>
      </c>
      <c r="L146" s="2" t="str">
        <f t="shared" si="8"/>
        <v/>
      </c>
      <c r="M146" s="2" t="str">
        <f t="shared" si="11"/>
        <v/>
      </c>
      <c r="N146" s="5"/>
      <c r="P146" t="s">
        <v>26</v>
      </c>
    </row>
    <row r="147" spans="2:16" x14ac:dyDescent="0.3">
      <c r="B147" s="17"/>
      <c r="C147" s="99"/>
      <c r="D147" s="17"/>
      <c r="G147" s="17" t="str">
        <f t="shared" si="9"/>
        <v/>
      </c>
      <c r="K147" s="2" t="str">
        <f t="shared" si="10"/>
        <v/>
      </c>
      <c r="L147" s="2" t="str">
        <f t="shared" si="8"/>
        <v/>
      </c>
      <c r="M147" s="2" t="str">
        <f t="shared" si="11"/>
        <v/>
      </c>
      <c r="N147" s="5"/>
      <c r="P147" t="s">
        <v>26</v>
      </c>
    </row>
    <row r="148" spans="2:16" x14ac:dyDescent="0.3">
      <c r="B148" s="17"/>
      <c r="C148" s="99"/>
      <c r="D148" s="17"/>
      <c r="G148" s="17" t="str">
        <f t="shared" si="9"/>
        <v/>
      </c>
      <c r="K148" s="2" t="str">
        <f t="shared" si="10"/>
        <v/>
      </c>
      <c r="L148" s="2" t="str">
        <f t="shared" si="8"/>
        <v/>
      </c>
      <c r="M148" s="2" t="str">
        <f t="shared" si="11"/>
        <v/>
      </c>
      <c r="N148" s="5"/>
      <c r="P148" t="s">
        <v>26</v>
      </c>
    </row>
    <row r="149" spans="2:16" x14ac:dyDescent="0.3">
      <c r="B149" s="17"/>
      <c r="C149" s="99"/>
      <c r="D149" s="17"/>
      <c r="G149" s="17" t="str">
        <f t="shared" si="9"/>
        <v/>
      </c>
      <c r="K149" s="2" t="str">
        <f t="shared" si="10"/>
        <v/>
      </c>
      <c r="L149" s="2" t="str">
        <f t="shared" si="8"/>
        <v/>
      </c>
      <c r="M149" s="2" t="str">
        <f t="shared" si="11"/>
        <v/>
      </c>
      <c r="N149" s="5"/>
      <c r="P149" t="s">
        <v>26</v>
      </c>
    </row>
    <row r="150" spans="2:16" x14ac:dyDescent="0.3">
      <c r="B150" s="17"/>
      <c r="C150" s="99"/>
      <c r="D150" s="17"/>
      <c r="G150" s="17" t="str">
        <f t="shared" si="9"/>
        <v/>
      </c>
      <c r="K150" s="2" t="str">
        <f t="shared" si="10"/>
        <v/>
      </c>
      <c r="L150" s="2" t="str">
        <f t="shared" si="8"/>
        <v/>
      </c>
      <c r="M150" s="2" t="str">
        <f t="shared" si="11"/>
        <v/>
      </c>
      <c r="N150" s="5"/>
      <c r="P150" t="s">
        <v>26</v>
      </c>
    </row>
    <row r="151" spans="2:16" x14ac:dyDescent="0.3">
      <c r="B151" s="17"/>
      <c r="C151" s="99"/>
      <c r="D151" s="17"/>
      <c r="G151" s="17" t="str">
        <f t="shared" si="9"/>
        <v/>
      </c>
      <c r="K151" s="2" t="str">
        <f t="shared" si="10"/>
        <v/>
      </c>
      <c r="L151" s="2" t="str">
        <f t="shared" si="8"/>
        <v/>
      </c>
      <c r="M151" s="2" t="str">
        <f t="shared" si="11"/>
        <v/>
      </c>
      <c r="N151" s="5"/>
      <c r="P151" t="s">
        <v>26</v>
      </c>
    </row>
    <row r="152" spans="2:16" x14ac:dyDescent="0.3">
      <c r="B152" s="17"/>
      <c r="C152" s="99"/>
      <c r="D152" s="17"/>
      <c r="G152" s="17" t="str">
        <f t="shared" si="9"/>
        <v/>
      </c>
      <c r="K152" s="2" t="str">
        <f t="shared" si="10"/>
        <v/>
      </c>
      <c r="L152" s="2" t="str">
        <f t="shared" si="8"/>
        <v/>
      </c>
      <c r="M152" s="2" t="str">
        <f t="shared" si="11"/>
        <v/>
      </c>
      <c r="N152" s="5"/>
      <c r="P152" t="s">
        <v>26</v>
      </c>
    </row>
    <row r="153" spans="2:16" x14ac:dyDescent="0.3">
      <c r="B153" s="17"/>
      <c r="C153" s="99"/>
      <c r="D153" s="17"/>
      <c r="G153" s="17" t="str">
        <f t="shared" si="9"/>
        <v/>
      </c>
      <c r="K153" s="2" t="str">
        <f t="shared" si="10"/>
        <v/>
      </c>
      <c r="L153" s="2" t="str">
        <f t="shared" si="8"/>
        <v/>
      </c>
      <c r="M153" s="2" t="str">
        <f t="shared" si="11"/>
        <v/>
      </c>
      <c r="N153" s="5"/>
      <c r="P153" t="s">
        <v>26</v>
      </c>
    </row>
    <row r="154" spans="2:16" x14ac:dyDescent="0.3">
      <c r="B154" s="17"/>
      <c r="C154" s="99"/>
      <c r="D154" s="17"/>
      <c r="G154" s="17" t="str">
        <f t="shared" si="9"/>
        <v/>
      </c>
      <c r="K154" s="2" t="str">
        <f t="shared" si="10"/>
        <v/>
      </c>
      <c r="L154" s="2" t="str">
        <f t="shared" si="8"/>
        <v/>
      </c>
      <c r="M154" s="2" t="str">
        <f t="shared" si="11"/>
        <v/>
      </c>
      <c r="N154" s="5"/>
      <c r="P154" t="s">
        <v>26</v>
      </c>
    </row>
    <row r="155" spans="2:16" x14ac:dyDescent="0.3">
      <c r="B155" s="17"/>
      <c r="C155" s="99"/>
      <c r="D155" s="17"/>
      <c r="G155" s="17" t="str">
        <f t="shared" si="9"/>
        <v/>
      </c>
      <c r="K155" s="2" t="str">
        <f t="shared" si="10"/>
        <v/>
      </c>
      <c r="L155" s="2" t="str">
        <f t="shared" si="8"/>
        <v/>
      </c>
      <c r="M155" s="2" t="str">
        <f t="shared" si="11"/>
        <v/>
      </c>
      <c r="N155" s="5"/>
      <c r="P155" t="s">
        <v>26</v>
      </c>
    </row>
    <row r="156" spans="2:16" x14ac:dyDescent="0.3">
      <c r="B156" s="17"/>
      <c r="C156" s="99"/>
      <c r="D156" s="17"/>
      <c r="G156" s="17" t="str">
        <f t="shared" si="9"/>
        <v/>
      </c>
      <c r="K156" s="2" t="str">
        <f t="shared" si="10"/>
        <v/>
      </c>
      <c r="L156" s="2" t="str">
        <f t="shared" si="8"/>
        <v/>
      </c>
      <c r="M156" s="2" t="str">
        <f t="shared" si="11"/>
        <v/>
      </c>
      <c r="N156" s="5"/>
      <c r="P156" t="s">
        <v>26</v>
      </c>
    </row>
    <row r="157" spans="2:16" x14ac:dyDescent="0.3">
      <c r="B157" s="17"/>
      <c r="C157" s="99"/>
      <c r="D157" s="17"/>
      <c r="G157" s="17" t="str">
        <f t="shared" si="9"/>
        <v/>
      </c>
      <c r="K157" s="2" t="str">
        <f t="shared" si="10"/>
        <v/>
      </c>
      <c r="L157" s="2" t="str">
        <f t="shared" si="8"/>
        <v/>
      </c>
      <c r="M157" s="2" t="str">
        <f t="shared" si="11"/>
        <v/>
      </c>
      <c r="N157" s="5"/>
      <c r="P157" t="s">
        <v>26</v>
      </c>
    </row>
    <row r="158" spans="2:16" x14ac:dyDescent="0.3">
      <c r="B158" s="17"/>
      <c r="C158" s="99"/>
      <c r="D158" s="17"/>
      <c r="G158" s="17" t="str">
        <f t="shared" si="9"/>
        <v/>
      </c>
      <c r="K158" s="2" t="str">
        <f t="shared" si="10"/>
        <v/>
      </c>
      <c r="L158" s="2" t="str">
        <f t="shared" si="8"/>
        <v/>
      </c>
      <c r="M158" s="2" t="str">
        <f t="shared" si="11"/>
        <v/>
      </c>
      <c r="N158" s="5"/>
      <c r="P158" t="s">
        <v>26</v>
      </c>
    </row>
    <row r="159" spans="2:16" x14ac:dyDescent="0.3">
      <c r="B159" s="17"/>
      <c r="C159" s="99"/>
      <c r="D159" s="17"/>
      <c r="G159" s="17" t="str">
        <f t="shared" si="9"/>
        <v/>
      </c>
      <c r="K159" s="2" t="str">
        <f t="shared" si="10"/>
        <v/>
      </c>
      <c r="L159" s="2" t="str">
        <f t="shared" si="8"/>
        <v/>
      </c>
      <c r="M159" s="2" t="str">
        <f t="shared" si="11"/>
        <v/>
      </c>
      <c r="N159" s="5"/>
      <c r="P159" t="s">
        <v>26</v>
      </c>
    </row>
    <row r="160" spans="2:16" x14ac:dyDescent="0.3">
      <c r="B160" s="17"/>
      <c r="C160" s="99"/>
      <c r="D160" s="17"/>
      <c r="G160" s="17" t="str">
        <f t="shared" si="9"/>
        <v/>
      </c>
      <c r="K160" s="2" t="str">
        <f t="shared" si="10"/>
        <v/>
      </c>
      <c r="L160" s="2" t="str">
        <f t="shared" si="8"/>
        <v/>
      </c>
      <c r="M160" s="2" t="str">
        <f t="shared" si="11"/>
        <v/>
      </c>
      <c r="N160" s="5"/>
      <c r="P160" t="s">
        <v>26</v>
      </c>
    </row>
    <row r="161" spans="2:16" x14ac:dyDescent="0.3">
      <c r="B161" s="17"/>
      <c r="C161" s="99"/>
      <c r="D161" s="17"/>
      <c r="G161" s="17" t="str">
        <f t="shared" si="9"/>
        <v/>
      </c>
      <c r="K161" s="2" t="str">
        <f t="shared" si="10"/>
        <v/>
      </c>
      <c r="L161" s="2" t="str">
        <f t="shared" si="8"/>
        <v/>
      </c>
      <c r="M161" s="2" t="str">
        <f t="shared" si="11"/>
        <v/>
      </c>
      <c r="N161" s="5"/>
      <c r="P161" t="s">
        <v>26</v>
      </c>
    </row>
    <row r="162" spans="2:16" x14ac:dyDescent="0.3">
      <c r="B162" s="17"/>
      <c r="C162" s="99"/>
      <c r="D162" s="17"/>
      <c r="G162" s="17" t="str">
        <f t="shared" si="9"/>
        <v/>
      </c>
      <c r="K162" s="2" t="str">
        <f t="shared" si="10"/>
        <v/>
      </c>
      <c r="L162" s="2" t="str">
        <f t="shared" si="8"/>
        <v/>
      </c>
      <c r="M162" s="2" t="str">
        <f t="shared" si="11"/>
        <v/>
      </c>
      <c r="N162" s="5"/>
      <c r="P162" t="s">
        <v>26</v>
      </c>
    </row>
    <row r="163" spans="2:16" x14ac:dyDescent="0.3">
      <c r="B163" s="17"/>
      <c r="C163" s="99"/>
      <c r="D163" s="17"/>
      <c r="G163" s="17" t="str">
        <f t="shared" si="9"/>
        <v/>
      </c>
      <c r="K163" s="2" t="str">
        <f t="shared" si="10"/>
        <v/>
      </c>
      <c r="L163" s="2" t="str">
        <f t="shared" si="8"/>
        <v/>
      </c>
      <c r="M163" s="2" t="str">
        <f t="shared" si="11"/>
        <v/>
      </c>
      <c r="N163" s="5"/>
      <c r="P163" t="s">
        <v>26</v>
      </c>
    </row>
    <row r="164" spans="2:16" x14ac:dyDescent="0.3">
      <c r="B164" s="17"/>
      <c r="C164" s="99"/>
      <c r="D164" s="17"/>
      <c r="G164" s="17" t="str">
        <f t="shared" si="9"/>
        <v/>
      </c>
      <c r="K164" s="2" t="str">
        <f t="shared" si="10"/>
        <v/>
      </c>
      <c r="L164" s="2" t="str">
        <f t="shared" si="8"/>
        <v/>
      </c>
      <c r="M164" s="2" t="str">
        <f t="shared" si="11"/>
        <v/>
      </c>
      <c r="N164" s="5"/>
      <c r="P164" t="s">
        <v>26</v>
      </c>
    </row>
    <row r="165" spans="2:16" x14ac:dyDescent="0.3">
      <c r="B165" s="17"/>
      <c r="C165" s="99"/>
      <c r="D165" s="17"/>
      <c r="G165" s="17" t="str">
        <f t="shared" si="9"/>
        <v/>
      </c>
      <c r="K165" s="2" t="str">
        <f t="shared" si="10"/>
        <v/>
      </c>
      <c r="L165" s="2" t="str">
        <f t="shared" si="8"/>
        <v/>
      </c>
      <c r="M165" s="2" t="str">
        <f t="shared" si="11"/>
        <v/>
      </c>
      <c r="N165" s="5"/>
      <c r="P165" t="s">
        <v>26</v>
      </c>
    </row>
    <row r="166" spans="2:16" x14ac:dyDescent="0.3">
      <c r="B166" s="17"/>
      <c r="C166" s="99"/>
      <c r="D166" s="17"/>
      <c r="G166" s="17" t="str">
        <f t="shared" si="9"/>
        <v/>
      </c>
      <c r="K166" s="2" t="str">
        <f t="shared" si="10"/>
        <v/>
      </c>
      <c r="L166" s="2" t="str">
        <f t="shared" si="8"/>
        <v/>
      </c>
      <c r="M166" s="2" t="str">
        <f t="shared" si="11"/>
        <v/>
      </c>
      <c r="N166" s="5"/>
      <c r="P166" t="s">
        <v>26</v>
      </c>
    </row>
    <row r="167" spans="2:16" x14ac:dyDescent="0.3">
      <c r="B167" s="17"/>
      <c r="C167" s="99"/>
      <c r="D167" s="17"/>
      <c r="G167" s="17" t="str">
        <f t="shared" si="9"/>
        <v/>
      </c>
      <c r="K167" s="2" t="str">
        <f t="shared" si="10"/>
        <v/>
      </c>
      <c r="L167" s="2" t="str">
        <f t="shared" si="8"/>
        <v/>
      </c>
      <c r="M167" s="2" t="str">
        <f t="shared" si="11"/>
        <v/>
      </c>
      <c r="N167" s="5"/>
      <c r="P167" t="s">
        <v>26</v>
      </c>
    </row>
    <row r="168" spans="2:16" x14ac:dyDescent="0.3">
      <c r="B168" s="17"/>
      <c r="C168" s="99"/>
      <c r="D168" s="17"/>
      <c r="G168" s="17" t="str">
        <f t="shared" si="9"/>
        <v/>
      </c>
      <c r="K168" s="2" t="str">
        <f t="shared" si="10"/>
        <v/>
      </c>
      <c r="L168" s="2" t="str">
        <f t="shared" si="8"/>
        <v/>
      </c>
      <c r="M168" s="2" t="str">
        <f t="shared" si="11"/>
        <v/>
      </c>
      <c r="N168" s="5"/>
      <c r="P168" t="s">
        <v>26</v>
      </c>
    </row>
    <row r="169" spans="2:16" x14ac:dyDescent="0.3">
      <c r="B169" s="17"/>
      <c r="C169" s="99"/>
      <c r="D169" s="17"/>
      <c r="G169" s="17" t="str">
        <f t="shared" si="9"/>
        <v/>
      </c>
      <c r="K169" s="2" t="str">
        <f t="shared" si="10"/>
        <v/>
      </c>
      <c r="L169" s="2" t="str">
        <f t="shared" si="8"/>
        <v/>
      </c>
      <c r="M169" s="2" t="str">
        <f t="shared" si="11"/>
        <v/>
      </c>
      <c r="N169" s="5"/>
      <c r="P169" t="s">
        <v>26</v>
      </c>
    </row>
    <row r="170" spans="2:16" x14ac:dyDescent="0.3">
      <c r="B170" s="17"/>
      <c r="C170" s="99"/>
      <c r="D170" s="17"/>
      <c r="G170" s="17" t="str">
        <f t="shared" si="9"/>
        <v/>
      </c>
      <c r="K170" s="2" t="str">
        <f t="shared" si="10"/>
        <v/>
      </c>
      <c r="L170" s="2" t="str">
        <f t="shared" si="8"/>
        <v/>
      </c>
      <c r="M170" s="2" t="str">
        <f t="shared" si="11"/>
        <v/>
      </c>
      <c r="N170" s="5"/>
      <c r="P170" t="s">
        <v>26</v>
      </c>
    </row>
    <row r="171" spans="2:16" x14ac:dyDescent="0.3">
      <c r="B171" s="17"/>
      <c r="C171" s="99"/>
      <c r="D171" s="17"/>
      <c r="G171" s="17" t="str">
        <f t="shared" si="9"/>
        <v/>
      </c>
      <c r="K171" s="2" t="str">
        <f t="shared" si="10"/>
        <v/>
      </c>
      <c r="L171" s="2" t="str">
        <f t="shared" si="8"/>
        <v/>
      </c>
      <c r="M171" s="2" t="str">
        <f t="shared" si="11"/>
        <v/>
      </c>
      <c r="N171" s="5"/>
      <c r="P171" t="s">
        <v>26</v>
      </c>
    </row>
    <row r="172" spans="2:16" x14ac:dyDescent="0.3">
      <c r="B172" s="17"/>
      <c r="C172" s="99"/>
      <c r="D172" s="17"/>
      <c r="G172" s="17" t="str">
        <f t="shared" si="9"/>
        <v/>
      </c>
      <c r="K172" s="2" t="str">
        <f t="shared" si="10"/>
        <v/>
      </c>
      <c r="L172" s="2" t="str">
        <f t="shared" si="8"/>
        <v/>
      </c>
      <c r="M172" s="2" t="str">
        <f t="shared" si="11"/>
        <v/>
      </c>
      <c r="N172" s="5"/>
      <c r="P172" t="s">
        <v>26</v>
      </c>
    </row>
    <row r="173" spans="2:16" x14ac:dyDescent="0.3">
      <c r="B173" s="17"/>
      <c r="C173" s="99"/>
      <c r="D173" s="17"/>
      <c r="G173" s="17" t="str">
        <f t="shared" si="9"/>
        <v/>
      </c>
      <c r="K173" s="2" t="str">
        <f t="shared" si="10"/>
        <v/>
      </c>
      <c r="L173" s="2" t="str">
        <f t="shared" si="8"/>
        <v/>
      </c>
      <c r="M173" s="2" t="str">
        <f t="shared" si="11"/>
        <v/>
      </c>
      <c r="N173" s="5"/>
      <c r="P173" t="s">
        <v>26</v>
      </c>
    </row>
    <row r="174" spans="2:16" x14ac:dyDescent="0.3">
      <c r="B174" s="17"/>
      <c r="C174" s="99"/>
      <c r="D174" s="17"/>
      <c r="G174" s="17" t="str">
        <f t="shared" si="9"/>
        <v/>
      </c>
      <c r="K174" s="2" t="str">
        <f t="shared" si="10"/>
        <v/>
      </c>
      <c r="L174" s="2" t="str">
        <f t="shared" si="8"/>
        <v/>
      </c>
      <c r="M174" s="2" t="str">
        <f t="shared" si="11"/>
        <v/>
      </c>
      <c r="N174" s="5"/>
      <c r="P174" t="s">
        <v>26</v>
      </c>
    </row>
    <row r="175" spans="2:16" x14ac:dyDescent="0.3">
      <c r="B175" s="17"/>
      <c r="C175" s="99"/>
      <c r="D175" s="17"/>
      <c r="G175" s="17" t="str">
        <f t="shared" si="9"/>
        <v/>
      </c>
      <c r="K175" s="2" t="str">
        <f t="shared" si="10"/>
        <v/>
      </c>
      <c r="L175" s="2" t="str">
        <f t="shared" si="8"/>
        <v/>
      </c>
      <c r="M175" s="2" t="str">
        <f t="shared" si="11"/>
        <v/>
      </c>
      <c r="N175" s="5"/>
      <c r="P175" t="s">
        <v>26</v>
      </c>
    </row>
    <row r="176" spans="2:16" x14ac:dyDescent="0.3">
      <c r="B176" s="17"/>
      <c r="C176" s="99"/>
      <c r="D176" s="17"/>
      <c r="G176" s="17" t="str">
        <f t="shared" si="9"/>
        <v/>
      </c>
      <c r="K176" s="2" t="str">
        <f t="shared" si="10"/>
        <v/>
      </c>
      <c r="L176" s="2" t="str">
        <f t="shared" si="8"/>
        <v/>
      </c>
      <c r="M176" s="2" t="str">
        <f t="shared" si="11"/>
        <v/>
      </c>
      <c r="N176" s="5"/>
      <c r="P176" t="s">
        <v>26</v>
      </c>
    </row>
    <row r="177" spans="2:16" x14ac:dyDescent="0.3">
      <c r="B177" s="17"/>
      <c r="C177" s="99"/>
      <c r="D177" s="17"/>
      <c r="G177" s="17" t="str">
        <f t="shared" si="9"/>
        <v/>
      </c>
      <c r="K177" s="2" t="str">
        <f t="shared" si="10"/>
        <v/>
      </c>
      <c r="L177" s="2" t="str">
        <f t="shared" ref="L177:L225" si="12">RIGHT(K177,2)</f>
        <v/>
      </c>
      <c r="M177" s="2" t="str">
        <f t="shared" si="11"/>
        <v/>
      </c>
      <c r="N177" s="5"/>
      <c r="P177" t="s">
        <v>26</v>
      </c>
    </row>
    <row r="178" spans="2:16" x14ac:dyDescent="0.3">
      <c r="B178" s="17"/>
      <c r="C178" s="99"/>
      <c r="D178" s="17"/>
      <c r="G178" s="17" t="str">
        <f t="shared" si="9"/>
        <v/>
      </c>
      <c r="K178" s="2" t="str">
        <f t="shared" si="10"/>
        <v/>
      </c>
      <c r="L178" s="2" t="str">
        <f t="shared" si="12"/>
        <v/>
      </c>
      <c r="M178" s="2" t="str">
        <f t="shared" si="11"/>
        <v/>
      </c>
      <c r="N178" s="5"/>
      <c r="P178" t="s">
        <v>26</v>
      </c>
    </row>
    <row r="179" spans="2:16" x14ac:dyDescent="0.3">
      <c r="B179" s="17"/>
      <c r="C179" s="99"/>
      <c r="D179" s="17"/>
      <c r="G179" s="17" t="str">
        <f t="shared" si="9"/>
        <v/>
      </c>
      <c r="K179" s="2" t="str">
        <f t="shared" si="10"/>
        <v/>
      </c>
      <c r="L179" s="2" t="str">
        <f t="shared" si="12"/>
        <v/>
      </c>
      <c r="M179" s="2" t="str">
        <f t="shared" si="11"/>
        <v/>
      </c>
      <c r="N179" s="5"/>
      <c r="P179" t="s">
        <v>26</v>
      </c>
    </row>
    <row r="180" spans="2:16" x14ac:dyDescent="0.3">
      <c r="B180" s="17"/>
      <c r="C180" s="99"/>
      <c r="D180" s="17"/>
      <c r="G180" s="17" t="str">
        <f t="shared" si="9"/>
        <v/>
      </c>
      <c r="K180" s="2" t="str">
        <f t="shared" si="10"/>
        <v/>
      </c>
      <c r="L180" s="2" t="str">
        <f t="shared" si="12"/>
        <v/>
      </c>
      <c r="M180" s="2" t="str">
        <f t="shared" si="11"/>
        <v/>
      </c>
      <c r="N180" s="5"/>
      <c r="P180" t="s">
        <v>26</v>
      </c>
    </row>
    <row r="181" spans="2:16" x14ac:dyDescent="0.3">
      <c r="B181" s="17"/>
      <c r="C181" s="99"/>
      <c r="D181" s="17"/>
      <c r="G181" s="17" t="str">
        <f t="shared" si="9"/>
        <v/>
      </c>
      <c r="K181" s="2" t="str">
        <f t="shared" si="10"/>
        <v/>
      </c>
      <c r="L181" s="2" t="str">
        <f t="shared" si="12"/>
        <v/>
      </c>
      <c r="M181" s="2" t="str">
        <f t="shared" si="11"/>
        <v/>
      </c>
      <c r="N181" s="5"/>
      <c r="P181" t="s">
        <v>26</v>
      </c>
    </row>
    <row r="182" spans="2:16" x14ac:dyDescent="0.3">
      <c r="B182" s="17"/>
      <c r="C182" s="99"/>
      <c r="D182" s="17"/>
      <c r="G182" s="17" t="str">
        <f t="shared" si="9"/>
        <v/>
      </c>
      <c r="K182" s="2" t="str">
        <f t="shared" si="10"/>
        <v/>
      </c>
      <c r="L182" s="2" t="str">
        <f t="shared" si="12"/>
        <v/>
      </c>
      <c r="M182" s="2" t="str">
        <f t="shared" si="11"/>
        <v/>
      </c>
      <c r="N182" s="5"/>
      <c r="P182" t="s">
        <v>26</v>
      </c>
    </row>
    <row r="183" spans="2:16" x14ac:dyDescent="0.3">
      <c r="B183" s="17"/>
      <c r="C183" s="99"/>
      <c r="D183" s="17"/>
      <c r="G183" s="17" t="str">
        <f t="shared" si="9"/>
        <v/>
      </c>
      <c r="K183" s="2" t="str">
        <f t="shared" si="10"/>
        <v/>
      </c>
      <c r="L183" s="2" t="str">
        <f t="shared" si="12"/>
        <v/>
      </c>
      <c r="M183" s="2" t="str">
        <f t="shared" si="11"/>
        <v/>
      </c>
      <c r="N183" s="5"/>
      <c r="P183" t="s">
        <v>26</v>
      </c>
    </row>
    <row r="184" spans="2:16" x14ac:dyDescent="0.3">
      <c r="B184" s="17"/>
      <c r="C184" s="99"/>
      <c r="D184" s="17"/>
      <c r="G184" s="17" t="str">
        <f t="shared" si="9"/>
        <v/>
      </c>
      <c r="K184" s="2" t="str">
        <f t="shared" si="10"/>
        <v/>
      </c>
      <c r="L184" s="2" t="str">
        <f t="shared" si="12"/>
        <v/>
      </c>
      <c r="M184" s="2" t="str">
        <f t="shared" si="11"/>
        <v/>
      </c>
      <c r="N184" s="5"/>
      <c r="P184" t="s">
        <v>26</v>
      </c>
    </row>
    <row r="185" spans="2:16" x14ac:dyDescent="0.3">
      <c r="B185" s="17"/>
      <c r="C185" s="99"/>
      <c r="D185" s="17"/>
      <c r="G185" s="17" t="str">
        <f t="shared" si="9"/>
        <v/>
      </c>
      <c r="K185" s="2" t="str">
        <f t="shared" si="10"/>
        <v/>
      </c>
      <c r="L185" s="2" t="str">
        <f t="shared" si="12"/>
        <v/>
      </c>
      <c r="M185" s="2" t="str">
        <f t="shared" si="11"/>
        <v/>
      </c>
      <c r="N185" s="5"/>
      <c r="P185" t="s">
        <v>26</v>
      </c>
    </row>
    <row r="186" spans="2:16" x14ac:dyDescent="0.3">
      <c r="B186" s="17"/>
      <c r="C186" s="99"/>
      <c r="D186" s="17"/>
      <c r="E186" s="101"/>
      <c r="F186" s="101"/>
      <c r="G186" s="17" t="str">
        <f t="shared" si="9"/>
        <v/>
      </c>
      <c r="K186" s="2" t="str">
        <f t="shared" si="10"/>
        <v/>
      </c>
      <c r="L186" s="2" t="str">
        <f t="shared" si="12"/>
        <v/>
      </c>
      <c r="M186" s="2" t="str">
        <f t="shared" si="11"/>
        <v/>
      </c>
      <c r="N186" s="5"/>
      <c r="P186" t="s">
        <v>26</v>
      </c>
    </row>
    <row r="187" spans="2:16" x14ac:dyDescent="0.3">
      <c r="B187" s="16"/>
      <c r="C187" s="18"/>
      <c r="D187" s="104"/>
      <c r="E187" s="101"/>
      <c r="F187" s="101"/>
      <c r="G187" s="17" t="str">
        <f t="shared" si="9"/>
        <v/>
      </c>
      <c r="K187" s="2" t="str">
        <f t="shared" si="10"/>
        <v/>
      </c>
      <c r="L187" s="2" t="str">
        <f t="shared" si="12"/>
        <v/>
      </c>
      <c r="M187" s="2" t="str">
        <f t="shared" si="11"/>
        <v/>
      </c>
      <c r="N187" s="5"/>
      <c r="P187" t="s">
        <v>26</v>
      </c>
    </row>
    <row r="188" spans="2:16" x14ac:dyDescent="0.3">
      <c r="B188" s="16"/>
      <c r="C188" s="18"/>
      <c r="D188" s="104"/>
      <c r="E188" s="101"/>
      <c r="F188" s="101"/>
      <c r="G188" s="17" t="str">
        <f t="shared" si="9"/>
        <v/>
      </c>
      <c r="K188" s="2" t="str">
        <f t="shared" si="10"/>
        <v/>
      </c>
      <c r="L188" s="2" t="str">
        <f t="shared" si="12"/>
        <v/>
      </c>
      <c r="M188" s="2" t="str">
        <f t="shared" si="11"/>
        <v/>
      </c>
      <c r="N188" s="5"/>
      <c r="P188" t="s">
        <v>26</v>
      </c>
    </row>
    <row r="189" spans="2:16" x14ac:dyDescent="0.3">
      <c r="B189" s="16"/>
      <c r="C189" s="18"/>
      <c r="D189" s="104"/>
      <c r="E189" s="101"/>
      <c r="F189" s="101"/>
      <c r="G189" s="17" t="str">
        <f t="shared" si="9"/>
        <v/>
      </c>
      <c r="K189" s="2" t="str">
        <f t="shared" si="10"/>
        <v/>
      </c>
      <c r="L189" s="2" t="str">
        <f t="shared" si="12"/>
        <v/>
      </c>
      <c r="M189" s="2" t="str">
        <f t="shared" si="11"/>
        <v/>
      </c>
      <c r="N189" s="5"/>
      <c r="P189" t="s">
        <v>26</v>
      </c>
    </row>
    <row r="190" spans="2:16" x14ac:dyDescent="0.3">
      <c r="B190" s="16"/>
      <c r="C190" s="18"/>
      <c r="D190" s="104"/>
      <c r="E190" s="101"/>
      <c r="F190" s="101"/>
      <c r="G190" s="17" t="str">
        <f t="shared" si="9"/>
        <v/>
      </c>
      <c r="K190" s="2" t="str">
        <f t="shared" si="10"/>
        <v/>
      </c>
      <c r="L190" s="2" t="str">
        <f t="shared" si="12"/>
        <v/>
      </c>
      <c r="M190" s="2" t="str">
        <f t="shared" si="11"/>
        <v/>
      </c>
      <c r="N190" s="5"/>
      <c r="P190" t="s">
        <v>26</v>
      </c>
    </row>
    <row r="191" spans="2:16" x14ac:dyDescent="0.3">
      <c r="B191" s="16"/>
      <c r="C191" s="18"/>
      <c r="D191" s="104"/>
      <c r="E191" s="101"/>
      <c r="F191" s="101"/>
      <c r="G191" s="17" t="str">
        <f t="shared" si="9"/>
        <v/>
      </c>
      <c r="K191" s="2" t="str">
        <f t="shared" si="10"/>
        <v/>
      </c>
      <c r="L191" s="2" t="str">
        <f t="shared" si="12"/>
        <v/>
      </c>
      <c r="M191" s="2" t="str">
        <f t="shared" si="11"/>
        <v/>
      </c>
      <c r="N191" s="5"/>
      <c r="P191" t="s">
        <v>26</v>
      </c>
    </row>
    <row r="192" spans="2:16" x14ac:dyDescent="0.3">
      <c r="B192" s="16"/>
      <c r="C192" s="18"/>
      <c r="D192" s="104"/>
      <c r="E192" s="101"/>
      <c r="F192" s="101"/>
      <c r="G192" s="17" t="str">
        <f t="shared" si="9"/>
        <v/>
      </c>
      <c r="K192" s="2" t="str">
        <f t="shared" si="10"/>
        <v/>
      </c>
      <c r="L192" s="2" t="str">
        <f t="shared" si="12"/>
        <v/>
      </c>
      <c r="M192" s="2" t="str">
        <f t="shared" si="11"/>
        <v/>
      </c>
      <c r="N192" s="5"/>
      <c r="P192" t="s">
        <v>26</v>
      </c>
    </row>
    <row r="193" spans="2:16" x14ac:dyDescent="0.3">
      <c r="B193" s="16"/>
      <c r="C193" s="18"/>
      <c r="D193" s="104"/>
      <c r="E193" s="101"/>
      <c r="F193" s="101"/>
      <c r="G193" s="17" t="str">
        <f t="shared" si="9"/>
        <v/>
      </c>
      <c r="K193" s="2" t="str">
        <f t="shared" si="10"/>
        <v/>
      </c>
      <c r="L193" s="2" t="str">
        <f t="shared" si="12"/>
        <v/>
      </c>
      <c r="M193" s="2" t="str">
        <f t="shared" si="11"/>
        <v/>
      </c>
      <c r="N193" s="5"/>
      <c r="P193" t="s">
        <v>26</v>
      </c>
    </row>
    <row r="194" spans="2:16" x14ac:dyDescent="0.3">
      <c r="B194" s="16"/>
      <c r="C194" s="18"/>
      <c r="D194" s="104"/>
      <c r="E194" s="101"/>
      <c r="F194" s="101"/>
      <c r="G194" s="17" t="str">
        <f t="shared" si="9"/>
        <v/>
      </c>
      <c r="K194" s="2" t="str">
        <f t="shared" si="10"/>
        <v/>
      </c>
      <c r="L194" s="2" t="str">
        <f t="shared" si="12"/>
        <v/>
      </c>
      <c r="M194" s="2" t="str">
        <f t="shared" si="11"/>
        <v/>
      </c>
      <c r="N194" s="5"/>
      <c r="P194" t="s">
        <v>26</v>
      </c>
    </row>
    <row r="195" spans="2:16" x14ac:dyDescent="0.3">
      <c r="B195" s="16"/>
      <c r="C195" s="18"/>
      <c r="D195" s="104"/>
      <c r="E195" s="101"/>
      <c r="F195" s="101"/>
      <c r="G195" s="17" t="str">
        <f t="shared" si="9"/>
        <v/>
      </c>
      <c r="K195" s="2" t="str">
        <f t="shared" si="10"/>
        <v/>
      </c>
      <c r="L195" s="2" t="str">
        <f t="shared" si="12"/>
        <v/>
      </c>
      <c r="M195" s="2" t="str">
        <f t="shared" si="11"/>
        <v/>
      </c>
      <c r="N195" s="5"/>
      <c r="P195" t="s">
        <v>26</v>
      </c>
    </row>
    <row r="196" spans="2:16" x14ac:dyDescent="0.3">
      <c r="B196" s="16"/>
      <c r="C196" s="18"/>
      <c r="D196" s="104"/>
      <c r="E196" s="101"/>
      <c r="F196" s="101"/>
      <c r="G196" s="17" t="str">
        <f t="shared" ref="G196:G259" si="13">IF(AND(D196=E196,E196=F196),"",IF(AND(F196="",D196=E196),"",IF(AND(D196="",E196=F196),"",IF(AND(E196="",D196=F196),"",""))))</f>
        <v/>
      </c>
      <c r="K196" s="2" t="str">
        <f t="shared" ref="K196:K259" si="14">IF(D196="","",+D196)</f>
        <v/>
      </c>
      <c r="L196" s="2" t="str">
        <f t="shared" si="12"/>
        <v/>
      </c>
      <c r="M196" s="2" t="str">
        <f t="shared" ref="M196:M259" si="15">IF(B196="","",IF(COUNTIF($K$3:$K$295,K196)&gt;1,"동명",""))</f>
        <v/>
      </c>
      <c r="N196" s="5"/>
      <c r="P196" t="s">
        <v>26</v>
      </c>
    </row>
    <row r="197" spans="2:16" x14ac:dyDescent="0.3">
      <c r="B197" s="16"/>
      <c r="C197" s="18"/>
      <c r="D197" s="104"/>
      <c r="E197" s="101"/>
      <c r="F197" s="101"/>
      <c r="G197" s="17" t="str">
        <f t="shared" si="13"/>
        <v/>
      </c>
      <c r="K197" s="2" t="str">
        <f t="shared" si="14"/>
        <v/>
      </c>
      <c r="L197" s="2" t="str">
        <f t="shared" si="12"/>
        <v/>
      </c>
      <c r="M197" s="2" t="str">
        <f t="shared" si="15"/>
        <v/>
      </c>
      <c r="N197" s="5"/>
      <c r="P197" t="s">
        <v>26</v>
      </c>
    </row>
    <row r="198" spans="2:16" x14ac:dyDescent="0.3">
      <c r="B198" s="16"/>
      <c r="C198" s="18"/>
      <c r="D198" s="104"/>
      <c r="E198" s="101"/>
      <c r="F198" s="101"/>
      <c r="G198" s="17" t="str">
        <f t="shared" si="13"/>
        <v/>
      </c>
      <c r="K198" s="2" t="str">
        <f t="shared" si="14"/>
        <v/>
      </c>
      <c r="L198" s="2" t="str">
        <f t="shared" si="12"/>
        <v/>
      </c>
      <c r="M198" s="2" t="str">
        <f t="shared" si="15"/>
        <v/>
      </c>
      <c r="N198" s="5"/>
      <c r="P198" t="s">
        <v>26</v>
      </c>
    </row>
    <row r="199" spans="2:16" x14ac:dyDescent="0.3">
      <c r="B199" s="16"/>
      <c r="C199" s="18"/>
      <c r="D199" s="104"/>
      <c r="E199" s="101"/>
      <c r="F199" s="101"/>
      <c r="G199" s="17" t="str">
        <f t="shared" si="13"/>
        <v/>
      </c>
      <c r="K199" s="2" t="str">
        <f t="shared" si="14"/>
        <v/>
      </c>
      <c r="L199" s="2" t="str">
        <f t="shared" si="12"/>
        <v/>
      </c>
      <c r="M199" s="2" t="str">
        <f t="shared" si="15"/>
        <v/>
      </c>
      <c r="N199" s="5"/>
      <c r="P199" t="s">
        <v>26</v>
      </c>
    </row>
    <row r="200" spans="2:16" x14ac:dyDescent="0.3">
      <c r="B200" s="16"/>
      <c r="C200" s="18"/>
      <c r="D200" s="104"/>
      <c r="E200" s="101"/>
      <c r="F200" s="101"/>
      <c r="G200" s="17" t="str">
        <f t="shared" si="13"/>
        <v/>
      </c>
      <c r="K200" s="2" t="str">
        <f t="shared" si="14"/>
        <v/>
      </c>
      <c r="L200" s="2" t="str">
        <f t="shared" si="12"/>
        <v/>
      </c>
      <c r="M200" s="2" t="str">
        <f t="shared" si="15"/>
        <v/>
      </c>
      <c r="N200" s="5"/>
      <c r="P200" t="s">
        <v>26</v>
      </c>
    </row>
    <row r="201" spans="2:16" x14ac:dyDescent="0.3">
      <c r="B201" s="16"/>
      <c r="C201" s="18"/>
      <c r="D201" s="104"/>
      <c r="E201" s="101"/>
      <c r="F201" s="101"/>
      <c r="G201" s="17" t="str">
        <f t="shared" si="13"/>
        <v/>
      </c>
      <c r="K201" s="2" t="str">
        <f t="shared" si="14"/>
        <v/>
      </c>
      <c r="L201" s="2" t="str">
        <f t="shared" si="12"/>
        <v/>
      </c>
      <c r="M201" s="2" t="str">
        <f t="shared" si="15"/>
        <v/>
      </c>
      <c r="N201" s="5"/>
      <c r="P201" t="s">
        <v>26</v>
      </c>
    </row>
    <row r="202" spans="2:16" x14ac:dyDescent="0.3">
      <c r="B202" s="16"/>
      <c r="C202" s="18"/>
      <c r="D202" s="104"/>
      <c r="E202" s="101"/>
      <c r="F202" s="101"/>
      <c r="G202" s="17" t="str">
        <f t="shared" si="13"/>
        <v/>
      </c>
      <c r="K202" s="2" t="str">
        <f t="shared" si="14"/>
        <v/>
      </c>
      <c r="L202" s="2" t="str">
        <f t="shared" si="12"/>
        <v/>
      </c>
      <c r="M202" s="2" t="str">
        <f t="shared" si="15"/>
        <v/>
      </c>
      <c r="N202" s="5"/>
      <c r="P202" t="s">
        <v>26</v>
      </c>
    </row>
    <row r="203" spans="2:16" x14ac:dyDescent="0.3">
      <c r="B203" s="16"/>
      <c r="C203" s="18"/>
      <c r="D203" s="104"/>
      <c r="E203" s="101"/>
      <c r="F203" s="101"/>
      <c r="G203" s="17" t="str">
        <f t="shared" si="13"/>
        <v/>
      </c>
      <c r="K203" s="2" t="str">
        <f t="shared" si="14"/>
        <v/>
      </c>
      <c r="L203" s="2" t="str">
        <f t="shared" si="12"/>
        <v/>
      </c>
      <c r="M203" s="2" t="str">
        <f t="shared" si="15"/>
        <v/>
      </c>
      <c r="N203" s="5"/>
      <c r="P203" t="s">
        <v>26</v>
      </c>
    </row>
    <row r="204" spans="2:16" x14ac:dyDescent="0.3">
      <c r="B204" s="16"/>
      <c r="C204" s="18"/>
      <c r="D204" s="104"/>
      <c r="E204" s="101"/>
      <c r="F204" s="101"/>
      <c r="G204" s="17" t="str">
        <f t="shared" si="13"/>
        <v/>
      </c>
      <c r="K204" s="2" t="str">
        <f t="shared" si="14"/>
        <v/>
      </c>
      <c r="L204" s="2" t="str">
        <f t="shared" si="12"/>
        <v/>
      </c>
      <c r="M204" s="2" t="str">
        <f t="shared" si="15"/>
        <v/>
      </c>
      <c r="N204" s="5"/>
      <c r="P204" t="s">
        <v>26</v>
      </c>
    </row>
    <row r="205" spans="2:16" x14ac:dyDescent="0.3">
      <c r="B205" s="16"/>
      <c r="C205" s="18"/>
      <c r="D205" s="104"/>
      <c r="E205" s="101"/>
      <c r="F205" s="101"/>
      <c r="G205" s="17" t="str">
        <f t="shared" si="13"/>
        <v/>
      </c>
      <c r="K205" s="2" t="str">
        <f t="shared" si="14"/>
        <v/>
      </c>
      <c r="L205" s="2" t="str">
        <f t="shared" si="12"/>
        <v/>
      </c>
      <c r="M205" s="2" t="str">
        <f t="shared" si="15"/>
        <v/>
      </c>
      <c r="N205" s="5"/>
      <c r="P205" t="s">
        <v>26</v>
      </c>
    </row>
    <row r="206" spans="2:16" x14ac:dyDescent="0.3">
      <c r="B206" s="16"/>
      <c r="C206" s="18"/>
      <c r="D206" s="104"/>
      <c r="E206" s="101"/>
      <c r="F206" s="101"/>
      <c r="G206" s="17" t="str">
        <f t="shared" si="13"/>
        <v/>
      </c>
      <c r="K206" s="2" t="str">
        <f t="shared" si="14"/>
        <v/>
      </c>
      <c r="L206" s="2" t="str">
        <f t="shared" si="12"/>
        <v/>
      </c>
      <c r="M206" s="2" t="str">
        <f t="shared" si="15"/>
        <v/>
      </c>
      <c r="N206" s="5"/>
      <c r="P206" t="s">
        <v>26</v>
      </c>
    </row>
    <row r="207" spans="2:16" x14ac:dyDescent="0.3">
      <c r="B207" s="16"/>
      <c r="C207" s="18"/>
      <c r="D207" s="104"/>
      <c r="E207" s="101"/>
      <c r="F207" s="101"/>
      <c r="G207" s="17" t="str">
        <f t="shared" si="13"/>
        <v/>
      </c>
      <c r="K207" s="2" t="str">
        <f t="shared" si="14"/>
        <v/>
      </c>
      <c r="L207" s="2" t="str">
        <f t="shared" si="12"/>
        <v/>
      </c>
      <c r="M207" s="2" t="str">
        <f t="shared" si="15"/>
        <v/>
      </c>
      <c r="N207" s="5"/>
      <c r="P207" t="s">
        <v>26</v>
      </c>
    </row>
    <row r="208" spans="2:16" x14ac:dyDescent="0.3">
      <c r="B208" s="16"/>
      <c r="C208" s="18"/>
      <c r="D208" s="104"/>
      <c r="E208" s="101"/>
      <c r="F208" s="101"/>
      <c r="G208" s="17" t="str">
        <f t="shared" si="13"/>
        <v/>
      </c>
      <c r="K208" s="2" t="str">
        <f t="shared" si="14"/>
        <v/>
      </c>
      <c r="L208" s="2" t="str">
        <f t="shared" si="12"/>
        <v/>
      </c>
      <c r="M208" s="2" t="str">
        <f t="shared" si="15"/>
        <v/>
      </c>
      <c r="N208" s="5"/>
      <c r="P208" t="s">
        <v>26</v>
      </c>
    </row>
    <row r="209" spans="2:16" x14ac:dyDescent="0.3">
      <c r="B209" s="16"/>
      <c r="C209" s="18"/>
      <c r="D209" s="104"/>
      <c r="E209" s="101"/>
      <c r="F209" s="101"/>
      <c r="G209" s="17" t="str">
        <f t="shared" si="13"/>
        <v/>
      </c>
      <c r="K209" s="2" t="str">
        <f t="shared" si="14"/>
        <v/>
      </c>
      <c r="L209" s="2" t="str">
        <f t="shared" si="12"/>
        <v/>
      </c>
      <c r="M209" s="2" t="str">
        <f t="shared" si="15"/>
        <v/>
      </c>
      <c r="N209" s="5"/>
      <c r="P209" t="s">
        <v>26</v>
      </c>
    </row>
    <row r="210" spans="2:16" x14ac:dyDescent="0.3">
      <c r="B210" s="16"/>
      <c r="C210" s="18"/>
      <c r="D210" s="104"/>
      <c r="E210" s="101"/>
      <c r="F210" s="101"/>
      <c r="G210" s="17" t="str">
        <f t="shared" si="13"/>
        <v/>
      </c>
      <c r="K210" s="2" t="str">
        <f t="shared" si="14"/>
        <v/>
      </c>
      <c r="L210" s="2" t="str">
        <f t="shared" si="12"/>
        <v/>
      </c>
      <c r="M210" s="2" t="str">
        <f t="shared" si="15"/>
        <v/>
      </c>
      <c r="N210" s="5"/>
      <c r="P210" t="s">
        <v>26</v>
      </c>
    </row>
    <row r="211" spans="2:16" x14ac:dyDescent="0.3">
      <c r="B211" s="16"/>
      <c r="C211" s="18"/>
      <c r="D211" s="104"/>
      <c r="E211" s="101"/>
      <c r="F211" s="101"/>
      <c r="G211" s="17" t="str">
        <f t="shared" si="13"/>
        <v/>
      </c>
      <c r="K211" s="2" t="str">
        <f t="shared" si="14"/>
        <v/>
      </c>
      <c r="L211" s="2" t="str">
        <f t="shared" si="12"/>
        <v/>
      </c>
      <c r="M211" s="2" t="str">
        <f t="shared" si="15"/>
        <v/>
      </c>
      <c r="N211" s="5"/>
      <c r="P211" t="s">
        <v>26</v>
      </c>
    </row>
    <row r="212" spans="2:16" x14ac:dyDescent="0.3">
      <c r="B212" s="16"/>
      <c r="C212" s="18"/>
      <c r="D212" s="104"/>
      <c r="E212" s="101"/>
      <c r="F212" s="101"/>
      <c r="G212" s="17" t="str">
        <f t="shared" si="13"/>
        <v/>
      </c>
      <c r="K212" s="2" t="str">
        <f t="shared" si="14"/>
        <v/>
      </c>
      <c r="L212" s="2" t="str">
        <f t="shared" si="12"/>
        <v/>
      </c>
      <c r="M212" s="2" t="str">
        <f t="shared" si="15"/>
        <v/>
      </c>
      <c r="N212" s="5"/>
      <c r="P212" t="s">
        <v>26</v>
      </c>
    </row>
    <row r="213" spans="2:16" x14ac:dyDescent="0.3">
      <c r="B213" s="16"/>
      <c r="C213" s="18"/>
      <c r="D213" s="104"/>
      <c r="E213" s="101"/>
      <c r="F213" s="101"/>
      <c r="G213" s="17" t="str">
        <f t="shared" si="13"/>
        <v/>
      </c>
      <c r="K213" s="2" t="str">
        <f t="shared" si="14"/>
        <v/>
      </c>
      <c r="L213" s="2" t="str">
        <f t="shared" si="12"/>
        <v/>
      </c>
      <c r="M213" s="2" t="str">
        <f t="shared" si="15"/>
        <v/>
      </c>
      <c r="N213" s="5"/>
      <c r="P213" t="s">
        <v>26</v>
      </c>
    </row>
    <row r="214" spans="2:16" x14ac:dyDescent="0.3">
      <c r="B214" s="16"/>
      <c r="C214" s="18"/>
      <c r="D214" s="104"/>
      <c r="E214" s="101"/>
      <c r="F214" s="101"/>
      <c r="G214" s="17" t="str">
        <f t="shared" si="13"/>
        <v/>
      </c>
      <c r="K214" s="2" t="str">
        <f t="shared" si="14"/>
        <v/>
      </c>
      <c r="L214" s="2" t="str">
        <f t="shared" si="12"/>
        <v/>
      </c>
      <c r="M214" s="2" t="str">
        <f t="shared" si="15"/>
        <v/>
      </c>
      <c r="N214" s="5"/>
      <c r="P214" t="s">
        <v>26</v>
      </c>
    </row>
    <row r="215" spans="2:16" x14ac:dyDescent="0.3">
      <c r="B215" s="16"/>
      <c r="C215" s="18"/>
      <c r="D215" s="104"/>
      <c r="E215" s="101"/>
      <c r="F215" s="101"/>
      <c r="G215" s="17" t="str">
        <f t="shared" si="13"/>
        <v/>
      </c>
      <c r="K215" s="2" t="str">
        <f t="shared" si="14"/>
        <v/>
      </c>
      <c r="L215" s="2" t="str">
        <f t="shared" si="12"/>
        <v/>
      </c>
      <c r="M215" s="2" t="str">
        <f t="shared" si="15"/>
        <v/>
      </c>
      <c r="N215" s="5"/>
      <c r="P215" t="s">
        <v>26</v>
      </c>
    </row>
    <row r="216" spans="2:16" x14ac:dyDescent="0.3">
      <c r="B216" s="16"/>
      <c r="C216" s="18"/>
      <c r="D216" s="104"/>
      <c r="E216" s="101"/>
      <c r="F216" s="101"/>
      <c r="G216" s="17" t="str">
        <f t="shared" si="13"/>
        <v/>
      </c>
      <c r="K216" s="2" t="str">
        <f t="shared" si="14"/>
        <v/>
      </c>
      <c r="L216" s="2" t="str">
        <f t="shared" si="12"/>
        <v/>
      </c>
      <c r="M216" s="2" t="str">
        <f t="shared" si="15"/>
        <v/>
      </c>
      <c r="N216" s="5"/>
      <c r="P216" t="s">
        <v>26</v>
      </c>
    </row>
    <row r="217" spans="2:16" x14ac:dyDescent="0.3">
      <c r="B217" s="16"/>
      <c r="C217" s="18"/>
      <c r="D217" s="104"/>
      <c r="E217" s="101"/>
      <c r="F217" s="101"/>
      <c r="G217" s="17" t="str">
        <f t="shared" si="13"/>
        <v/>
      </c>
      <c r="K217" s="2" t="str">
        <f t="shared" si="14"/>
        <v/>
      </c>
      <c r="L217" s="2" t="str">
        <f t="shared" si="12"/>
        <v/>
      </c>
      <c r="M217" s="2" t="str">
        <f t="shared" si="15"/>
        <v/>
      </c>
      <c r="N217" s="5"/>
      <c r="P217" t="s">
        <v>26</v>
      </c>
    </row>
    <row r="218" spans="2:16" x14ac:dyDescent="0.3">
      <c r="B218" s="16"/>
      <c r="C218" s="18"/>
      <c r="D218" s="104"/>
      <c r="E218" s="101"/>
      <c r="F218" s="101"/>
      <c r="G218" s="17" t="str">
        <f t="shared" si="13"/>
        <v/>
      </c>
      <c r="K218" s="2" t="str">
        <f t="shared" si="14"/>
        <v/>
      </c>
      <c r="L218" s="2" t="str">
        <f t="shared" si="12"/>
        <v/>
      </c>
      <c r="M218" s="2" t="str">
        <f t="shared" si="15"/>
        <v/>
      </c>
      <c r="N218" s="5"/>
      <c r="P218" t="s">
        <v>26</v>
      </c>
    </row>
    <row r="219" spans="2:16" x14ac:dyDescent="0.3">
      <c r="B219" s="16"/>
      <c r="C219" s="18"/>
      <c r="D219" s="104"/>
      <c r="E219" s="101"/>
      <c r="F219" s="101"/>
      <c r="G219" s="17" t="str">
        <f t="shared" si="13"/>
        <v/>
      </c>
      <c r="K219" s="2" t="str">
        <f t="shared" si="14"/>
        <v/>
      </c>
      <c r="L219" s="2" t="str">
        <f t="shared" si="12"/>
        <v/>
      </c>
      <c r="M219" s="2" t="str">
        <f t="shared" si="15"/>
        <v/>
      </c>
      <c r="N219" s="5"/>
      <c r="P219" t="s">
        <v>26</v>
      </c>
    </row>
    <row r="220" spans="2:16" x14ac:dyDescent="0.3">
      <c r="B220" s="16"/>
      <c r="C220" s="18"/>
      <c r="D220" s="104"/>
      <c r="E220" s="101"/>
      <c r="F220" s="101"/>
      <c r="G220" s="17" t="str">
        <f t="shared" si="13"/>
        <v/>
      </c>
      <c r="K220" s="2" t="str">
        <f t="shared" si="14"/>
        <v/>
      </c>
      <c r="L220" s="2" t="str">
        <f t="shared" si="12"/>
        <v/>
      </c>
      <c r="M220" s="2" t="str">
        <f t="shared" si="15"/>
        <v/>
      </c>
      <c r="N220" s="5"/>
      <c r="P220" t="s">
        <v>26</v>
      </c>
    </row>
    <row r="221" spans="2:16" x14ac:dyDescent="0.3">
      <c r="B221" s="16"/>
      <c r="C221" s="18"/>
      <c r="D221" s="104"/>
      <c r="E221" s="101"/>
      <c r="F221" s="101"/>
      <c r="G221" s="17" t="str">
        <f t="shared" si="13"/>
        <v/>
      </c>
      <c r="K221" s="2" t="str">
        <f t="shared" si="14"/>
        <v/>
      </c>
      <c r="L221" s="2" t="str">
        <f t="shared" si="12"/>
        <v/>
      </c>
      <c r="M221" s="2" t="str">
        <f t="shared" si="15"/>
        <v/>
      </c>
      <c r="N221" s="5"/>
      <c r="P221" t="s">
        <v>26</v>
      </c>
    </row>
    <row r="222" spans="2:16" x14ac:dyDescent="0.3">
      <c r="B222" s="16"/>
      <c r="C222" s="18"/>
      <c r="D222" s="104"/>
      <c r="E222" s="101"/>
      <c r="F222" s="101"/>
      <c r="G222" s="17" t="str">
        <f t="shared" si="13"/>
        <v/>
      </c>
      <c r="K222" s="2" t="str">
        <f t="shared" si="14"/>
        <v/>
      </c>
      <c r="L222" s="2" t="str">
        <f t="shared" si="12"/>
        <v/>
      </c>
      <c r="M222" s="2" t="str">
        <f t="shared" si="15"/>
        <v/>
      </c>
      <c r="N222" s="5"/>
      <c r="P222" t="s">
        <v>26</v>
      </c>
    </row>
    <row r="223" spans="2:16" x14ac:dyDescent="0.3">
      <c r="B223" s="16"/>
      <c r="C223" s="18"/>
      <c r="D223" s="104"/>
      <c r="E223" s="101"/>
      <c r="F223" s="101"/>
      <c r="G223" s="17" t="str">
        <f t="shared" si="13"/>
        <v/>
      </c>
      <c r="K223" s="2" t="str">
        <f t="shared" si="14"/>
        <v/>
      </c>
      <c r="L223" s="2" t="str">
        <f t="shared" si="12"/>
        <v/>
      </c>
      <c r="M223" s="2" t="str">
        <f t="shared" si="15"/>
        <v/>
      </c>
      <c r="N223" s="5"/>
      <c r="P223" t="s">
        <v>26</v>
      </c>
    </row>
    <row r="224" spans="2:16" x14ac:dyDescent="0.3">
      <c r="B224" s="16"/>
      <c r="C224" s="18"/>
      <c r="D224" s="104"/>
      <c r="E224" s="101"/>
      <c r="F224" s="101"/>
      <c r="G224" s="17" t="str">
        <f t="shared" si="13"/>
        <v/>
      </c>
      <c r="K224" s="2" t="str">
        <f t="shared" si="14"/>
        <v/>
      </c>
      <c r="L224" s="2" t="str">
        <f t="shared" si="12"/>
        <v/>
      </c>
      <c r="M224" s="2" t="str">
        <f t="shared" si="15"/>
        <v/>
      </c>
      <c r="N224" s="5"/>
      <c r="P224" t="s">
        <v>26</v>
      </c>
    </row>
    <row r="225" spans="2:16" x14ac:dyDescent="0.3">
      <c r="B225" s="16"/>
      <c r="C225" s="18"/>
      <c r="D225" s="104"/>
      <c r="E225" s="101"/>
      <c r="F225" s="101"/>
      <c r="G225" s="17" t="str">
        <f t="shared" si="13"/>
        <v/>
      </c>
      <c r="K225" s="2" t="str">
        <f t="shared" si="14"/>
        <v/>
      </c>
      <c r="L225" s="2" t="str">
        <f t="shared" si="12"/>
        <v/>
      </c>
      <c r="M225" s="2" t="str">
        <f t="shared" si="15"/>
        <v/>
      </c>
      <c r="N225" s="5"/>
      <c r="P225" t="s">
        <v>26</v>
      </c>
    </row>
    <row r="226" spans="2:16" x14ac:dyDescent="0.3">
      <c r="B226" s="16"/>
      <c r="C226" s="18"/>
      <c r="D226" s="104"/>
      <c r="E226" s="101"/>
      <c r="F226" s="101"/>
      <c r="G226" s="17" t="str">
        <f t="shared" si="13"/>
        <v/>
      </c>
      <c r="K226" s="2" t="str">
        <f t="shared" si="14"/>
        <v/>
      </c>
      <c r="L226" s="2" t="str">
        <f t="shared" ref="L226:L261" si="16">RIGHT(K226,2)</f>
        <v/>
      </c>
      <c r="M226" s="2" t="str">
        <f t="shared" si="15"/>
        <v/>
      </c>
      <c r="N226" s="5"/>
      <c r="P226" t="s">
        <v>26</v>
      </c>
    </row>
    <row r="227" spans="2:16" x14ac:dyDescent="0.3">
      <c r="B227" s="16"/>
      <c r="C227" s="18"/>
      <c r="D227" s="104"/>
      <c r="E227" s="101"/>
      <c r="F227" s="101"/>
      <c r="G227" s="17" t="str">
        <f t="shared" si="13"/>
        <v/>
      </c>
      <c r="K227" s="2" t="str">
        <f t="shared" si="14"/>
        <v/>
      </c>
      <c r="L227" s="2" t="str">
        <f t="shared" si="16"/>
        <v/>
      </c>
      <c r="M227" s="2" t="str">
        <f t="shared" si="15"/>
        <v/>
      </c>
      <c r="N227" s="5"/>
      <c r="P227" t="s">
        <v>26</v>
      </c>
    </row>
    <row r="228" spans="2:16" x14ac:dyDescent="0.3">
      <c r="B228" s="16"/>
      <c r="C228" s="18"/>
      <c r="D228" s="104"/>
      <c r="E228" s="101"/>
      <c r="F228" s="101"/>
      <c r="G228" s="17" t="str">
        <f t="shared" si="13"/>
        <v/>
      </c>
      <c r="K228" s="2" t="str">
        <f t="shared" si="14"/>
        <v/>
      </c>
      <c r="L228" s="2" t="str">
        <f t="shared" si="16"/>
        <v/>
      </c>
      <c r="M228" s="2" t="str">
        <f t="shared" si="15"/>
        <v/>
      </c>
      <c r="N228" s="5"/>
      <c r="P228" t="s">
        <v>26</v>
      </c>
    </row>
    <row r="229" spans="2:16" x14ac:dyDescent="0.3">
      <c r="B229" s="16"/>
      <c r="C229" s="18"/>
      <c r="D229" s="104"/>
      <c r="E229" s="101"/>
      <c r="F229" s="101"/>
      <c r="G229" s="17" t="str">
        <f t="shared" si="13"/>
        <v/>
      </c>
      <c r="K229" s="2" t="str">
        <f t="shared" si="14"/>
        <v/>
      </c>
      <c r="L229" s="2" t="str">
        <f t="shared" si="16"/>
        <v/>
      </c>
      <c r="M229" s="2" t="str">
        <f t="shared" si="15"/>
        <v/>
      </c>
      <c r="N229" s="5"/>
      <c r="P229" t="s">
        <v>26</v>
      </c>
    </row>
    <row r="230" spans="2:16" x14ac:dyDescent="0.3">
      <c r="B230" s="16"/>
      <c r="C230" s="18"/>
      <c r="D230" s="104"/>
      <c r="E230" s="101"/>
      <c r="F230" s="101"/>
      <c r="G230" s="17" t="str">
        <f t="shared" si="13"/>
        <v/>
      </c>
      <c r="K230" s="2" t="str">
        <f t="shared" si="14"/>
        <v/>
      </c>
      <c r="L230" s="2" t="str">
        <f t="shared" si="16"/>
        <v/>
      </c>
      <c r="M230" s="2" t="str">
        <f t="shared" si="15"/>
        <v/>
      </c>
      <c r="N230" s="5"/>
      <c r="P230" t="s">
        <v>26</v>
      </c>
    </row>
    <row r="231" spans="2:16" x14ac:dyDescent="0.3">
      <c r="B231" s="16"/>
      <c r="C231" s="18"/>
      <c r="D231" s="104"/>
      <c r="E231" s="101"/>
      <c r="F231" s="101"/>
      <c r="G231" s="17" t="str">
        <f t="shared" si="13"/>
        <v/>
      </c>
      <c r="K231" s="2" t="str">
        <f t="shared" si="14"/>
        <v/>
      </c>
      <c r="L231" s="2" t="str">
        <f t="shared" si="16"/>
        <v/>
      </c>
      <c r="M231" s="2" t="str">
        <f t="shared" si="15"/>
        <v/>
      </c>
      <c r="N231" s="5"/>
      <c r="P231" t="s">
        <v>26</v>
      </c>
    </row>
    <row r="232" spans="2:16" x14ac:dyDescent="0.3">
      <c r="B232" s="16"/>
      <c r="C232" s="18"/>
      <c r="D232" s="104"/>
      <c r="E232" s="101"/>
      <c r="F232" s="101"/>
      <c r="G232" s="17" t="str">
        <f t="shared" si="13"/>
        <v/>
      </c>
      <c r="K232" s="2" t="str">
        <f t="shared" si="14"/>
        <v/>
      </c>
      <c r="L232" s="2" t="str">
        <f t="shared" si="16"/>
        <v/>
      </c>
      <c r="M232" s="2" t="str">
        <f t="shared" si="15"/>
        <v/>
      </c>
      <c r="N232" s="5"/>
      <c r="P232" t="s">
        <v>26</v>
      </c>
    </row>
    <row r="233" spans="2:16" x14ac:dyDescent="0.3">
      <c r="B233" s="16"/>
      <c r="C233" s="18"/>
      <c r="D233" s="104"/>
      <c r="E233" s="101"/>
      <c r="F233" s="101"/>
      <c r="G233" s="17" t="str">
        <f t="shared" si="13"/>
        <v/>
      </c>
      <c r="K233" s="2" t="str">
        <f t="shared" si="14"/>
        <v/>
      </c>
      <c r="L233" s="2" t="str">
        <f t="shared" si="16"/>
        <v/>
      </c>
      <c r="M233" s="2" t="str">
        <f t="shared" si="15"/>
        <v/>
      </c>
      <c r="N233" s="5"/>
      <c r="P233" t="s">
        <v>26</v>
      </c>
    </row>
    <row r="234" spans="2:16" x14ac:dyDescent="0.3">
      <c r="B234" s="16"/>
      <c r="C234" s="18"/>
      <c r="D234" s="104"/>
      <c r="E234" s="101"/>
      <c r="F234" s="101"/>
      <c r="G234" s="17" t="str">
        <f t="shared" si="13"/>
        <v/>
      </c>
      <c r="K234" s="2" t="str">
        <f t="shared" si="14"/>
        <v/>
      </c>
      <c r="L234" s="2" t="str">
        <f t="shared" si="16"/>
        <v/>
      </c>
      <c r="M234" s="2" t="str">
        <f t="shared" si="15"/>
        <v/>
      </c>
      <c r="N234" s="5"/>
      <c r="P234" t="s">
        <v>26</v>
      </c>
    </row>
    <row r="235" spans="2:16" x14ac:dyDescent="0.3">
      <c r="B235" s="16"/>
      <c r="C235" s="18"/>
      <c r="D235" s="104"/>
      <c r="E235" s="101"/>
      <c r="F235" s="101"/>
      <c r="G235" s="17" t="str">
        <f t="shared" si="13"/>
        <v/>
      </c>
      <c r="K235" s="2" t="str">
        <f t="shared" si="14"/>
        <v/>
      </c>
      <c r="L235" s="2" t="str">
        <f t="shared" si="16"/>
        <v/>
      </c>
      <c r="M235" s="2" t="str">
        <f t="shared" si="15"/>
        <v/>
      </c>
      <c r="N235" s="5"/>
      <c r="P235" t="s">
        <v>26</v>
      </c>
    </row>
    <row r="236" spans="2:16" x14ac:dyDescent="0.3">
      <c r="B236" s="16"/>
      <c r="C236" s="18"/>
      <c r="D236" s="104"/>
      <c r="E236" s="101"/>
      <c r="F236" s="101"/>
      <c r="G236" s="17" t="str">
        <f t="shared" si="13"/>
        <v/>
      </c>
      <c r="K236" s="2" t="str">
        <f t="shared" si="14"/>
        <v/>
      </c>
      <c r="L236" s="2" t="str">
        <f t="shared" si="16"/>
        <v/>
      </c>
      <c r="M236" s="2" t="str">
        <f t="shared" si="15"/>
        <v/>
      </c>
      <c r="N236" s="5"/>
      <c r="P236" t="s">
        <v>26</v>
      </c>
    </row>
    <row r="237" spans="2:16" x14ac:dyDescent="0.3">
      <c r="B237" s="16"/>
      <c r="C237" s="18"/>
      <c r="D237" s="104"/>
      <c r="E237" s="101"/>
      <c r="F237" s="101"/>
      <c r="G237" s="17" t="str">
        <f t="shared" si="13"/>
        <v/>
      </c>
      <c r="K237" s="2" t="str">
        <f t="shared" si="14"/>
        <v/>
      </c>
      <c r="L237" s="2" t="str">
        <f t="shared" si="16"/>
        <v/>
      </c>
      <c r="M237" s="2" t="str">
        <f t="shared" si="15"/>
        <v/>
      </c>
      <c r="N237" s="5"/>
      <c r="P237" t="s">
        <v>26</v>
      </c>
    </row>
    <row r="238" spans="2:16" x14ac:dyDescent="0.3">
      <c r="B238" s="16"/>
      <c r="C238" s="18"/>
      <c r="D238" s="104"/>
      <c r="E238" s="101"/>
      <c r="F238" s="101"/>
      <c r="G238" s="17" t="str">
        <f t="shared" si="13"/>
        <v/>
      </c>
      <c r="K238" s="2" t="str">
        <f t="shared" si="14"/>
        <v/>
      </c>
      <c r="L238" s="2" t="str">
        <f t="shared" si="16"/>
        <v/>
      </c>
      <c r="M238" s="2" t="str">
        <f t="shared" si="15"/>
        <v/>
      </c>
      <c r="N238" s="5"/>
      <c r="P238" t="s">
        <v>26</v>
      </c>
    </row>
    <row r="239" spans="2:16" x14ac:dyDescent="0.3">
      <c r="B239" s="16"/>
      <c r="C239" s="18"/>
      <c r="D239" s="104"/>
      <c r="E239" s="101"/>
      <c r="F239" s="101"/>
      <c r="G239" s="17" t="str">
        <f t="shared" si="13"/>
        <v/>
      </c>
      <c r="K239" s="2" t="str">
        <f t="shared" si="14"/>
        <v/>
      </c>
      <c r="L239" s="2" t="str">
        <f t="shared" si="16"/>
        <v/>
      </c>
      <c r="M239" s="2" t="str">
        <f t="shared" si="15"/>
        <v/>
      </c>
      <c r="N239" s="5"/>
      <c r="P239" t="s">
        <v>26</v>
      </c>
    </row>
    <row r="240" spans="2:16" x14ac:dyDescent="0.3">
      <c r="B240" s="16"/>
      <c r="C240" s="18"/>
      <c r="D240" s="104"/>
      <c r="E240" s="101"/>
      <c r="F240" s="101"/>
      <c r="G240" s="17" t="str">
        <f t="shared" si="13"/>
        <v/>
      </c>
      <c r="K240" s="2" t="str">
        <f t="shared" si="14"/>
        <v/>
      </c>
      <c r="L240" s="2" t="str">
        <f t="shared" si="16"/>
        <v/>
      </c>
      <c r="M240" s="2" t="str">
        <f t="shared" si="15"/>
        <v/>
      </c>
      <c r="N240" s="5"/>
      <c r="P240" t="s">
        <v>26</v>
      </c>
    </row>
    <row r="241" spans="2:16" x14ac:dyDescent="0.3">
      <c r="B241" s="16"/>
      <c r="C241" s="18"/>
      <c r="D241" s="104"/>
      <c r="E241" s="101"/>
      <c r="F241" s="101"/>
      <c r="G241" s="17" t="str">
        <f t="shared" si="13"/>
        <v/>
      </c>
      <c r="K241" s="2" t="str">
        <f t="shared" si="14"/>
        <v/>
      </c>
      <c r="L241" s="2" t="str">
        <f t="shared" si="16"/>
        <v/>
      </c>
      <c r="M241" s="2" t="str">
        <f t="shared" si="15"/>
        <v/>
      </c>
      <c r="N241" s="5"/>
      <c r="P241" t="s">
        <v>26</v>
      </c>
    </row>
    <row r="242" spans="2:16" x14ac:dyDescent="0.3">
      <c r="B242" s="16"/>
      <c r="C242" s="18"/>
      <c r="D242" s="104"/>
      <c r="E242" s="101"/>
      <c r="F242" s="101"/>
      <c r="G242" s="17" t="str">
        <f t="shared" si="13"/>
        <v/>
      </c>
      <c r="K242" s="2" t="str">
        <f t="shared" si="14"/>
        <v/>
      </c>
      <c r="L242" s="2" t="str">
        <f t="shared" si="16"/>
        <v/>
      </c>
      <c r="M242" s="2" t="str">
        <f t="shared" si="15"/>
        <v/>
      </c>
      <c r="N242" s="5"/>
      <c r="P242" t="s">
        <v>26</v>
      </c>
    </row>
    <row r="243" spans="2:16" x14ac:dyDescent="0.3">
      <c r="B243" s="16"/>
      <c r="C243" s="18"/>
      <c r="D243" s="104"/>
      <c r="E243" s="101"/>
      <c r="F243" s="101"/>
      <c r="G243" s="17" t="str">
        <f t="shared" si="13"/>
        <v/>
      </c>
      <c r="K243" s="2" t="str">
        <f t="shared" si="14"/>
        <v/>
      </c>
      <c r="L243" s="2" t="str">
        <f t="shared" si="16"/>
        <v/>
      </c>
      <c r="M243" s="2" t="str">
        <f t="shared" si="15"/>
        <v/>
      </c>
      <c r="N243" s="5"/>
      <c r="P243" t="s">
        <v>26</v>
      </c>
    </row>
    <row r="244" spans="2:16" x14ac:dyDescent="0.3">
      <c r="B244" s="16"/>
      <c r="C244" s="18"/>
      <c r="D244" s="104"/>
      <c r="E244" s="101"/>
      <c r="F244" s="101"/>
      <c r="G244" s="17" t="str">
        <f t="shared" si="13"/>
        <v/>
      </c>
      <c r="K244" s="2" t="str">
        <f t="shared" si="14"/>
        <v/>
      </c>
      <c r="L244" s="2" t="str">
        <f t="shared" si="16"/>
        <v/>
      </c>
      <c r="M244" s="2" t="str">
        <f t="shared" si="15"/>
        <v/>
      </c>
      <c r="N244" s="5"/>
      <c r="P244" t="s">
        <v>26</v>
      </c>
    </row>
    <row r="245" spans="2:16" x14ac:dyDescent="0.3">
      <c r="B245" s="16"/>
      <c r="C245" s="18"/>
      <c r="D245" s="104"/>
      <c r="E245" s="101"/>
      <c r="F245" s="101"/>
      <c r="G245" s="17" t="str">
        <f t="shared" si="13"/>
        <v/>
      </c>
      <c r="K245" s="2" t="str">
        <f t="shared" si="14"/>
        <v/>
      </c>
      <c r="L245" s="2" t="str">
        <f t="shared" si="16"/>
        <v/>
      </c>
      <c r="M245" s="2" t="str">
        <f t="shared" si="15"/>
        <v/>
      </c>
      <c r="N245" s="5"/>
      <c r="P245" t="s">
        <v>26</v>
      </c>
    </row>
    <row r="246" spans="2:16" x14ac:dyDescent="0.3">
      <c r="B246" s="16"/>
      <c r="C246" s="18"/>
      <c r="D246" s="104"/>
      <c r="E246" s="101"/>
      <c r="F246" s="101"/>
      <c r="G246" s="17" t="str">
        <f t="shared" si="13"/>
        <v/>
      </c>
      <c r="K246" s="2" t="str">
        <f t="shared" si="14"/>
        <v/>
      </c>
      <c r="L246" s="2" t="str">
        <f t="shared" si="16"/>
        <v/>
      </c>
      <c r="M246" s="2" t="str">
        <f t="shared" si="15"/>
        <v/>
      </c>
      <c r="N246" s="5"/>
      <c r="P246" t="s">
        <v>26</v>
      </c>
    </row>
    <row r="247" spans="2:16" x14ac:dyDescent="0.3">
      <c r="B247" s="16"/>
      <c r="C247" s="18"/>
      <c r="D247" s="104"/>
      <c r="E247" s="101"/>
      <c r="F247" s="101"/>
      <c r="G247" s="17" t="str">
        <f t="shared" si="13"/>
        <v/>
      </c>
      <c r="K247" s="2" t="str">
        <f t="shared" si="14"/>
        <v/>
      </c>
      <c r="L247" s="2" t="str">
        <f t="shared" si="16"/>
        <v/>
      </c>
      <c r="M247" s="2" t="str">
        <f t="shared" si="15"/>
        <v/>
      </c>
      <c r="N247" s="5"/>
      <c r="P247" t="s">
        <v>26</v>
      </c>
    </row>
    <row r="248" spans="2:16" x14ac:dyDescent="0.3">
      <c r="B248" s="16"/>
      <c r="C248" s="18"/>
      <c r="D248" s="104"/>
      <c r="E248" s="101"/>
      <c r="F248" s="101"/>
      <c r="G248" s="17" t="str">
        <f t="shared" si="13"/>
        <v/>
      </c>
      <c r="K248" s="2" t="str">
        <f t="shared" si="14"/>
        <v/>
      </c>
      <c r="L248" s="2" t="str">
        <f t="shared" si="16"/>
        <v/>
      </c>
      <c r="M248" s="2" t="str">
        <f t="shared" si="15"/>
        <v/>
      </c>
      <c r="N248" s="5"/>
      <c r="P248" t="s">
        <v>26</v>
      </c>
    </row>
    <row r="249" spans="2:16" x14ac:dyDescent="0.3">
      <c r="B249" s="16"/>
      <c r="C249" s="18"/>
      <c r="D249" s="104"/>
      <c r="E249" s="101"/>
      <c r="F249" s="101"/>
      <c r="G249" s="17" t="str">
        <f t="shared" si="13"/>
        <v/>
      </c>
      <c r="K249" s="2" t="str">
        <f t="shared" si="14"/>
        <v/>
      </c>
      <c r="L249" s="2" t="str">
        <f t="shared" si="16"/>
        <v/>
      </c>
      <c r="M249" s="2" t="str">
        <f t="shared" si="15"/>
        <v/>
      </c>
      <c r="N249" s="5"/>
      <c r="P249" t="s">
        <v>26</v>
      </c>
    </row>
    <row r="250" spans="2:16" x14ac:dyDescent="0.3">
      <c r="B250" s="16"/>
      <c r="C250" s="18"/>
      <c r="D250" s="104"/>
      <c r="E250" s="101"/>
      <c r="F250" s="101"/>
      <c r="G250" s="17" t="str">
        <f t="shared" si="13"/>
        <v/>
      </c>
      <c r="K250" s="2" t="str">
        <f t="shared" si="14"/>
        <v/>
      </c>
      <c r="L250" s="2" t="str">
        <f t="shared" si="16"/>
        <v/>
      </c>
      <c r="M250" s="2" t="str">
        <f t="shared" si="15"/>
        <v/>
      </c>
      <c r="N250" s="5"/>
      <c r="P250" t="s">
        <v>26</v>
      </c>
    </row>
    <row r="251" spans="2:16" x14ac:dyDescent="0.3">
      <c r="B251" s="16"/>
      <c r="C251" s="18"/>
      <c r="D251" s="104"/>
      <c r="E251" s="101"/>
      <c r="F251" s="101"/>
      <c r="G251" s="17" t="str">
        <f t="shared" si="13"/>
        <v/>
      </c>
      <c r="K251" s="2" t="str">
        <f t="shared" si="14"/>
        <v/>
      </c>
      <c r="L251" s="2" t="str">
        <f t="shared" si="16"/>
        <v/>
      </c>
      <c r="M251" s="2" t="str">
        <f t="shared" si="15"/>
        <v/>
      </c>
      <c r="N251" s="5"/>
      <c r="P251" t="s">
        <v>26</v>
      </c>
    </row>
    <row r="252" spans="2:16" x14ac:dyDescent="0.3">
      <c r="B252" s="16"/>
      <c r="C252" s="18"/>
      <c r="D252" s="104"/>
      <c r="E252" s="101"/>
      <c r="F252" s="101"/>
      <c r="G252" s="17" t="str">
        <f t="shared" si="13"/>
        <v/>
      </c>
      <c r="K252" s="2" t="str">
        <f t="shared" si="14"/>
        <v/>
      </c>
      <c r="L252" s="2" t="str">
        <f t="shared" si="16"/>
        <v/>
      </c>
      <c r="M252" s="2" t="str">
        <f t="shared" si="15"/>
        <v/>
      </c>
      <c r="N252" s="5"/>
      <c r="P252" t="s">
        <v>26</v>
      </c>
    </row>
    <row r="253" spans="2:16" x14ac:dyDescent="0.3">
      <c r="B253" s="16"/>
      <c r="C253" s="18"/>
      <c r="D253" s="104"/>
      <c r="E253" s="101"/>
      <c r="F253" s="101"/>
      <c r="G253" s="17" t="str">
        <f t="shared" si="13"/>
        <v/>
      </c>
      <c r="K253" s="2" t="str">
        <f t="shared" si="14"/>
        <v/>
      </c>
      <c r="L253" s="2" t="str">
        <f t="shared" si="16"/>
        <v/>
      </c>
      <c r="M253" s="2" t="str">
        <f t="shared" si="15"/>
        <v/>
      </c>
      <c r="N253" s="5"/>
      <c r="P253" t="s">
        <v>26</v>
      </c>
    </row>
    <row r="254" spans="2:16" x14ac:dyDescent="0.3">
      <c r="B254" s="16"/>
      <c r="C254" s="18"/>
      <c r="D254" s="104"/>
      <c r="E254" s="101"/>
      <c r="F254" s="101"/>
      <c r="G254" s="17" t="str">
        <f t="shared" si="13"/>
        <v/>
      </c>
      <c r="K254" s="2" t="str">
        <f t="shared" si="14"/>
        <v/>
      </c>
      <c r="L254" s="2" t="str">
        <f t="shared" si="16"/>
        <v/>
      </c>
      <c r="M254" s="2" t="str">
        <f t="shared" si="15"/>
        <v/>
      </c>
      <c r="N254" s="5"/>
      <c r="P254" t="s">
        <v>26</v>
      </c>
    </row>
    <row r="255" spans="2:16" x14ac:dyDescent="0.3">
      <c r="B255" s="16"/>
      <c r="C255" s="18"/>
      <c r="D255" s="104"/>
      <c r="E255" s="101"/>
      <c r="F255" s="101"/>
      <c r="G255" s="17" t="str">
        <f t="shared" si="13"/>
        <v/>
      </c>
      <c r="K255" s="2" t="str">
        <f t="shared" si="14"/>
        <v/>
      </c>
      <c r="L255" s="2" t="str">
        <f t="shared" si="16"/>
        <v/>
      </c>
      <c r="M255" s="2" t="str">
        <f t="shared" si="15"/>
        <v/>
      </c>
      <c r="N255" s="5"/>
      <c r="P255" t="s">
        <v>26</v>
      </c>
    </row>
    <row r="256" spans="2:16" x14ac:dyDescent="0.3">
      <c r="B256" s="16"/>
      <c r="C256" s="18"/>
      <c r="D256" s="104"/>
      <c r="E256" s="101"/>
      <c r="F256" s="101"/>
      <c r="G256" s="17" t="str">
        <f t="shared" si="13"/>
        <v/>
      </c>
      <c r="K256" s="2" t="str">
        <f t="shared" si="14"/>
        <v/>
      </c>
      <c r="L256" s="2" t="str">
        <f t="shared" si="16"/>
        <v/>
      </c>
      <c r="M256" s="2" t="str">
        <f t="shared" si="15"/>
        <v/>
      </c>
      <c r="N256" s="5"/>
      <c r="P256" t="s">
        <v>26</v>
      </c>
    </row>
    <row r="257" spans="2:16" x14ac:dyDescent="0.3">
      <c r="B257" s="16"/>
      <c r="C257" s="18"/>
      <c r="D257" s="104"/>
      <c r="E257" s="101"/>
      <c r="F257" s="101"/>
      <c r="G257" s="17" t="str">
        <f t="shared" si="13"/>
        <v/>
      </c>
      <c r="K257" s="2" t="str">
        <f t="shared" si="14"/>
        <v/>
      </c>
      <c r="L257" s="2" t="str">
        <f t="shared" si="16"/>
        <v/>
      </c>
      <c r="M257" s="2" t="str">
        <f t="shared" si="15"/>
        <v/>
      </c>
      <c r="N257" s="5"/>
      <c r="P257" t="s">
        <v>26</v>
      </c>
    </row>
    <row r="258" spans="2:16" x14ac:dyDescent="0.3">
      <c r="B258" s="16"/>
      <c r="C258" s="18"/>
      <c r="D258" s="104"/>
      <c r="E258" s="101"/>
      <c r="F258" s="101"/>
      <c r="G258" s="17" t="str">
        <f t="shared" si="13"/>
        <v/>
      </c>
      <c r="K258" s="2" t="str">
        <f t="shared" si="14"/>
        <v/>
      </c>
      <c r="L258" s="2" t="str">
        <f t="shared" si="16"/>
        <v/>
      </c>
      <c r="M258" s="2" t="str">
        <f t="shared" si="15"/>
        <v/>
      </c>
      <c r="N258" s="5"/>
      <c r="P258" t="s">
        <v>26</v>
      </c>
    </row>
    <row r="259" spans="2:16" x14ac:dyDescent="0.3">
      <c r="B259" s="16"/>
      <c r="C259" s="18"/>
      <c r="D259" s="104"/>
      <c r="E259" s="101"/>
      <c r="F259" s="101"/>
      <c r="G259" s="17" t="str">
        <f t="shared" si="13"/>
        <v/>
      </c>
      <c r="K259" s="2" t="str">
        <f t="shared" si="14"/>
        <v/>
      </c>
      <c r="L259" s="2" t="str">
        <f t="shared" si="16"/>
        <v/>
      </c>
      <c r="M259" s="2" t="str">
        <f t="shared" si="15"/>
        <v/>
      </c>
      <c r="N259" s="5"/>
      <c r="P259" t="s">
        <v>26</v>
      </c>
    </row>
    <row r="260" spans="2:16" x14ac:dyDescent="0.3">
      <c r="B260" s="16"/>
      <c r="C260" s="18"/>
      <c r="D260" s="104"/>
      <c r="E260" s="101"/>
      <c r="F260" s="101"/>
      <c r="G260" s="17" t="str">
        <f t="shared" ref="G260:G323" si="17">IF(AND(D260=E260,E260=F260),"",IF(AND(F260="",D260=E260),"",IF(AND(D260="",E260=F260),"",IF(AND(E260="",D260=F260),"",""))))</f>
        <v/>
      </c>
      <c r="K260" s="2" t="str">
        <f t="shared" ref="K260:K323" si="18">IF(D260="","",+D260)</f>
        <v/>
      </c>
      <c r="L260" s="2" t="str">
        <f t="shared" si="16"/>
        <v/>
      </c>
      <c r="M260" s="2" t="str">
        <f t="shared" ref="M260:M323" si="19">IF(B260="","",IF(COUNTIF($K$3:$K$295,K260)&gt;1,"동명",""))</f>
        <v/>
      </c>
      <c r="N260" s="5"/>
      <c r="P260" t="s">
        <v>26</v>
      </c>
    </row>
    <row r="261" spans="2:16" x14ac:dyDescent="0.3">
      <c r="B261" s="16"/>
      <c r="C261" s="18"/>
      <c r="D261" s="104"/>
      <c r="E261" s="101"/>
      <c r="F261" s="101"/>
      <c r="G261" s="17" t="str">
        <f t="shared" si="17"/>
        <v/>
      </c>
      <c r="K261" s="2" t="str">
        <f t="shared" si="18"/>
        <v/>
      </c>
      <c r="L261" s="2" t="str">
        <f t="shared" si="16"/>
        <v/>
      </c>
      <c r="M261" s="2" t="str">
        <f t="shared" si="19"/>
        <v/>
      </c>
      <c r="N261" s="5"/>
      <c r="P261" t="s">
        <v>26</v>
      </c>
    </row>
    <row r="262" spans="2:16" x14ac:dyDescent="0.3">
      <c r="B262" s="16"/>
      <c r="C262" s="18"/>
      <c r="D262" s="104"/>
      <c r="E262" s="101"/>
      <c r="F262" s="101"/>
      <c r="G262" s="17" t="str">
        <f t="shared" si="17"/>
        <v/>
      </c>
      <c r="K262" s="2" t="str">
        <f t="shared" si="18"/>
        <v/>
      </c>
      <c r="L262" s="2" t="str">
        <f t="shared" ref="L262:L325" si="20">RIGHT(K262,2)</f>
        <v/>
      </c>
      <c r="M262" s="2" t="str">
        <f t="shared" si="19"/>
        <v/>
      </c>
      <c r="N262" s="5"/>
      <c r="P262" t="s">
        <v>26</v>
      </c>
    </row>
    <row r="263" spans="2:16" x14ac:dyDescent="0.3">
      <c r="B263" s="16"/>
      <c r="C263" s="18"/>
      <c r="D263" s="104"/>
      <c r="E263" s="101"/>
      <c r="F263" s="101"/>
      <c r="G263" s="17" t="str">
        <f t="shared" si="17"/>
        <v/>
      </c>
      <c r="K263" s="2" t="str">
        <f t="shared" si="18"/>
        <v/>
      </c>
      <c r="L263" s="2" t="str">
        <f t="shared" si="20"/>
        <v/>
      </c>
      <c r="M263" s="2" t="str">
        <f t="shared" si="19"/>
        <v/>
      </c>
      <c r="N263" s="5"/>
      <c r="P263" t="s">
        <v>26</v>
      </c>
    </row>
    <row r="264" spans="2:16" x14ac:dyDescent="0.3">
      <c r="B264" s="16"/>
      <c r="C264" s="18"/>
      <c r="D264" s="104"/>
      <c r="E264" s="101"/>
      <c r="F264" s="101"/>
      <c r="G264" s="17" t="str">
        <f t="shared" si="17"/>
        <v/>
      </c>
      <c r="K264" s="2" t="str">
        <f t="shared" si="18"/>
        <v/>
      </c>
      <c r="L264" s="2" t="str">
        <f t="shared" si="20"/>
        <v/>
      </c>
      <c r="M264" s="2" t="str">
        <f t="shared" si="19"/>
        <v/>
      </c>
      <c r="N264" s="5"/>
      <c r="P264" t="s">
        <v>26</v>
      </c>
    </row>
    <row r="265" spans="2:16" x14ac:dyDescent="0.3">
      <c r="B265" s="16"/>
      <c r="C265" s="18"/>
      <c r="D265" s="104"/>
      <c r="E265" s="101"/>
      <c r="F265" s="101"/>
      <c r="G265" s="17" t="str">
        <f t="shared" si="17"/>
        <v/>
      </c>
      <c r="K265" s="2" t="str">
        <f t="shared" si="18"/>
        <v/>
      </c>
      <c r="L265" s="2" t="str">
        <f t="shared" si="20"/>
        <v/>
      </c>
      <c r="M265" s="2" t="str">
        <f t="shared" si="19"/>
        <v/>
      </c>
      <c r="N265" s="5"/>
      <c r="P265" t="s">
        <v>26</v>
      </c>
    </row>
    <row r="266" spans="2:16" x14ac:dyDescent="0.3">
      <c r="B266" s="16"/>
      <c r="C266" s="18"/>
      <c r="D266" s="104"/>
      <c r="E266" s="101"/>
      <c r="F266" s="101"/>
      <c r="G266" s="17" t="str">
        <f t="shared" si="17"/>
        <v/>
      </c>
      <c r="K266" s="2" t="str">
        <f t="shared" si="18"/>
        <v/>
      </c>
      <c r="L266" s="2" t="str">
        <f t="shared" si="20"/>
        <v/>
      </c>
      <c r="M266" s="2" t="str">
        <f t="shared" si="19"/>
        <v/>
      </c>
      <c r="N266" s="5"/>
      <c r="P266" t="s">
        <v>26</v>
      </c>
    </row>
    <row r="267" spans="2:16" x14ac:dyDescent="0.3">
      <c r="B267" s="16"/>
      <c r="C267" s="18"/>
      <c r="D267" s="104"/>
      <c r="E267" s="101"/>
      <c r="F267" s="101"/>
      <c r="G267" s="17" t="str">
        <f t="shared" si="17"/>
        <v/>
      </c>
      <c r="K267" s="2" t="str">
        <f t="shared" si="18"/>
        <v/>
      </c>
      <c r="L267" s="2" t="str">
        <f t="shared" si="20"/>
        <v/>
      </c>
      <c r="M267" s="2" t="str">
        <f t="shared" si="19"/>
        <v/>
      </c>
      <c r="N267" s="5"/>
      <c r="P267" t="s">
        <v>26</v>
      </c>
    </row>
    <row r="268" spans="2:16" x14ac:dyDescent="0.3">
      <c r="B268" s="16"/>
      <c r="C268" s="18"/>
      <c r="D268" s="104"/>
      <c r="E268" s="101"/>
      <c r="F268" s="101"/>
      <c r="G268" s="17" t="str">
        <f t="shared" si="17"/>
        <v/>
      </c>
      <c r="K268" s="2" t="str">
        <f t="shared" si="18"/>
        <v/>
      </c>
      <c r="L268" s="2" t="str">
        <f t="shared" si="20"/>
        <v/>
      </c>
      <c r="M268" s="2" t="str">
        <f t="shared" si="19"/>
        <v/>
      </c>
      <c r="N268" s="5"/>
      <c r="P268" t="s">
        <v>26</v>
      </c>
    </row>
    <row r="269" spans="2:16" x14ac:dyDescent="0.3">
      <c r="B269" s="16"/>
      <c r="C269" s="18"/>
      <c r="D269" s="104"/>
      <c r="E269" s="101"/>
      <c r="F269" s="101"/>
      <c r="G269" s="17" t="str">
        <f t="shared" si="17"/>
        <v/>
      </c>
      <c r="K269" s="2" t="str">
        <f t="shared" si="18"/>
        <v/>
      </c>
      <c r="L269" s="2" t="str">
        <f t="shared" si="20"/>
        <v/>
      </c>
      <c r="M269" s="2" t="str">
        <f t="shared" si="19"/>
        <v/>
      </c>
      <c r="N269" s="5"/>
      <c r="P269" t="s">
        <v>26</v>
      </c>
    </row>
    <row r="270" spans="2:16" x14ac:dyDescent="0.3">
      <c r="B270" s="16"/>
      <c r="C270" s="18"/>
      <c r="D270" s="104"/>
      <c r="E270" s="101"/>
      <c r="F270" s="101"/>
      <c r="G270" s="17" t="str">
        <f t="shared" si="17"/>
        <v/>
      </c>
      <c r="K270" s="2" t="str">
        <f t="shared" si="18"/>
        <v/>
      </c>
      <c r="L270" s="2" t="str">
        <f t="shared" si="20"/>
        <v/>
      </c>
      <c r="M270" s="2" t="str">
        <f t="shared" si="19"/>
        <v/>
      </c>
      <c r="N270" s="5"/>
      <c r="P270" t="s">
        <v>26</v>
      </c>
    </row>
    <row r="271" spans="2:16" x14ac:dyDescent="0.3">
      <c r="B271" s="16"/>
      <c r="C271" s="18"/>
      <c r="D271" s="104"/>
      <c r="E271" s="101"/>
      <c r="F271" s="101"/>
      <c r="G271" s="17" t="str">
        <f t="shared" si="17"/>
        <v/>
      </c>
      <c r="K271" s="2" t="str">
        <f t="shared" si="18"/>
        <v/>
      </c>
      <c r="L271" s="2" t="str">
        <f t="shared" si="20"/>
        <v/>
      </c>
      <c r="M271" s="2" t="str">
        <f t="shared" si="19"/>
        <v/>
      </c>
      <c r="N271" s="5"/>
      <c r="P271" t="s">
        <v>26</v>
      </c>
    </row>
    <row r="272" spans="2:16" x14ac:dyDescent="0.3">
      <c r="B272" s="16"/>
      <c r="C272" s="18"/>
      <c r="D272" s="104"/>
      <c r="E272" s="101"/>
      <c r="F272" s="101"/>
      <c r="G272" s="17" t="str">
        <f t="shared" si="17"/>
        <v/>
      </c>
      <c r="K272" s="2" t="str">
        <f t="shared" si="18"/>
        <v/>
      </c>
      <c r="L272" s="2" t="str">
        <f t="shared" si="20"/>
        <v/>
      </c>
      <c r="M272" s="2" t="str">
        <f t="shared" si="19"/>
        <v/>
      </c>
      <c r="N272" s="5"/>
      <c r="P272" t="s">
        <v>26</v>
      </c>
    </row>
    <row r="273" spans="2:16" x14ac:dyDescent="0.3">
      <c r="B273" s="16"/>
      <c r="C273" s="18"/>
      <c r="D273" s="104"/>
      <c r="E273" s="101"/>
      <c r="F273" s="101"/>
      <c r="G273" s="17" t="str">
        <f t="shared" si="17"/>
        <v/>
      </c>
      <c r="K273" s="2" t="str">
        <f t="shared" si="18"/>
        <v/>
      </c>
      <c r="L273" s="2" t="str">
        <f t="shared" si="20"/>
        <v/>
      </c>
      <c r="M273" s="2" t="str">
        <f t="shared" si="19"/>
        <v/>
      </c>
      <c r="N273" s="5"/>
      <c r="P273" t="s">
        <v>26</v>
      </c>
    </row>
    <row r="274" spans="2:16" x14ac:dyDescent="0.3">
      <c r="B274" s="16"/>
      <c r="C274" s="18"/>
      <c r="D274" s="104"/>
      <c r="E274" s="101"/>
      <c r="F274" s="101"/>
      <c r="G274" s="17" t="str">
        <f t="shared" si="17"/>
        <v/>
      </c>
      <c r="K274" s="2" t="str">
        <f t="shared" si="18"/>
        <v/>
      </c>
      <c r="L274" s="2" t="str">
        <f t="shared" si="20"/>
        <v/>
      </c>
      <c r="M274" s="2" t="str">
        <f t="shared" si="19"/>
        <v/>
      </c>
      <c r="N274" s="5"/>
      <c r="P274" t="s">
        <v>26</v>
      </c>
    </row>
    <row r="275" spans="2:16" x14ac:dyDescent="0.3">
      <c r="B275" s="16"/>
      <c r="C275" s="18"/>
      <c r="D275" s="104"/>
      <c r="E275" s="101"/>
      <c r="F275" s="101"/>
      <c r="G275" s="17" t="str">
        <f t="shared" si="17"/>
        <v/>
      </c>
      <c r="K275" s="2" t="str">
        <f t="shared" si="18"/>
        <v/>
      </c>
      <c r="L275" s="2" t="str">
        <f t="shared" si="20"/>
        <v/>
      </c>
      <c r="M275" s="2" t="str">
        <f t="shared" si="19"/>
        <v/>
      </c>
      <c r="N275" s="5"/>
      <c r="P275" t="s">
        <v>26</v>
      </c>
    </row>
    <row r="276" spans="2:16" x14ac:dyDescent="0.3">
      <c r="B276" s="16"/>
      <c r="C276" s="18"/>
      <c r="D276" s="104"/>
      <c r="E276" s="101"/>
      <c r="F276" s="101"/>
      <c r="G276" s="17" t="str">
        <f t="shared" si="17"/>
        <v/>
      </c>
      <c r="K276" s="2" t="str">
        <f t="shared" si="18"/>
        <v/>
      </c>
      <c r="L276" s="2" t="str">
        <f t="shared" si="20"/>
        <v/>
      </c>
      <c r="M276" s="2" t="str">
        <f t="shared" si="19"/>
        <v/>
      </c>
      <c r="N276" s="5"/>
      <c r="P276" t="s">
        <v>26</v>
      </c>
    </row>
    <row r="277" spans="2:16" x14ac:dyDescent="0.3">
      <c r="B277" s="16"/>
      <c r="C277" s="18"/>
      <c r="D277" s="104"/>
      <c r="E277" s="101"/>
      <c r="F277" s="101"/>
      <c r="G277" s="17" t="str">
        <f t="shared" si="17"/>
        <v/>
      </c>
      <c r="K277" s="2" t="str">
        <f t="shared" si="18"/>
        <v/>
      </c>
      <c r="L277" s="2" t="str">
        <f t="shared" si="20"/>
        <v/>
      </c>
      <c r="M277" s="2" t="str">
        <f t="shared" si="19"/>
        <v/>
      </c>
      <c r="N277" s="5"/>
      <c r="P277" t="s">
        <v>26</v>
      </c>
    </row>
    <row r="278" spans="2:16" x14ac:dyDescent="0.3">
      <c r="B278" s="16"/>
      <c r="C278" s="18"/>
      <c r="D278" s="104"/>
      <c r="E278" s="101"/>
      <c r="F278" s="101"/>
      <c r="G278" s="17" t="str">
        <f t="shared" si="17"/>
        <v/>
      </c>
      <c r="K278" s="2" t="str">
        <f t="shared" si="18"/>
        <v/>
      </c>
      <c r="L278" s="2" t="str">
        <f t="shared" si="20"/>
        <v/>
      </c>
      <c r="M278" s="2" t="str">
        <f t="shared" si="19"/>
        <v/>
      </c>
      <c r="N278" s="5"/>
      <c r="P278" t="s">
        <v>26</v>
      </c>
    </row>
    <row r="279" spans="2:16" x14ac:dyDescent="0.3">
      <c r="B279" s="16"/>
      <c r="C279" s="18"/>
      <c r="D279" s="104"/>
      <c r="E279" s="101"/>
      <c r="F279" s="101"/>
      <c r="G279" s="17" t="str">
        <f t="shared" si="17"/>
        <v/>
      </c>
      <c r="K279" s="2" t="str">
        <f t="shared" si="18"/>
        <v/>
      </c>
      <c r="L279" s="2" t="str">
        <f t="shared" si="20"/>
        <v/>
      </c>
      <c r="M279" s="2" t="str">
        <f t="shared" si="19"/>
        <v/>
      </c>
      <c r="N279" s="5"/>
      <c r="P279" t="s">
        <v>26</v>
      </c>
    </row>
    <row r="280" spans="2:16" x14ac:dyDescent="0.3">
      <c r="B280" s="16"/>
      <c r="C280" s="18"/>
      <c r="D280" s="104"/>
      <c r="E280" s="101"/>
      <c r="F280" s="101"/>
      <c r="G280" s="17" t="str">
        <f t="shared" si="17"/>
        <v/>
      </c>
      <c r="K280" s="2" t="str">
        <f t="shared" si="18"/>
        <v/>
      </c>
      <c r="L280" s="2" t="str">
        <f t="shared" si="20"/>
        <v/>
      </c>
      <c r="M280" s="2" t="str">
        <f t="shared" si="19"/>
        <v/>
      </c>
      <c r="N280" s="5"/>
      <c r="P280" t="s">
        <v>26</v>
      </c>
    </row>
    <row r="281" spans="2:16" x14ac:dyDescent="0.3">
      <c r="B281" s="16"/>
      <c r="C281" s="18"/>
      <c r="D281" s="104"/>
      <c r="E281" s="101"/>
      <c r="F281" s="101"/>
      <c r="G281" s="17" t="str">
        <f t="shared" si="17"/>
        <v/>
      </c>
      <c r="K281" s="2" t="str">
        <f t="shared" si="18"/>
        <v/>
      </c>
      <c r="L281" s="2" t="str">
        <f t="shared" si="20"/>
        <v/>
      </c>
      <c r="M281" s="2" t="str">
        <f t="shared" si="19"/>
        <v/>
      </c>
      <c r="N281" s="5"/>
      <c r="P281" t="s">
        <v>26</v>
      </c>
    </row>
    <row r="282" spans="2:16" x14ac:dyDescent="0.3">
      <c r="B282" s="16"/>
      <c r="C282" s="18"/>
      <c r="D282" s="104"/>
      <c r="E282" s="101"/>
      <c r="F282" s="101"/>
      <c r="G282" s="17" t="str">
        <f t="shared" si="17"/>
        <v/>
      </c>
      <c r="K282" s="2" t="str">
        <f t="shared" si="18"/>
        <v/>
      </c>
      <c r="L282" s="2" t="str">
        <f t="shared" si="20"/>
        <v/>
      </c>
      <c r="M282" s="2" t="str">
        <f t="shared" si="19"/>
        <v/>
      </c>
      <c r="N282" s="5"/>
      <c r="P282" t="s">
        <v>26</v>
      </c>
    </row>
    <row r="283" spans="2:16" x14ac:dyDescent="0.3">
      <c r="B283" s="16"/>
      <c r="C283" s="18"/>
      <c r="D283" s="104"/>
      <c r="E283" s="101"/>
      <c r="F283" s="101"/>
      <c r="G283" s="17" t="str">
        <f t="shared" si="17"/>
        <v/>
      </c>
      <c r="K283" s="2" t="str">
        <f t="shared" si="18"/>
        <v/>
      </c>
      <c r="L283" s="2" t="str">
        <f t="shared" si="20"/>
        <v/>
      </c>
      <c r="M283" s="2" t="str">
        <f t="shared" si="19"/>
        <v/>
      </c>
      <c r="N283" s="5"/>
      <c r="P283" t="s">
        <v>26</v>
      </c>
    </row>
    <row r="284" spans="2:16" x14ac:dyDescent="0.3">
      <c r="B284" s="16"/>
      <c r="C284" s="18"/>
      <c r="D284" s="104"/>
      <c r="E284" s="101"/>
      <c r="F284" s="101"/>
      <c r="G284" s="17" t="str">
        <f t="shared" si="17"/>
        <v/>
      </c>
      <c r="K284" s="2" t="str">
        <f t="shared" si="18"/>
        <v/>
      </c>
      <c r="L284" s="2" t="str">
        <f t="shared" si="20"/>
        <v/>
      </c>
      <c r="M284" s="2" t="str">
        <f t="shared" si="19"/>
        <v/>
      </c>
      <c r="N284" s="5"/>
      <c r="P284" t="s">
        <v>26</v>
      </c>
    </row>
    <row r="285" spans="2:16" x14ac:dyDescent="0.3">
      <c r="B285" s="16"/>
      <c r="C285" s="18"/>
      <c r="D285" s="104"/>
      <c r="E285" s="101"/>
      <c r="F285" s="101"/>
      <c r="G285" s="17" t="str">
        <f t="shared" si="17"/>
        <v/>
      </c>
      <c r="K285" s="2" t="str">
        <f t="shared" si="18"/>
        <v/>
      </c>
      <c r="L285" s="2" t="str">
        <f t="shared" si="20"/>
        <v/>
      </c>
      <c r="M285" s="2" t="str">
        <f t="shared" si="19"/>
        <v/>
      </c>
      <c r="N285" s="5"/>
      <c r="P285" t="s">
        <v>26</v>
      </c>
    </row>
    <row r="286" spans="2:16" x14ac:dyDescent="0.3">
      <c r="B286" s="16"/>
      <c r="C286" s="18"/>
      <c r="D286" s="104"/>
      <c r="E286" s="101"/>
      <c r="F286" s="101"/>
      <c r="G286" s="17" t="str">
        <f t="shared" si="17"/>
        <v/>
      </c>
      <c r="K286" s="2" t="str">
        <f t="shared" si="18"/>
        <v/>
      </c>
      <c r="L286" s="2" t="str">
        <f t="shared" si="20"/>
        <v/>
      </c>
      <c r="M286" s="2" t="str">
        <f t="shared" si="19"/>
        <v/>
      </c>
      <c r="N286" s="5"/>
      <c r="P286" t="s">
        <v>26</v>
      </c>
    </row>
    <row r="287" spans="2:16" x14ac:dyDescent="0.3">
      <c r="B287" s="16"/>
      <c r="C287" s="18"/>
      <c r="D287" s="104"/>
      <c r="E287" s="101"/>
      <c r="F287" s="101"/>
      <c r="G287" s="17" t="str">
        <f t="shared" si="17"/>
        <v/>
      </c>
      <c r="K287" s="2" t="str">
        <f t="shared" si="18"/>
        <v/>
      </c>
      <c r="L287" s="2" t="str">
        <f t="shared" si="20"/>
        <v/>
      </c>
      <c r="M287" s="2" t="str">
        <f t="shared" si="19"/>
        <v/>
      </c>
      <c r="N287" s="5"/>
      <c r="P287" t="s">
        <v>26</v>
      </c>
    </row>
    <row r="288" spans="2:16" x14ac:dyDescent="0.3">
      <c r="B288" s="16"/>
      <c r="C288" s="18"/>
      <c r="D288" s="104"/>
      <c r="E288" s="101"/>
      <c r="F288" s="101"/>
      <c r="G288" s="17" t="str">
        <f t="shared" si="17"/>
        <v/>
      </c>
      <c r="K288" s="2" t="str">
        <f t="shared" si="18"/>
        <v/>
      </c>
      <c r="L288" s="2" t="str">
        <f t="shared" si="20"/>
        <v/>
      </c>
      <c r="M288" s="2" t="str">
        <f t="shared" si="19"/>
        <v/>
      </c>
      <c r="N288" s="5"/>
      <c r="P288" t="s">
        <v>26</v>
      </c>
    </row>
    <row r="289" spans="2:16" x14ac:dyDescent="0.3">
      <c r="B289" s="16"/>
      <c r="C289" s="18"/>
      <c r="D289" s="104"/>
      <c r="E289" s="101"/>
      <c r="F289" s="101"/>
      <c r="G289" s="17" t="str">
        <f t="shared" si="17"/>
        <v/>
      </c>
      <c r="K289" s="2" t="str">
        <f t="shared" si="18"/>
        <v/>
      </c>
      <c r="L289" s="2" t="str">
        <f t="shared" si="20"/>
        <v/>
      </c>
      <c r="M289" s="2" t="str">
        <f t="shared" si="19"/>
        <v/>
      </c>
      <c r="N289" s="5"/>
      <c r="P289" t="s">
        <v>26</v>
      </c>
    </row>
    <row r="290" spans="2:16" x14ac:dyDescent="0.3">
      <c r="B290" s="16"/>
      <c r="C290" s="18"/>
      <c r="D290" s="104"/>
      <c r="E290" s="101"/>
      <c r="F290" s="101"/>
      <c r="G290" s="17" t="str">
        <f t="shared" si="17"/>
        <v/>
      </c>
      <c r="K290" s="2" t="str">
        <f t="shared" si="18"/>
        <v/>
      </c>
      <c r="L290" s="2" t="str">
        <f t="shared" si="20"/>
        <v/>
      </c>
      <c r="M290" s="2" t="str">
        <f t="shared" si="19"/>
        <v/>
      </c>
      <c r="N290" s="5"/>
      <c r="P290" t="s">
        <v>26</v>
      </c>
    </row>
    <row r="291" spans="2:16" x14ac:dyDescent="0.3">
      <c r="B291" s="16"/>
      <c r="C291" s="18"/>
      <c r="D291" s="104"/>
      <c r="E291" s="101"/>
      <c r="F291" s="101"/>
      <c r="G291" s="17" t="str">
        <f t="shared" si="17"/>
        <v/>
      </c>
      <c r="K291" s="2" t="str">
        <f t="shared" si="18"/>
        <v/>
      </c>
      <c r="L291" s="2" t="str">
        <f t="shared" si="20"/>
        <v/>
      </c>
      <c r="M291" s="2" t="str">
        <f t="shared" si="19"/>
        <v/>
      </c>
      <c r="N291" s="5"/>
      <c r="P291" t="s">
        <v>26</v>
      </c>
    </row>
    <row r="292" spans="2:16" x14ac:dyDescent="0.3">
      <c r="B292" s="16"/>
      <c r="C292" s="18"/>
      <c r="D292" s="104"/>
      <c r="E292" s="101"/>
      <c r="F292" s="101"/>
      <c r="G292" s="17" t="str">
        <f t="shared" si="17"/>
        <v/>
      </c>
      <c r="K292" s="2" t="str">
        <f t="shared" si="18"/>
        <v/>
      </c>
      <c r="L292" s="2" t="str">
        <f t="shared" si="20"/>
        <v/>
      </c>
      <c r="M292" s="2" t="str">
        <f t="shared" si="19"/>
        <v/>
      </c>
      <c r="N292" s="5"/>
      <c r="P292" t="s">
        <v>26</v>
      </c>
    </row>
    <row r="293" spans="2:16" x14ac:dyDescent="0.3">
      <c r="B293" s="16"/>
      <c r="C293" s="18"/>
      <c r="D293" s="104"/>
      <c r="E293" s="101"/>
      <c r="F293" s="101"/>
      <c r="G293" s="17" t="str">
        <f t="shared" si="17"/>
        <v/>
      </c>
      <c r="K293" s="2" t="str">
        <f t="shared" si="18"/>
        <v/>
      </c>
      <c r="L293" s="2" t="str">
        <f t="shared" si="20"/>
        <v/>
      </c>
      <c r="M293" s="2" t="str">
        <f t="shared" si="19"/>
        <v/>
      </c>
      <c r="N293" s="5"/>
      <c r="P293" t="s">
        <v>26</v>
      </c>
    </row>
    <row r="294" spans="2:16" x14ac:dyDescent="0.3">
      <c r="B294" s="16"/>
      <c r="C294" s="18"/>
      <c r="D294" s="104"/>
      <c r="E294" s="101"/>
      <c r="F294" s="101"/>
      <c r="G294" s="17" t="str">
        <f t="shared" si="17"/>
        <v/>
      </c>
      <c r="K294" s="2" t="str">
        <f t="shared" si="18"/>
        <v/>
      </c>
      <c r="L294" s="2" t="str">
        <f t="shared" si="20"/>
        <v/>
      </c>
      <c r="M294" s="2" t="str">
        <f t="shared" si="19"/>
        <v/>
      </c>
      <c r="N294" s="5"/>
      <c r="P294" t="s">
        <v>26</v>
      </c>
    </row>
    <row r="295" spans="2:16" x14ac:dyDescent="0.3">
      <c r="B295" s="16"/>
      <c r="C295" s="18"/>
      <c r="D295" s="104"/>
      <c r="E295" s="101"/>
      <c r="F295" s="101"/>
      <c r="G295" s="17" t="str">
        <f t="shared" si="17"/>
        <v/>
      </c>
      <c r="K295" s="2" t="str">
        <f t="shared" si="18"/>
        <v/>
      </c>
      <c r="L295" s="2" t="str">
        <f t="shared" si="20"/>
        <v/>
      </c>
      <c r="M295" s="2" t="str">
        <f t="shared" si="19"/>
        <v/>
      </c>
      <c r="N295" s="5"/>
      <c r="P295" t="s">
        <v>26</v>
      </c>
    </row>
    <row r="296" spans="2:16" x14ac:dyDescent="0.3">
      <c r="B296" s="16"/>
      <c r="C296" s="18"/>
      <c r="D296" s="104"/>
      <c r="E296" s="101"/>
      <c r="F296" s="101"/>
      <c r="G296" s="17" t="str">
        <f t="shared" si="17"/>
        <v/>
      </c>
      <c r="K296" s="2" t="str">
        <f t="shared" si="18"/>
        <v/>
      </c>
      <c r="L296" s="2" t="str">
        <f t="shared" si="20"/>
        <v/>
      </c>
      <c r="M296" s="2" t="str">
        <f t="shared" si="19"/>
        <v/>
      </c>
      <c r="N296" s="5"/>
      <c r="P296" t="s">
        <v>26</v>
      </c>
    </row>
    <row r="297" spans="2:16" x14ac:dyDescent="0.3">
      <c r="B297" s="16"/>
      <c r="C297" s="18"/>
      <c r="D297" s="104"/>
      <c r="E297" s="101"/>
      <c r="F297" s="101"/>
      <c r="G297" s="17" t="str">
        <f t="shared" si="17"/>
        <v/>
      </c>
      <c r="K297" s="2" t="str">
        <f t="shared" si="18"/>
        <v/>
      </c>
      <c r="L297" s="2" t="str">
        <f t="shared" si="20"/>
        <v/>
      </c>
      <c r="M297" s="2" t="str">
        <f t="shared" si="19"/>
        <v/>
      </c>
      <c r="N297" s="5"/>
      <c r="P297" t="s">
        <v>26</v>
      </c>
    </row>
    <row r="298" spans="2:16" x14ac:dyDescent="0.3">
      <c r="B298" s="16"/>
      <c r="C298" s="18"/>
      <c r="D298" s="104"/>
      <c r="E298" s="101"/>
      <c r="F298" s="101"/>
      <c r="G298" s="17" t="str">
        <f t="shared" si="17"/>
        <v/>
      </c>
      <c r="K298" s="2" t="str">
        <f t="shared" si="18"/>
        <v/>
      </c>
      <c r="L298" s="2" t="str">
        <f t="shared" si="20"/>
        <v/>
      </c>
      <c r="M298" s="2" t="str">
        <f t="shared" si="19"/>
        <v/>
      </c>
      <c r="N298" s="5"/>
      <c r="P298" t="s">
        <v>26</v>
      </c>
    </row>
    <row r="299" spans="2:16" x14ac:dyDescent="0.3">
      <c r="B299" s="16"/>
      <c r="C299" s="18"/>
      <c r="D299" s="104"/>
      <c r="E299" s="101"/>
      <c r="F299" s="101"/>
      <c r="G299" s="17" t="str">
        <f t="shared" si="17"/>
        <v/>
      </c>
      <c r="K299" s="2" t="str">
        <f t="shared" si="18"/>
        <v/>
      </c>
      <c r="L299" s="2" t="str">
        <f t="shared" si="20"/>
        <v/>
      </c>
      <c r="M299" s="2" t="str">
        <f t="shared" si="19"/>
        <v/>
      </c>
      <c r="N299" s="5"/>
      <c r="P299" t="s">
        <v>26</v>
      </c>
    </row>
    <row r="300" spans="2:16" x14ac:dyDescent="0.3">
      <c r="B300" s="16"/>
      <c r="C300" s="18"/>
      <c r="D300" s="104"/>
      <c r="E300" s="101"/>
      <c r="F300" s="101"/>
      <c r="G300" s="17" t="str">
        <f t="shared" si="17"/>
        <v/>
      </c>
      <c r="K300" s="2" t="str">
        <f t="shared" si="18"/>
        <v/>
      </c>
      <c r="L300" s="2" t="str">
        <f t="shared" si="20"/>
        <v/>
      </c>
      <c r="M300" s="2" t="str">
        <f t="shared" si="19"/>
        <v/>
      </c>
      <c r="N300" s="5"/>
      <c r="P300" t="s">
        <v>26</v>
      </c>
    </row>
    <row r="301" spans="2:16" x14ac:dyDescent="0.3">
      <c r="B301" s="16"/>
      <c r="C301" s="18"/>
      <c r="D301" s="104"/>
      <c r="E301" s="101"/>
      <c r="F301" s="101"/>
      <c r="G301" s="17" t="str">
        <f t="shared" si="17"/>
        <v/>
      </c>
      <c r="K301" s="2" t="str">
        <f t="shared" si="18"/>
        <v/>
      </c>
      <c r="L301" s="2" t="str">
        <f t="shared" si="20"/>
        <v/>
      </c>
      <c r="M301" s="2" t="str">
        <f t="shared" si="19"/>
        <v/>
      </c>
      <c r="N301" s="5"/>
      <c r="P301" t="s">
        <v>26</v>
      </c>
    </row>
    <row r="302" spans="2:16" x14ac:dyDescent="0.3">
      <c r="B302" s="16"/>
      <c r="C302" s="18"/>
      <c r="D302" s="104"/>
      <c r="E302" s="101"/>
      <c r="F302" s="101"/>
      <c r="G302" s="17" t="str">
        <f t="shared" si="17"/>
        <v/>
      </c>
      <c r="K302" s="2" t="str">
        <f t="shared" si="18"/>
        <v/>
      </c>
      <c r="L302" s="2" t="str">
        <f t="shared" si="20"/>
        <v/>
      </c>
      <c r="M302" s="2" t="str">
        <f t="shared" si="19"/>
        <v/>
      </c>
      <c r="N302" s="5"/>
      <c r="P302" t="s">
        <v>26</v>
      </c>
    </row>
    <row r="303" spans="2:16" x14ac:dyDescent="0.3">
      <c r="B303" s="16"/>
      <c r="C303" s="18"/>
      <c r="D303" s="104"/>
      <c r="E303" s="101"/>
      <c r="F303" s="101"/>
      <c r="G303" s="17" t="str">
        <f t="shared" si="17"/>
        <v/>
      </c>
      <c r="K303" s="2" t="str">
        <f t="shared" si="18"/>
        <v/>
      </c>
      <c r="L303" s="2" t="str">
        <f t="shared" si="20"/>
        <v/>
      </c>
      <c r="M303" s="2" t="str">
        <f t="shared" si="19"/>
        <v/>
      </c>
      <c r="N303" s="5"/>
      <c r="P303" t="s">
        <v>26</v>
      </c>
    </row>
    <row r="304" spans="2:16" x14ac:dyDescent="0.3">
      <c r="B304" s="16"/>
      <c r="C304" s="18"/>
      <c r="D304" s="104"/>
      <c r="E304" s="101"/>
      <c r="F304" s="101"/>
      <c r="G304" s="17" t="str">
        <f t="shared" si="17"/>
        <v/>
      </c>
      <c r="K304" s="2" t="str">
        <f t="shared" si="18"/>
        <v/>
      </c>
      <c r="L304" s="2" t="str">
        <f t="shared" si="20"/>
        <v/>
      </c>
      <c r="M304" s="2" t="str">
        <f t="shared" si="19"/>
        <v/>
      </c>
      <c r="N304" s="5"/>
      <c r="P304" t="s">
        <v>26</v>
      </c>
    </row>
    <row r="305" spans="2:16" x14ac:dyDescent="0.3">
      <c r="B305" s="16"/>
      <c r="C305" s="18"/>
      <c r="D305" s="104"/>
      <c r="E305" s="101"/>
      <c r="F305" s="101"/>
      <c r="G305" s="17" t="str">
        <f t="shared" si="17"/>
        <v/>
      </c>
      <c r="K305" s="2" t="str">
        <f t="shared" si="18"/>
        <v/>
      </c>
      <c r="L305" s="2" t="str">
        <f t="shared" si="20"/>
        <v/>
      </c>
      <c r="M305" s="2" t="str">
        <f t="shared" si="19"/>
        <v/>
      </c>
      <c r="N305" s="5"/>
      <c r="P305" t="s">
        <v>26</v>
      </c>
    </row>
    <row r="306" spans="2:16" x14ac:dyDescent="0.3">
      <c r="B306" s="16"/>
      <c r="C306" s="18"/>
      <c r="D306" s="104"/>
      <c r="E306" s="101"/>
      <c r="F306" s="101"/>
      <c r="G306" s="17" t="str">
        <f t="shared" si="17"/>
        <v/>
      </c>
      <c r="K306" s="2" t="str">
        <f t="shared" si="18"/>
        <v/>
      </c>
      <c r="L306" s="2" t="str">
        <f t="shared" si="20"/>
        <v/>
      </c>
      <c r="M306" s="2" t="str">
        <f t="shared" si="19"/>
        <v/>
      </c>
      <c r="N306" s="5"/>
      <c r="P306" t="s">
        <v>26</v>
      </c>
    </row>
    <row r="307" spans="2:16" x14ac:dyDescent="0.3">
      <c r="B307" s="16"/>
      <c r="C307" s="18"/>
      <c r="D307" s="104"/>
      <c r="E307" s="101"/>
      <c r="F307" s="101"/>
      <c r="G307" s="17" t="str">
        <f t="shared" si="17"/>
        <v/>
      </c>
      <c r="K307" s="2" t="str">
        <f t="shared" si="18"/>
        <v/>
      </c>
      <c r="L307" s="2" t="str">
        <f t="shared" si="20"/>
        <v/>
      </c>
      <c r="M307" s="2" t="str">
        <f t="shared" si="19"/>
        <v/>
      </c>
      <c r="N307" s="5"/>
      <c r="P307" t="s">
        <v>26</v>
      </c>
    </row>
    <row r="308" spans="2:16" x14ac:dyDescent="0.3">
      <c r="B308" s="16"/>
      <c r="C308" s="18"/>
      <c r="D308" s="104"/>
      <c r="E308" s="101"/>
      <c r="F308" s="101"/>
      <c r="G308" s="17" t="str">
        <f t="shared" si="17"/>
        <v/>
      </c>
      <c r="K308" s="2" t="str">
        <f t="shared" si="18"/>
        <v/>
      </c>
      <c r="L308" s="2" t="str">
        <f t="shared" si="20"/>
        <v/>
      </c>
      <c r="M308" s="2" t="str">
        <f t="shared" si="19"/>
        <v/>
      </c>
      <c r="N308" s="5"/>
      <c r="P308" t="s">
        <v>26</v>
      </c>
    </row>
    <row r="309" spans="2:16" x14ac:dyDescent="0.3">
      <c r="B309" s="16"/>
      <c r="C309" s="18"/>
      <c r="D309" s="104"/>
      <c r="E309" s="101"/>
      <c r="F309" s="101"/>
      <c r="G309" s="17" t="str">
        <f t="shared" si="17"/>
        <v/>
      </c>
      <c r="K309" s="2" t="str">
        <f t="shared" si="18"/>
        <v/>
      </c>
      <c r="L309" s="2" t="str">
        <f t="shared" si="20"/>
        <v/>
      </c>
      <c r="M309" s="2" t="str">
        <f t="shared" si="19"/>
        <v/>
      </c>
      <c r="N309" s="5"/>
      <c r="P309" t="s">
        <v>26</v>
      </c>
    </row>
    <row r="310" spans="2:16" x14ac:dyDescent="0.3">
      <c r="B310" s="16"/>
      <c r="C310" s="18"/>
      <c r="D310" s="104"/>
      <c r="E310" s="101"/>
      <c r="F310" s="101"/>
      <c r="G310" s="17" t="str">
        <f t="shared" si="17"/>
        <v/>
      </c>
      <c r="K310" s="2" t="str">
        <f t="shared" si="18"/>
        <v/>
      </c>
      <c r="L310" s="2" t="str">
        <f t="shared" si="20"/>
        <v/>
      </c>
      <c r="M310" s="2" t="str">
        <f t="shared" si="19"/>
        <v/>
      </c>
      <c r="N310" s="5"/>
      <c r="P310" t="s">
        <v>26</v>
      </c>
    </row>
    <row r="311" spans="2:16" x14ac:dyDescent="0.3">
      <c r="B311" s="16"/>
      <c r="C311" s="18"/>
      <c r="D311" s="104"/>
      <c r="E311" s="101"/>
      <c r="F311" s="101"/>
      <c r="G311" s="17" t="str">
        <f t="shared" si="17"/>
        <v/>
      </c>
      <c r="K311" s="2" t="str">
        <f t="shared" si="18"/>
        <v/>
      </c>
      <c r="L311" s="2" t="str">
        <f t="shared" si="20"/>
        <v/>
      </c>
      <c r="M311" s="2" t="str">
        <f t="shared" si="19"/>
        <v/>
      </c>
      <c r="N311" s="5"/>
      <c r="P311" t="s">
        <v>26</v>
      </c>
    </row>
    <row r="312" spans="2:16" x14ac:dyDescent="0.3">
      <c r="B312" s="16"/>
      <c r="C312" s="18"/>
      <c r="D312" s="104"/>
      <c r="E312" s="101"/>
      <c r="F312" s="101"/>
      <c r="G312" s="17" t="str">
        <f t="shared" si="17"/>
        <v/>
      </c>
      <c r="K312" s="2" t="str">
        <f t="shared" si="18"/>
        <v/>
      </c>
      <c r="L312" s="2" t="str">
        <f t="shared" si="20"/>
        <v/>
      </c>
      <c r="M312" s="2" t="str">
        <f t="shared" si="19"/>
        <v/>
      </c>
      <c r="N312" s="5"/>
      <c r="P312" t="s">
        <v>26</v>
      </c>
    </row>
    <row r="313" spans="2:16" x14ac:dyDescent="0.3">
      <c r="B313" s="16"/>
      <c r="C313" s="18"/>
      <c r="D313" s="104"/>
      <c r="E313" s="101"/>
      <c r="F313" s="101"/>
      <c r="G313" s="17" t="str">
        <f t="shared" si="17"/>
        <v/>
      </c>
      <c r="K313" s="2" t="str">
        <f t="shared" si="18"/>
        <v/>
      </c>
      <c r="L313" s="2" t="str">
        <f t="shared" si="20"/>
        <v/>
      </c>
      <c r="M313" s="2" t="str">
        <f t="shared" si="19"/>
        <v/>
      </c>
      <c r="N313" s="5"/>
      <c r="P313" t="s">
        <v>26</v>
      </c>
    </row>
    <row r="314" spans="2:16" x14ac:dyDescent="0.3">
      <c r="B314" s="16"/>
      <c r="C314" s="18"/>
      <c r="D314" s="104"/>
      <c r="E314" s="101"/>
      <c r="F314" s="101"/>
      <c r="G314" s="17" t="str">
        <f t="shared" si="17"/>
        <v/>
      </c>
      <c r="K314" s="2" t="str">
        <f t="shared" si="18"/>
        <v/>
      </c>
      <c r="L314" s="2" t="str">
        <f t="shared" si="20"/>
        <v/>
      </c>
      <c r="M314" s="2" t="str">
        <f t="shared" si="19"/>
        <v/>
      </c>
      <c r="N314" s="5"/>
      <c r="P314" t="s">
        <v>26</v>
      </c>
    </row>
    <row r="315" spans="2:16" x14ac:dyDescent="0.3">
      <c r="B315" s="16"/>
      <c r="C315" s="18"/>
      <c r="D315" s="104"/>
      <c r="E315" s="101"/>
      <c r="F315" s="101"/>
      <c r="G315" s="17" t="str">
        <f t="shared" si="17"/>
        <v/>
      </c>
      <c r="K315" s="2" t="str">
        <f t="shared" si="18"/>
        <v/>
      </c>
      <c r="L315" s="2" t="str">
        <f t="shared" si="20"/>
        <v/>
      </c>
      <c r="M315" s="2" t="str">
        <f t="shared" si="19"/>
        <v/>
      </c>
      <c r="N315" s="5"/>
      <c r="P315" t="s">
        <v>26</v>
      </c>
    </row>
    <row r="316" spans="2:16" x14ac:dyDescent="0.3">
      <c r="B316" s="16"/>
      <c r="C316" s="18"/>
      <c r="D316" s="104"/>
      <c r="E316" s="101"/>
      <c r="F316" s="101"/>
      <c r="G316" s="17" t="str">
        <f t="shared" si="17"/>
        <v/>
      </c>
      <c r="K316" s="2" t="str">
        <f t="shared" si="18"/>
        <v/>
      </c>
      <c r="L316" s="2" t="str">
        <f t="shared" si="20"/>
        <v/>
      </c>
      <c r="M316" s="2" t="str">
        <f t="shared" si="19"/>
        <v/>
      </c>
      <c r="N316" s="5"/>
      <c r="P316" t="s">
        <v>26</v>
      </c>
    </row>
    <row r="317" spans="2:16" x14ac:dyDescent="0.3">
      <c r="B317" s="16"/>
      <c r="C317" s="18"/>
      <c r="D317" s="104"/>
      <c r="E317" s="101"/>
      <c r="F317" s="101"/>
      <c r="G317" s="17" t="str">
        <f t="shared" si="17"/>
        <v/>
      </c>
      <c r="K317" s="2" t="str">
        <f t="shared" si="18"/>
        <v/>
      </c>
      <c r="L317" s="2" t="str">
        <f t="shared" si="20"/>
        <v/>
      </c>
      <c r="M317" s="2" t="str">
        <f t="shared" si="19"/>
        <v/>
      </c>
      <c r="N317" s="5"/>
      <c r="P317" t="s">
        <v>26</v>
      </c>
    </row>
    <row r="318" spans="2:16" x14ac:dyDescent="0.3">
      <c r="B318" s="16"/>
      <c r="C318" s="18"/>
      <c r="D318" s="104"/>
      <c r="E318" s="101"/>
      <c r="F318" s="101"/>
      <c r="G318" s="17" t="str">
        <f t="shared" si="17"/>
        <v/>
      </c>
      <c r="K318" s="2" t="str">
        <f t="shared" si="18"/>
        <v/>
      </c>
      <c r="L318" s="2" t="str">
        <f t="shared" si="20"/>
        <v/>
      </c>
      <c r="M318" s="2" t="str">
        <f t="shared" si="19"/>
        <v/>
      </c>
      <c r="N318" s="5"/>
      <c r="P318" t="s">
        <v>26</v>
      </c>
    </row>
    <row r="319" spans="2:16" x14ac:dyDescent="0.3">
      <c r="B319" s="16"/>
      <c r="C319" s="18"/>
      <c r="D319" s="104"/>
      <c r="E319" s="101"/>
      <c r="F319" s="101"/>
      <c r="G319" s="17" t="str">
        <f t="shared" si="17"/>
        <v/>
      </c>
      <c r="K319" s="2" t="str">
        <f t="shared" si="18"/>
        <v/>
      </c>
      <c r="L319" s="2" t="str">
        <f t="shared" si="20"/>
        <v/>
      </c>
      <c r="M319" s="2" t="str">
        <f t="shared" si="19"/>
        <v/>
      </c>
      <c r="N319" s="5"/>
      <c r="P319" t="s">
        <v>26</v>
      </c>
    </row>
    <row r="320" spans="2:16" x14ac:dyDescent="0.3">
      <c r="B320" s="16"/>
      <c r="C320" s="18"/>
      <c r="D320" s="104"/>
      <c r="E320" s="101"/>
      <c r="F320" s="101"/>
      <c r="G320" s="17" t="str">
        <f t="shared" si="17"/>
        <v/>
      </c>
      <c r="K320" s="2" t="str">
        <f t="shared" si="18"/>
        <v/>
      </c>
      <c r="L320" s="2" t="str">
        <f t="shared" si="20"/>
        <v/>
      </c>
      <c r="M320" s="2" t="str">
        <f t="shared" si="19"/>
        <v/>
      </c>
      <c r="N320" s="5"/>
      <c r="P320" t="s">
        <v>26</v>
      </c>
    </row>
    <row r="321" spans="2:16" x14ac:dyDescent="0.3">
      <c r="B321" s="16"/>
      <c r="C321" s="18"/>
      <c r="D321" s="104"/>
      <c r="E321" s="101"/>
      <c r="F321" s="101"/>
      <c r="G321" s="17" t="str">
        <f t="shared" si="17"/>
        <v/>
      </c>
      <c r="K321" s="2" t="str">
        <f t="shared" si="18"/>
        <v/>
      </c>
      <c r="L321" s="2" t="str">
        <f t="shared" si="20"/>
        <v/>
      </c>
      <c r="M321" s="2" t="str">
        <f t="shared" si="19"/>
        <v/>
      </c>
      <c r="N321" s="5"/>
      <c r="P321" t="s">
        <v>26</v>
      </c>
    </row>
    <row r="322" spans="2:16" x14ac:dyDescent="0.3">
      <c r="B322" s="16"/>
      <c r="C322" s="18"/>
      <c r="D322" s="104"/>
      <c r="E322" s="101"/>
      <c r="F322" s="101"/>
      <c r="G322" s="17" t="str">
        <f t="shared" si="17"/>
        <v/>
      </c>
      <c r="K322" s="2" t="str">
        <f t="shared" si="18"/>
        <v/>
      </c>
      <c r="L322" s="2" t="str">
        <f t="shared" si="20"/>
        <v/>
      </c>
      <c r="M322" s="2" t="str">
        <f t="shared" si="19"/>
        <v/>
      </c>
      <c r="N322" s="5"/>
      <c r="P322" t="s">
        <v>26</v>
      </c>
    </row>
    <row r="323" spans="2:16" x14ac:dyDescent="0.3">
      <c r="B323" s="16"/>
      <c r="C323" s="18"/>
      <c r="D323" s="104"/>
      <c r="E323" s="101"/>
      <c r="F323" s="101"/>
      <c r="G323" s="17" t="str">
        <f t="shared" si="17"/>
        <v/>
      </c>
      <c r="K323" s="2" t="str">
        <f t="shared" si="18"/>
        <v/>
      </c>
      <c r="L323" s="2" t="str">
        <f t="shared" si="20"/>
        <v/>
      </c>
      <c r="M323" s="2" t="str">
        <f t="shared" si="19"/>
        <v/>
      </c>
      <c r="N323" s="5"/>
      <c r="P323" t="s">
        <v>26</v>
      </c>
    </row>
    <row r="324" spans="2:16" x14ac:dyDescent="0.3">
      <c r="B324" s="16"/>
      <c r="C324" s="18"/>
      <c r="D324" s="104"/>
      <c r="E324" s="101"/>
      <c r="F324" s="101"/>
      <c r="G324" s="17" t="str">
        <f t="shared" ref="G324:G387" si="21">IF(AND(D324=E324,E324=F324),"",IF(AND(F324="",D324=E324),"",IF(AND(D324="",E324=F324),"",IF(AND(E324="",D324=F324),"",""))))</f>
        <v/>
      </c>
      <c r="K324" s="2" t="str">
        <f t="shared" ref="K324:K387" si="22">IF(D324="","",+D324)</f>
        <v/>
      </c>
      <c r="L324" s="2" t="str">
        <f t="shared" si="20"/>
        <v/>
      </c>
      <c r="M324" s="2" t="str">
        <f t="shared" ref="M324:M387" si="23">IF(B324="","",IF(COUNTIF($K$3:$K$295,K324)&gt;1,"동명",""))</f>
        <v/>
      </c>
      <c r="N324" s="5"/>
      <c r="P324" t="s">
        <v>26</v>
      </c>
    </row>
    <row r="325" spans="2:16" x14ac:dyDescent="0.3">
      <c r="B325" s="16"/>
      <c r="C325" s="18"/>
      <c r="D325" s="104"/>
      <c r="E325" s="101"/>
      <c r="F325" s="101"/>
      <c r="G325" s="17" t="str">
        <f t="shared" si="21"/>
        <v/>
      </c>
      <c r="K325" s="2" t="str">
        <f t="shared" si="22"/>
        <v/>
      </c>
      <c r="L325" s="2" t="str">
        <f t="shared" si="20"/>
        <v/>
      </c>
      <c r="M325" s="2" t="str">
        <f t="shared" si="23"/>
        <v/>
      </c>
      <c r="N325" s="5"/>
      <c r="P325" t="s">
        <v>26</v>
      </c>
    </row>
    <row r="326" spans="2:16" x14ac:dyDescent="0.3">
      <c r="B326" s="16"/>
      <c r="C326" s="18"/>
      <c r="D326" s="104"/>
      <c r="E326" s="101"/>
      <c r="F326" s="101"/>
      <c r="G326" s="17" t="str">
        <f t="shared" si="21"/>
        <v/>
      </c>
      <c r="K326" s="2" t="str">
        <f t="shared" si="22"/>
        <v/>
      </c>
      <c r="L326" s="2" t="str">
        <f t="shared" ref="L326:L389" si="24">RIGHT(K326,2)</f>
        <v/>
      </c>
      <c r="M326" s="2" t="str">
        <f t="shared" si="23"/>
        <v/>
      </c>
      <c r="N326" s="5"/>
      <c r="P326" t="s">
        <v>26</v>
      </c>
    </row>
    <row r="327" spans="2:16" x14ac:dyDescent="0.3">
      <c r="B327" s="16"/>
      <c r="C327" s="18"/>
      <c r="D327" s="104"/>
      <c r="E327" s="101"/>
      <c r="F327" s="101"/>
      <c r="G327" s="17" t="str">
        <f t="shared" si="21"/>
        <v/>
      </c>
      <c r="K327" s="2" t="str">
        <f t="shared" si="22"/>
        <v/>
      </c>
      <c r="L327" s="2" t="str">
        <f t="shared" si="24"/>
        <v/>
      </c>
      <c r="M327" s="2" t="str">
        <f t="shared" si="23"/>
        <v/>
      </c>
      <c r="N327" s="5"/>
      <c r="P327" t="s">
        <v>26</v>
      </c>
    </row>
    <row r="328" spans="2:16" x14ac:dyDescent="0.3">
      <c r="B328" s="16"/>
      <c r="C328" s="18"/>
      <c r="D328" s="104"/>
      <c r="E328" s="101"/>
      <c r="F328" s="101"/>
      <c r="G328" s="17" t="str">
        <f t="shared" si="21"/>
        <v/>
      </c>
      <c r="K328" s="2" t="str">
        <f t="shared" si="22"/>
        <v/>
      </c>
      <c r="L328" s="2" t="str">
        <f t="shared" si="24"/>
        <v/>
      </c>
      <c r="M328" s="2" t="str">
        <f t="shared" si="23"/>
        <v/>
      </c>
      <c r="N328" s="5"/>
      <c r="P328" t="s">
        <v>26</v>
      </c>
    </row>
    <row r="329" spans="2:16" x14ac:dyDescent="0.3">
      <c r="B329" s="16"/>
      <c r="C329" s="18"/>
      <c r="D329" s="104"/>
      <c r="E329" s="101"/>
      <c r="F329" s="101"/>
      <c r="G329" s="17" t="str">
        <f t="shared" si="21"/>
        <v/>
      </c>
      <c r="K329" s="2" t="str">
        <f t="shared" si="22"/>
        <v/>
      </c>
      <c r="L329" s="2" t="str">
        <f t="shared" si="24"/>
        <v/>
      </c>
      <c r="M329" s="2" t="str">
        <f t="shared" si="23"/>
        <v/>
      </c>
      <c r="N329" s="5"/>
      <c r="P329" t="s">
        <v>26</v>
      </c>
    </row>
    <row r="330" spans="2:16" x14ac:dyDescent="0.3">
      <c r="B330" s="16"/>
      <c r="C330" s="18"/>
      <c r="D330" s="104"/>
      <c r="E330" s="101"/>
      <c r="F330" s="101"/>
      <c r="G330" s="17" t="str">
        <f t="shared" si="21"/>
        <v/>
      </c>
      <c r="K330" s="2" t="str">
        <f t="shared" si="22"/>
        <v/>
      </c>
      <c r="L330" s="2" t="str">
        <f t="shared" si="24"/>
        <v/>
      </c>
      <c r="M330" s="2" t="str">
        <f t="shared" si="23"/>
        <v/>
      </c>
      <c r="N330" s="5"/>
      <c r="P330" t="s">
        <v>26</v>
      </c>
    </row>
    <row r="331" spans="2:16" x14ac:dyDescent="0.3">
      <c r="B331" s="16"/>
      <c r="C331" s="18"/>
      <c r="D331" s="104"/>
      <c r="E331" s="101"/>
      <c r="F331" s="101"/>
      <c r="G331" s="17" t="str">
        <f t="shared" si="21"/>
        <v/>
      </c>
      <c r="K331" s="2" t="str">
        <f t="shared" si="22"/>
        <v/>
      </c>
      <c r="L331" s="2" t="str">
        <f t="shared" si="24"/>
        <v/>
      </c>
      <c r="M331" s="2" t="str">
        <f t="shared" si="23"/>
        <v/>
      </c>
      <c r="N331" s="5"/>
      <c r="P331" t="s">
        <v>26</v>
      </c>
    </row>
    <row r="332" spans="2:16" x14ac:dyDescent="0.3">
      <c r="B332" s="16"/>
      <c r="C332" s="18"/>
      <c r="D332" s="104"/>
      <c r="E332" s="101"/>
      <c r="F332" s="101"/>
      <c r="G332" s="17" t="str">
        <f t="shared" si="21"/>
        <v/>
      </c>
      <c r="K332" s="2" t="str">
        <f t="shared" si="22"/>
        <v/>
      </c>
      <c r="L332" s="2" t="str">
        <f t="shared" si="24"/>
        <v/>
      </c>
      <c r="M332" s="2" t="str">
        <f t="shared" si="23"/>
        <v/>
      </c>
      <c r="N332" s="5"/>
      <c r="P332" t="s">
        <v>26</v>
      </c>
    </row>
    <row r="333" spans="2:16" x14ac:dyDescent="0.3">
      <c r="B333" s="16"/>
      <c r="C333" s="18"/>
      <c r="D333" s="104"/>
      <c r="E333" s="101"/>
      <c r="F333" s="101"/>
      <c r="G333" s="17" t="str">
        <f t="shared" si="21"/>
        <v/>
      </c>
      <c r="K333" s="2" t="str">
        <f t="shared" si="22"/>
        <v/>
      </c>
      <c r="L333" s="2" t="str">
        <f t="shared" si="24"/>
        <v/>
      </c>
      <c r="M333" s="2" t="str">
        <f t="shared" si="23"/>
        <v/>
      </c>
      <c r="N333" s="5"/>
      <c r="P333" t="s">
        <v>26</v>
      </c>
    </row>
    <row r="334" spans="2:16" x14ac:dyDescent="0.3">
      <c r="B334" s="16"/>
      <c r="C334" s="18"/>
      <c r="D334" s="104"/>
      <c r="E334" s="101"/>
      <c r="F334" s="101"/>
      <c r="G334" s="17" t="str">
        <f t="shared" si="21"/>
        <v/>
      </c>
      <c r="K334" s="2" t="str">
        <f t="shared" si="22"/>
        <v/>
      </c>
      <c r="L334" s="2" t="str">
        <f t="shared" si="24"/>
        <v/>
      </c>
      <c r="M334" s="2" t="str">
        <f t="shared" si="23"/>
        <v/>
      </c>
      <c r="N334" s="5"/>
      <c r="P334" t="s">
        <v>26</v>
      </c>
    </row>
    <row r="335" spans="2:16" x14ac:dyDescent="0.3">
      <c r="B335" s="16"/>
      <c r="C335" s="18"/>
      <c r="D335" s="104"/>
      <c r="E335" s="101"/>
      <c r="F335" s="101"/>
      <c r="G335" s="17" t="str">
        <f t="shared" si="21"/>
        <v/>
      </c>
      <c r="K335" s="2" t="str">
        <f t="shared" si="22"/>
        <v/>
      </c>
      <c r="L335" s="2" t="str">
        <f t="shared" si="24"/>
        <v/>
      </c>
      <c r="M335" s="2" t="str">
        <f t="shared" si="23"/>
        <v/>
      </c>
      <c r="N335" s="5"/>
      <c r="P335" t="s">
        <v>26</v>
      </c>
    </row>
    <row r="336" spans="2:16" x14ac:dyDescent="0.3">
      <c r="B336" s="16"/>
      <c r="C336" s="18"/>
      <c r="D336" s="104"/>
      <c r="E336" s="101"/>
      <c r="F336" s="101"/>
      <c r="G336" s="17" t="str">
        <f t="shared" si="21"/>
        <v/>
      </c>
      <c r="K336" s="2" t="str">
        <f t="shared" si="22"/>
        <v/>
      </c>
      <c r="L336" s="2" t="str">
        <f t="shared" si="24"/>
        <v/>
      </c>
      <c r="M336" s="2" t="str">
        <f t="shared" si="23"/>
        <v/>
      </c>
      <c r="N336" s="5"/>
      <c r="P336" t="s">
        <v>26</v>
      </c>
    </row>
    <row r="337" spans="2:16" x14ac:dyDescent="0.3">
      <c r="B337" s="16"/>
      <c r="C337" s="18"/>
      <c r="D337" s="104"/>
      <c r="E337" s="101"/>
      <c r="F337" s="101"/>
      <c r="G337" s="17" t="str">
        <f t="shared" si="21"/>
        <v/>
      </c>
      <c r="K337" s="2" t="str">
        <f t="shared" si="22"/>
        <v/>
      </c>
      <c r="L337" s="2" t="str">
        <f t="shared" si="24"/>
        <v/>
      </c>
      <c r="M337" s="2" t="str">
        <f t="shared" si="23"/>
        <v/>
      </c>
      <c r="N337" s="5"/>
      <c r="P337" t="s">
        <v>26</v>
      </c>
    </row>
    <row r="338" spans="2:16" x14ac:dyDescent="0.3">
      <c r="B338" s="16"/>
      <c r="C338" s="18"/>
      <c r="D338" s="104"/>
      <c r="E338" s="101"/>
      <c r="F338" s="101"/>
      <c r="G338" s="17" t="str">
        <f t="shared" si="21"/>
        <v/>
      </c>
      <c r="K338" s="2" t="str">
        <f t="shared" si="22"/>
        <v/>
      </c>
      <c r="L338" s="2" t="str">
        <f t="shared" si="24"/>
        <v/>
      </c>
      <c r="M338" s="2" t="str">
        <f t="shared" si="23"/>
        <v/>
      </c>
      <c r="N338" s="5"/>
      <c r="P338" t="s">
        <v>26</v>
      </c>
    </row>
    <row r="339" spans="2:16" x14ac:dyDescent="0.3">
      <c r="B339" s="16"/>
      <c r="C339" s="18"/>
      <c r="D339" s="104"/>
      <c r="E339" s="101"/>
      <c r="F339" s="101"/>
      <c r="G339" s="17" t="str">
        <f t="shared" si="21"/>
        <v/>
      </c>
      <c r="K339" s="2" t="str">
        <f t="shared" si="22"/>
        <v/>
      </c>
      <c r="L339" s="2" t="str">
        <f t="shared" si="24"/>
        <v/>
      </c>
      <c r="M339" s="2" t="str">
        <f t="shared" si="23"/>
        <v/>
      </c>
      <c r="N339" s="5"/>
      <c r="P339" t="s">
        <v>26</v>
      </c>
    </row>
    <row r="340" spans="2:16" x14ac:dyDescent="0.3">
      <c r="B340" s="16"/>
      <c r="C340" s="18"/>
      <c r="D340" s="104"/>
      <c r="E340" s="101"/>
      <c r="F340" s="101"/>
      <c r="G340" s="17" t="str">
        <f t="shared" si="21"/>
        <v/>
      </c>
      <c r="K340" s="2" t="str">
        <f t="shared" si="22"/>
        <v/>
      </c>
      <c r="L340" s="2" t="str">
        <f t="shared" si="24"/>
        <v/>
      </c>
      <c r="M340" s="2" t="str">
        <f t="shared" si="23"/>
        <v/>
      </c>
      <c r="N340" s="5"/>
      <c r="P340" t="s">
        <v>26</v>
      </c>
    </row>
    <row r="341" spans="2:16" x14ac:dyDescent="0.3">
      <c r="B341" s="16"/>
      <c r="C341" s="18"/>
      <c r="D341" s="104"/>
      <c r="E341" s="101"/>
      <c r="F341" s="101"/>
      <c r="G341" s="17" t="str">
        <f t="shared" si="21"/>
        <v/>
      </c>
      <c r="K341" s="2" t="str">
        <f t="shared" si="22"/>
        <v/>
      </c>
      <c r="L341" s="2" t="str">
        <f t="shared" si="24"/>
        <v/>
      </c>
      <c r="M341" s="2" t="str">
        <f t="shared" si="23"/>
        <v/>
      </c>
      <c r="N341" s="5"/>
      <c r="P341" t="s">
        <v>26</v>
      </c>
    </row>
    <row r="342" spans="2:16" x14ac:dyDescent="0.3">
      <c r="B342" s="16"/>
      <c r="C342" s="18"/>
      <c r="D342" s="104"/>
      <c r="E342" s="101"/>
      <c r="F342" s="101"/>
      <c r="G342" s="17" t="str">
        <f t="shared" si="21"/>
        <v/>
      </c>
      <c r="K342" s="2" t="str">
        <f t="shared" si="22"/>
        <v/>
      </c>
      <c r="L342" s="2" t="str">
        <f t="shared" si="24"/>
        <v/>
      </c>
      <c r="M342" s="2" t="str">
        <f t="shared" si="23"/>
        <v/>
      </c>
      <c r="N342" s="5"/>
      <c r="P342" t="s">
        <v>26</v>
      </c>
    </row>
    <row r="343" spans="2:16" x14ac:dyDescent="0.3">
      <c r="B343" s="16"/>
      <c r="C343" s="18"/>
      <c r="D343" s="104"/>
      <c r="E343" s="101"/>
      <c r="F343" s="101"/>
      <c r="G343" s="17" t="str">
        <f t="shared" si="21"/>
        <v/>
      </c>
      <c r="K343" s="2" t="str">
        <f t="shared" si="22"/>
        <v/>
      </c>
      <c r="L343" s="2" t="str">
        <f t="shared" si="24"/>
        <v/>
      </c>
      <c r="M343" s="2" t="str">
        <f t="shared" si="23"/>
        <v/>
      </c>
      <c r="N343" s="5"/>
      <c r="P343" t="s">
        <v>26</v>
      </c>
    </row>
    <row r="344" spans="2:16" x14ac:dyDescent="0.3">
      <c r="B344" s="16"/>
      <c r="C344" s="18"/>
      <c r="D344" s="104"/>
      <c r="E344" s="101"/>
      <c r="F344" s="101"/>
      <c r="G344" s="17" t="str">
        <f t="shared" si="21"/>
        <v/>
      </c>
      <c r="K344" s="2" t="str">
        <f t="shared" si="22"/>
        <v/>
      </c>
      <c r="L344" s="2" t="str">
        <f t="shared" si="24"/>
        <v/>
      </c>
      <c r="M344" s="2" t="str">
        <f t="shared" si="23"/>
        <v/>
      </c>
      <c r="N344" s="5"/>
      <c r="P344" t="s">
        <v>26</v>
      </c>
    </row>
    <row r="345" spans="2:16" x14ac:dyDescent="0.3">
      <c r="B345" s="16"/>
      <c r="C345" s="18"/>
      <c r="D345" s="104"/>
      <c r="E345" s="101"/>
      <c r="F345" s="101"/>
      <c r="G345" s="17" t="str">
        <f t="shared" si="21"/>
        <v/>
      </c>
      <c r="K345" s="2" t="str">
        <f t="shared" si="22"/>
        <v/>
      </c>
      <c r="L345" s="2" t="str">
        <f t="shared" si="24"/>
        <v/>
      </c>
      <c r="M345" s="2" t="str">
        <f t="shared" si="23"/>
        <v/>
      </c>
      <c r="N345" s="5"/>
      <c r="P345" t="s">
        <v>26</v>
      </c>
    </row>
    <row r="346" spans="2:16" x14ac:dyDescent="0.3">
      <c r="B346" s="16"/>
      <c r="C346" s="18"/>
      <c r="D346" s="104"/>
      <c r="E346" s="101"/>
      <c r="F346" s="101"/>
      <c r="G346" s="17" t="str">
        <f t="shared" si="21"/>
        <v/>
      </c>
      <c r="K346" s="2" t="str">
        <f t="shared" si="22"/>
        <v/>
      </c>
      <c r="L346" s="2" t="str">
        <f t="shared" si="24"/>
        <v/>
      </c>
      <c r="M346" s="2" t="str">
        <f t="shared" si="23"/>
        <v/>
      </c>
      <c r="N346" s="5"/>
      <c r="P346" t="s">
        <v>26</v>
      </c>
    </row>
    <row r="347" spans="2:16" x14ac:dyDescent="0.3">
      <c r="B347" s="16"/>
      <c r="C347" s="18"/>
      <c r="D347" s="104"/>
      <c r="E347" s="101"/>
      <c r="F347" s="101"/>
      <c r="G347" s="17" t="str">
        <f t="shared" si="21"/>
        <v/>
      </c>
      <c r="K347" s="2" t="str">
        <f t="shared" si="22"/>
        <v/>
      </c>
      <c r="L347" s="2" t="str">
        <f t="shared" si="24"/>
        <v/>
      </c>
      <c r="M347" s="2" t="str">
        <f t="shared" si="23"/>
        <v/>
      </c>
      <c r="N347" s="5"/>
      <c r="P347" t="s">
        <v>26</v>
      </c>
    </row>
    <row r="348" spans="2:16" x14ac:dyDescent="0.3">
      <c r="B348" s="16"/>
      <c r="C348" s="18"/>
      <c r="D348" s="104"/>
      <c r="E348" s="101"/>
      <c r="F348" s="101"/>
      <c r="G348" s="17" t="str">
        <f t="shared" si="21"/>
        <v/>
      </c>
      <c r="K348" s="2" t="str">
        <f t="shared" si="22"/>
        <v/>
      </c>
      <c r="L348" s="2" t="str">
        <f t="shared" si="24"/>
        <v/>
      </c>
      <c r="M348" s="2" t="str">
        <f t="shared" si="23"/>
        <v/>
      </c>
      <c r="N348" s="5"/>
      <c r="P348" t="s">
        <v>26</v>
      </c>
    </row>
    <row r="349" spans="2:16" x14ac:dyDescent="0.3">
      <c r="B349" s="16"/>
      <c r="C349" s="18"/>
      <c r="D349" s="104"/>
      <c r="E349" s="101"/>
      <c r="F349" s="101"/>
      <c r="G349" s="17" t="str">
        <f t="shared" si="21"/>
        <v/>
      </c>
      <c r="K349" s="2" t="str">
        <f t="shared" si="22"/>
        <v/>
      </c>
      <c r="L349" s="2" t="str">
        <f t="shared" si="24"/>
        <v/>
      </c>
      <c r="M349" s="2" t="str">
        <f t="shared" si="23"/>
        <v/>
      </c>
      <c r="N349" s="5"/>
      <c r="P349" t="s">
        <v>26</v>
      </c>
    </row>
    <row r="350" spans="2:16" x14ac:dyDescent="0.3">
      <c r="B350" s="16"/>
      <c r="C350" s="18"/>
      <c r="D350" s="104"/>
      <c r="E350" s="101"/>
      <c r="F350" s="101"/>
      <c r="G350" s="17" t="str">
        <f t="shared" si="21"/>
        <v/>
      </c>
      <c r="K350" s="2" t="str">
        <f t="shared" si="22"/>
        <v/>
      </c>
      <c r="L350" s="2" t="str">
        <f t="shared" si="24"/>
        <v/>
      </c>
      <c r="M350" s="2" t="str">
        <f t="shared" si="23"/>
        <v/>
      </c>
      <c r="N350" s="5"/>
      <c r="P350" t="s">
        <v>26</v>
      </c>
    </row>
    <row r="351" spans="2:16" x14ac:dyDescent="0.3">
      <c r="B351" s="16"/>
      <c r="C351" s="18"/>
      <c r="D351" s="104"/>
      <c r="E351" s="101"/>
      <c r="F351" s="101"/>
      <c r="G351" s="17" t="str">
        <f t="shared" si="21"/>
        <v/>
      </c>
      <c r="K351" s="2" t="str">
        <f t="shared" si="22"/>
        <v/>
      </c>
      <c r="L351" s="2" t="str">
        <f t="shared" si="24"/>
        <v/>
      </c>
      <c r="M351" s="2" t="str">
        <f t="shared" si="23"/>
        <v/>
      </c>
      <c r="N351" s="5"/>
      <c r="P351" t="s">
        <v>26</v>
      </c>
    </row>
    <row r="352" spans="2:16" x14ac:dyDescent="0.3">
      <c r="B352" s="16"/>
      <c r="C352" s="18"/>
      <c r="D352" s="104"/>
      <c r="E352" s="101"/>
      <c r="F352" s="101"/>
      <c r="G352" s="17" t="str">
        <f t="shared" si="21"/>
        <v/>
      </c>
      <c r="K352" s="2" t="str">
        <f t="shared" si="22"/>
        <v/>
      </c>
      <c r="L352" s="2" t="str">
        <f t="shared" si="24"/>
        <v/>
      </c>
      <c r="M352" s="2" t="str">
        <f t="shared" si="23"/>
        <v/>
      </c>
      <c r="N352" s="5"/>
      <c r="P352" t="s">
        <v>26</v>
      </c>
    </row>
    <row r="353" spans="2:16" x14ac:dyDescent="0.3">
      <c r="B353" s="16"/>
      <c r="C353" s="18"/>
      <c r="D353" s="104"/>
      <c r="E353" s="101"/>
      <c r="F353" s="101"/>
      <c r="G353" s="17" t="str">
        <f t="shared" si="21"/>
        <v/>
      </c>
      <c r="K353" s="2" t="str">
        <f t="shared" si="22"/>
        <v/>
      </c>
      <c r="L353" s="2" t="str">
        <f t="shared" si="24"/>
        <v/>
      </c>
      <c r="M353" s="2" t="str">
        <f t="shared" si="23"/>
        <v/>
      </c>
      <c r="N353" s="5"/>
      <c r="P353" t="s">
        <v>26</v>
      </c>
    </row>
    <row r="354" spans="2:16" x14ac:dyDescent="0.3">
      <c r="B354" s="16"/>
      <c r="C354" s="18"/>
      <c r="D354" s="104"/>
      <c r="E354" s="101"/>
      <c r="F354" s="101"/>
      <c r="G354" s="17" t="str">
        <f t="shared" si="21"/>
        <v/>
      </c>
      <c r="K354" s="2" t="str">
        <f t="shared" si="22"/>
        <v/>
      </c>
      <c r="L354" s="2" t="str">
        <f t="shared" si="24"/>
        <v/>
      </c>
      <c r="M354" s="2" t="str">
        <f t="shared" si="23"/>
        <v/>
      </c>
      <c r="N354" s="5"/>
      <c r="P354" t="s">
        <v>26</v>
      </c>
    </row>
    <row r="355" spans="2:16" x14ac:dyDescent="0.3">
      <c r="B355" s="16"/>
      <c r="C355" s="18"/>
      <c r="D355" s="104"/>
      <c r="E355" s="101"/>
      <c r="F355" s="101"/>
      <c r="G355" s="17" t="str">
        <f t="shared" si="21"/>
        <v/>
      </c>
      <c r="K355" s="2" t="str">
        <f t="shared" si="22"/>
        <v/>
      </c>
      <c r="L355" s="2" t="str">
        <f t="shared" si="24"/>
        <v/>
      </c>
      <c r="M355" s="2" t="str">
        <f t="shared" si="23"/>
        <v/>
      </c>
      <c r="N355" s="5"/>
      <c r="P355" t="s">
        <v>26</v>
      </c>
    </row>
    <row r="356" spans="2:16" x14ac:dyDescent="0.3">
      <c r="B356" s="16"/>
      <c r="C356" s="18"/>
      <c r="D356" s="104"/>
      <c r="E356" s="101"/>
      <c r="F356" s="101"/>
      <c r="G356" s="17" t="str">
        <f t="shared" si="21"/>
        <v/>
      </c>
      <c r="K356" s="2" t="str">
        <f t="shared" si="22"/>
        <v/>
      </c>
      <c r="L356" s="2" t="str">
        <f t="shared" si="24"/>
        <v/>
      </c>
      <c r="M356" s="2" t="str">
        <f t="shared" si="23"/>
        <v/>
      </c>
      <c r="N356" s="5"/>
      <c r="P356" t="s">
        <v>26</v>
      </c>
    </row>
    <row r="357" spans="2:16" x14ac:dyDescent="0.3">
      <c r="B357" s="16"/>
      <c r="C357" s="18"/>
      <c r="D357" s="104"/>
      <c r="E357" s="101"/>
      <c r="F357" s="101"/>
      <c r="G357" s="17" t="str">
        <f t="shared" si="21"/>
        <v/>
      </c>
      <c r="K357" s="2" t="str">
        <f t="shared" si="22"/>
        <v/>
      </c>
      <c r="L357" s="2" t="str">
        <f t="shared" si="24"/>
        <v/>
      </c>
      <c r="M357" s="2" t="str">
        <f t="shared" si="23"/>
        <v/>
      </c>
      <c r="N357" s="5"/>
      <c r="P357" t="s">
        <v>26</v>
      </c>
    </row>
    <row r="358" spans="2:16" x14ac:dyDescent="0.3">
      <c r="B358" s="16"/>
      <c r="C358" s="18"/>
      <c r="D358" s="104"/>
      <c r="E358" s="101"/>
      <c r="F358" s="101"/>
      <c r="G358" s="17" t="str">
        <f t="shared" si="21"/>
        <v/>
      </c>
      <c r="K358" s="2" t="str">
        <f t="shared" si="22"/>
        <v/>
      </c>
      <c r="L358" s="2" t="str">
        <f t="shared" si="24"/>
        <v/>
      </c>
      <c r="M358" s="2" t="str">
        <f t="shared" si="23"/>
        <v/>
      </c>
      <c r="N358" s="5"/>
      <c r="P358" t="s">
        <v>26</v>
      </c>
    </row>
    <row r="359" spans="2:16" x14ac:dyDescent="0.3">
      <c r="B359" s="16"/>
      <c r="C359" s="18"/>
      <c r="D359" s="104"/>
      <c r="E359" s="101"/>
      <c r="F359" s="101"/>
      <c r="G359" s="17" t="str">
        <f t="shared" si="21"/>
        <v/>
      </c>
      <c r="K359" s="2" t="str">
        <f t="shared" si="22"/>
        <v/>
      </c>
      <c r="L359" s="2" t="str">
        <f t="shared" si="24"/>
        <v/>
      </c>
      <c r="M359" s="2" t="str">
        <f t="shared" si="23"/>
        <v/>
      </c>
      <c r="N359" s="5"/>
      <c r="P359" t="s">
        <v>26</v>
      </c>
    </row>
    <row r="360" spans="2:16" x14ac:dyDescent="0.3">
      <c r="B360" s="16"/>
      <c r="C360" s="18"/>
      <c r="D360" s="104"/>
      <c r="E360" s="101"/>
      <c r="F360" s="101"/>
      <c r="G360" s="17" t="str">
        <f t="shared" si="21"/>
        <v/>
      </c>
      <c r="K360" s="2" t="str">
        <f t="shared" si="22"/>
        <v/>
      </c>
      <c r="L360" s="2" t="str">
        <f t="shared" si="24"/>
        <v/>
      </c>
      <c r="M360" s="2" t="str">
        <f t="shared" si="23"/>
        <v/>
      </c>
      <c r="N360" s="5"/>
      <c r="P360" t="s">
        <v>26</v>
      </c>
    </row>
    <row r="361" spans="2:16" x14ac:dyDescent="0.3">
      <c r="B361" s="16"/>
      <c r="C361" s="18"/>
      <c r="D361" s="104"/>
      <c r="E361" s="101"/>
      <c r="F361" s="101"/>
      <c r="G361" s="17" t="str">
        <f t="shared" si="21"/>
        <v/>
      </c>
      <c r="K361" s="2" t="str">
        <f t="shared" si="22"/>
        <v/>
      </c>
      <c r="L361" s="2" t="str">
        <f t="shared" si="24"/>
        <v/>
      </c>
      <c r="M361" s="2" t="str">
        <f t="shared" si="23"/>
        <v/>
      </c>
      <c r="N361" s="5"/>
      <c r="P361" t="s">
        <v>26</v>
      </c>
    </row>
    <row r="362" spans="2:16" x14ac:dyDescent="0.3">
      <c r="B362" s="16"/>
      <c r="C362" s="18"/>
      <c r="D362" s="104"/>
      <c r="E362" s="101"/>
      <c r="F362" s="101"/>
      <c r="G362" s="17" t="str">
        <f t="shared" si="21"/>
        <v/>
      </c>
      <c r="K362" s="2" t="str">
        <f t="shared" si="22"/>
        <v/>
      </c>
      <c r="L362" s="2" t="str">
        <f t="shared" si="24"/>
        <v/>
      </c>
      <c r="M362" s="2" t="str">
        <f t="shared" si="23"/>
        <v/>
      </c>
      <c r="N362" s="5"/>
      <c r="P362" t="s">
        <v>26</v>
      </c>
    </row>
    <row r="363" spans="2:16" x14ac:dyDescent="0.3">
      <c r="B363" s="16"/>
      <c r="C363" s="18"/>
      <c r="D363" s="104"/>
      <c r="E363" s="101"/>
      <c r="F363" s="101"/>
      <c r="G363" s="17" t="str">
        <f t="shared" si="21"/>
        <v/>
      </c>
      <c r="K363" s="2" t="str">
        <f t="shared" si="22"/>
        <v/>
      </c>
      <c r="L363" s="2" t="str">
        <f t="shared" si="24"/>
        <v/>
      </c>
      <c r="M363" s="2" t="str">
        <f t="shared" si="23"/>
        <v/>
      </c>
      <c r="N363" s="5"/>
      <c r="P363" t="s">
        <v>26</v>
      </c>
    </row>
    <row r="364" spans="2:16" x14ac:dyDescent="0.3">
      <c r="B364" s="16"/>
      <c r="C364" s="18"/>
      <c r="D364" s="104"/>
      <c r="E364" s="101"/>
      <c r="F364" s="101"/>
      <c r="G364" s="17" t="str">
        <f t="shared" si="21"/>
        <v/>
      </c>
      <c r="K364" s="2" t="str">
        <f t="shared" si="22"/>
        <v/>
      </c>
      <c r="L364" s="2" t="str">
        <f t="shared" si="24"/>
        <v/>
      </c>
      <c r="M364" s="2" t="str">
        <f t="shared" si="23"/>
        <v/>
      </c>
      <c r="N364" s="5"/>
      <c r="P364" t="s">
        <v>26</v>
      </c>
    </row>
    <row r="365" spans="2:16" x14ac:dyDescent="0.3">
      <c r="B365" s="16"/>
      <c r="C365" s="18"/>
      <c r="D365" s="104"/>
      <c r="E365" s="101"/>
      <c r="F365" s="101"/>
      <c r="G365" s="17" t="str">
        <f t="shared" si="21"/>
        <v/>
      </c>
      <c r="K365" s="2" t="str">
        <f t="shared" si="22"/>
        <v/>
      </c>
      <c r="L365" s="2" t="str">
        <f t="shared" si="24"/>
        <v/>
      </c>
      <c r="M365" s="2" t="str">
        <f t="shared" si="23"/>
        <v/>
      </c>
      <c r="N365" s="5"/>
      <c r="P365" t="s">
        <v>26</v>
      </c>
    </row>
    <row r="366" spans="2:16" x14ac:dyDescent="0.3">
      <c r="B366" s="16"/>
      <c r="C366" s="18"/>
      <c r="D366" s="104"/>
      <c r="E366" s="101"/>
      <c r="F366" s="101"/>
      <c r="G366" s="17" t="str">
        <f t="shared" si="21"/>
        <v/>
      </c>
      <c r="K366" s="2" t="str">
        <f t="shared" si="22"/>
        <v/>
      </c>
      <c r="L366" s="2" t="str">
        <f t="shared" si="24"/>
        <v/>
      </c>
      <c r="M366" s="2" t="str">
        <f t="shared" si="23"/>
        <v/>
      </c>
      <c r="N366" s="5"/>
      <c r="P366" t="s">
        <v>26</v>
      </c>
    </row>
    <row r="367" spans="2:16" x14ac:dyDescent="0.3">
      <c r="B367" s="16"/>
      <c r="C367" s="18"/>
      <c r="D367" s="104"/>
      <c r="E367" s="101"/>
      <c r="F367" s="101"/>
      <c r="G367" s="17" t="str">
        <f t="shared" si="21"/>
        <v/>
      </c>
      <c r="K367" s="2" t="str">
        <f t="shared" si="22"/>
        <v/>
      </c>
      <c r="L367" s="2" t="str">
        <f t="shared" si="24"/>
        <v/>
      </c>
      <c r="M367" s="2" t="str">
        <f t="shared" si="23"/>
        <v/>
      </c>
      <c r="N367" s="5"/>
      <c r="P367" t="s">
        <v>26</v>
      </c>
    </row>
    <row r="368" spans="2:16" x14ac:dyDescent="0.3">
      <c r="B368" s="16"/>
      <c r="C368" s="18"/>
      <c r="D368" s="104"/>
      <c r="E368" s="101"/>
      <c r="F368" s="101"/>
      <c r="G368" s="17" t="str">
        <f t="shared" si="21"/>
        <v/>
      </c>
      <c r="K368" s="2" t="str">
        <f t="shared" si="22"/>
        <v/>
      </c>
      <c r="L368" s="2" t="str">
        <f t="shared" si="24"/>
        <v/>
      </c>
      <c r="M368" s="2" t="str">
        <f t="shared" si="23"/>
        <v/>
      </c>
      <c r="N368" s="5"/>
      <c r="P368" t="s">
        <v>26</v>
      </c>
    </row>
    <row r="369" spans="2:16" x14ac:dyDescent="0.3">
      <c r="B369" s="16"/>
      <c r="C369" s="18"/>
      <c r="D369" s="104"/>
      <c r="E369" s="101"/>
      <c r="F369" s="101"/>
      <c r="G369" s="17" t="str">
        <f t="shared" si="21"/>
        <v/>
      </c>
      <c r="K369" s="2" t="str">
        <f t="shared" si="22"/>
        <v/>
      </c>
      <c r="L369" s="2" t="str">
        <f t="shared" si="24"/>
        <v/>
      </c>
      <c r="M369" s="2" t="str">
        <f t="shared" si="23"/>
        <v/>
      </c>
      <c r="N369" s="5"/>
      <c r="P369" t="s">
        <v>26</v>
      </c>
    </row>
    <row r="370" spans="2:16" x14ac:dyDescent="0.3">
      <c r="B370" s="16"/>
      <c r="C370" s="18"/>
      <c r="D370" s="104"/>
      <c r="E370" s="101"/>
      <c r="F370" s="101"/>
      <c r="G370" s="17" t="str">
        <f t="shared" si="21"/>
        <v/>
      </c>
      <c r="K370" s="2" t="str">
        <f t="shared" si="22"/>
        <v/>
      </c>
      <c r="L370" s="2" t="str">
        <f t="shared" si="24"/>
        <v/>
      </c>
      <c r="M370" s="2" t="str">
        <f t="shared" si="23"/>
        <v/>
      </c>
      <c r="N370" s="5"/>
      <c r="P370" t="s">
        <v>26</v>
      </c>
    </row>
    <row r="371" spans="2:16" x14ac:dyDescent="0.3">
      <c r="B371" s="16"/>
      <c r="C371" s="18"/>
      <c r="D371" s="104"/>
      <c r="E371" s="101"/>
      <c r="F371" s="101"/>
      <c r="G371" s="17" t="str">
        <f t="shared" si="21"/>
        <v/>
      </c>
      <c r="K371" s="2" t="str">
        <f t="shared" si="22"/>
        <v/>
      </c>
      <c r="L371" s="2" t="str">
        <f t="shared" si="24"/>
        <v/>
      </c>
      <c r="M371" s="2" t="str">
        <f t="shared" si="23"/>
        <v/>
      </c>
      <c r="N371" s="5"/>
      <c r="P371" t="s">
        <v>26</v>
      </c>
    </row>
    <row r="372" spans="2:16" x14ac:dyDescent="0.3">
      <c r="B372" s="16"/>
      <c r="C372" s="18"/>
      <c r="D372" s="104"/>
      <c r="E372" s="101"/>
      <c r="F372" s="101"/>
      <c r="G372" s="17" t="str">
        <f t="shared" si="21"/>
        <v/>
      </c>
      <c r="K372" s="2" t="str">
        <f t="shared" si="22"/>
        <v/>
      </c>
      <c r="L372" s="2" t="str">
        <f t="shared" si="24"/>
        <v/>
      </c>
      <c r="M372" s="2" t="str">
        <f t="shared" si="23"/>
        <v/>
      </c>
      <c r="N372" s="5"/>
      <c r="P372" t="s">
        <v>26</v>
      </c>
    </row>
    <row r="373" spans="2:16" x14ac:dyDescent="0.3">
      <c r="B373" s="16"/>
      <c r="C373" s="18"/>
      <c r="D373" s="104"/>
      <c r="E373" s="101"/>
      <c r="F373" s="101"/>
      <c r="G373" s="17" t="str">
        <f t="shared" si="21"/>
        <v/>
      </c>
      <c r="K373" s="2" t="str">
        <f t="shared" si="22"/>
        <v/>
      </c>
      <c r="L373" s="2" t="str">
        <f t="shared" si="24"/>
        <v/>
      </c>
      <c r="M373" s="2" t="str">
        <f t="shared" si="23"/>
        <v/>
      </c>
      <c r="N373" s="5"/>
      <c r="P373" t="s">
        <v>26</v>
      </c>
    </row>
    <row r="374" spans="2:16" x14ac:dyDescent="0.3">
      <c r="B374" s="16"/>
      <c r="C374" s="18"/>
      <c r="D374" s="104"/>
      <c r="E374" s="101"/>
      <c r="F374" s="101"/>
      <c r="G374" s="17" t="str">
        <f t="shared" si="21"/>
        <v/>
      </c>
      <c r="K374" s="2" t="str">
        <f t="shared" si="22"/>
        <v/>
      </c>
      <c r="L374" s="2" t="str">
        <f t="shared" si="24"/>
        <v/>
      </c>
      <c r="M374" s="2" t="str">
        <f t="shared" si="23"/>
        <v/>
      </c>
      <c r="N374" s="5"/>
      <c r="P374" t="s">
        <v>26</v>
      </c>
    </row>
    <row r="375" spans="2:16" x14ac:dyDescent="0.3">
      <c r="B375" s="16"/>
      <c r="C375" s="18"/>
      <c r="D375" s="104"/>
      <c r="E375" s="101"/>
      <c r="F375" s="101"/>
      <c r="G375" s="17" t="str">
        <f t="shared" si="21"/>
        <v/>
      </c>
      <c r="K375" s="2" t="str">
        <f t="shared" si="22"/>
        <v/>
      </c>
      <c r="L375" s="2" t="str">
        <f t="shared" si="24"/>
        <v/>
      </c>
      <c r="M375" s="2" t="str">
        <f t="shared" si="23"/>
        <v/>
      </c>
      <c r="N375" s="5"/>
      <c r="P375" t="s">
        <v>26</v>
      </c>
    </row>
    <row r="376" spans="2:16" x14ac:dyDescent="0.3">
      <c r="B376" s="16"/>
      <c r="C376" s="18"/>
      <c r="D376" s="104"/>
      <c r="E376" s="101"/>
      <c r="F376" s="101"/>
      <c r="G376" s="17" t="str">
        <f t="shared" si="21"/>
        <v/>
      </c>
      <c r="K376" s="2" t="str">
        <f t="shared" si="22"/>
        <v/>
      </c>
      <c r="L376" s="2" t="str">
        <f t="shared" si="24"/>
        <v/>
      </c>
      <c r="M376" s="2" t="str">
        <f t="shared" si="23"/>
        <v/>
      </c>
      <c r="N376" s="5"/>
      <c r="P376" t="s">
        <v>26</v>
      </c>
    </row>
    <row r="377" spans="2:16" x14ac:dyDescent="0.3">
      <c r="B377" s="16"/>
      <c r="C377" s="18"/>
      <c r="D377" s="104"/>
      <c r="E377" s="101"/>
      <c r="F377" s="101"/>
      <c r="G377" s="17" t="str">
        <f t="shared" si="21"/>
        <v/>
      </c>
      <c r="K377" s="2" t="str">
        <f t="shared" si="22"/>
        <v/>
      </c>
      <c r="L377" s="2" t="str">
        <f t="shared" si="24"/>
        <v/>
      </c>
      <c r="M377" s="2" t="str">
        <f t="shared" si="23"/>
        <v/>
      </c>
      <c r="N377" s="5"/>
      <c r="P377" t="s">
        <v>26</v>
      </c>
    </row>
    <row r="378" spans="2:16" x14ac:dyDescent="0.3">
      <c r="B378" s="16"/>
      <c r="C378" s="18"/>
      <c r="D378" s="104"/>
      <c r="E378" s="101"/>
      <c r="F378" s="101"/>
      <c r="G378" s="17" t="str">
        <f t="shared" si="21"/>
        <v/>
      </c>
      <c r="K378" s="2" t="str">
        <f t="shared" si="22"/>
        <v/>
      </c>
      <c r="L378" s="2" t="str">
        <f t="shared" si="24"/>
        <v/>
      </c>
      <c r="M378" s="2" t="str">
        <f t="shared" si="23"/>
        <v/>
      </c>
      <c r="N378" s="5"/>
      <c r="P378" t="s">
        <v>26</v>
      </c>
    </row>
    <row r="379" spans="2:16" x14ac:dyDescent="0.3">
      <c r="B379" s="16"/>
      <c r="C379" s="18"/>
      <c r="D379" s="104"/>
      <c r="E379" s="101"/>
      <c r="F379" s="101"/>
      <c r="G379" s="17" t="str">
        <f t="shared" si="21"/>
        <v/>
      </c>
      <c r="K379" s="2" t="str">
        <f t="shared" si="22"/>
        <v/>
      </c>
      <c r="L379" s="2" t="str">
        <f t="shared" si="24"/>
        <v/>
      </c>
      <c r="M379" s="2" t="str">
        <f t="shared" si="23"/>
        <v/>
      </c>
      <c r="N379" s="5"/>
      <c r="P379" t="s">
        <v>26</v>
      </c>
    </row>
    <row r="380" spans="2:16" x14ac:dyDescent="0.3">
      <c r="B380" s="16"/>
      <c r="C380" s="18"/>
      <c r="D380" s="104"/>
      <c r="E380" s="101"/>
      <c r="F380" s="101"/>
      <c r="G380" s="17" t="str">
        <f t="shared" si="21"/>
        <v/>
      </c>
      <c r="K380" s="2" t="str">
        <f t="shared" si="22"/>
        <v/>
      </c>
      <c r="L380" s="2" t="str">
        <f t="shared" si="24"/>
        <v/>
      </c>
      <c r="M380" s="2" t="str">
        <f t="shared" si="23"/>
        <v/>
      </c>
      <c r="N380" s="5"/>
      <c r="P380" t="s">
        <v>26</v>
      </c>
    </row>
    <row r="381" spans="2:16" x14ac:dyDescent="0.3">
      <c r="B381" s="16"/>
      <c r="C381" s="18"/>
      <c r="D381" s="104"/>
      <c r="E381" s="101"/>
      <c r="F381" s="101"/>
      <c r="G381" s="17" t="str">
        <f t="shared" si="21"/>
        <v/>
      </c>
      <c r="K381" s="2" t="str">
        <f t="shared" si="22"/>
        <v/>
      </c>
      <c r="L381" s="2" t="str">
        <f t="shared" si="24"/>
        <v/>
      </c>
      <c r="M381" s="2" t="str">
        <f t="shared" si="23"/>
        <v/>
      </c>
      <c r="N381" s="5"/>
      <c r="P381" t="s">
        <v>26</v>
      </c>
    </row>
    <row r="382" spans="2:16" x14ac:dyDescent="0.3">
      <c r="B382" s="16"/>
      <c r="C382" s="18"/>
      <c r="D382" s="104"/>
      <c r="E382" s="101"/>
      <c r="F382" s="101"/>
      <c r="G382" s="17" t="str">
        <f t="shared" si="21"/>
        <v/>
      </c>
      <c r="K382" s="2" t="str">
        <f t="shared" si="22"/>
        <v/>
      </c>
      <c r="L382" s="2" t="str">
        <f t="shared" si="24"/>
        <v/>
      </c>
      <c r="M382" s="2" t="str">
        <f t="shared" si="23"/>
        <v/>
      </c>
      <c r="N382" s="5"/>
      <c r="P382" t="s">
        <v>26</v>
      </c>
    </row>
    <row r="383" spans="2:16" x14ac:dyDescent="0.3">
      <c r="B383" s="16"/>
      <c r="C383" s="18"/>
      <c r="D383" s="104"/>
      <c r="E383" s="101"/>
      <c r="F383" s="101"/>
      <c r="G383" s="17" t="str">
        <f t="shared" si="21"/>
        <v/>
      </c>
      <c r="K383" s="2" t="str">
        <f t="shared" si="22"/>
        <v/>
      </c>
      <c r="L383" s="2" t="str">
        <f t="shared" si="24"/>
        <v/>
      </c>
      <c r="M383" s="2" t="str">
        <f t="shared" si="23"/>
        <v/>
      </c>
      <c r="N383" s="5"/>
      <c r="P383" t="s">
        <v>26</v>
      </c>
    </row>
    <row r="384" spans="2:16" x14ac:dyDescent="0.3">
      <c r="B384" s="16"/>
      <c r="C384" s="18"/>
      <c r="D384" s="104"/>
      <c r="E384" s="101"/>
      <c r="F384" s="101"/>
      <c r="G384" s="17" t="str">
        <f t="shared" si="21"/>
        <v/>
      </c>
      <c r="K384" s="2" t="str">
        <f t="shared" si="22"/>
        <v/>
      </c>
      <c r="L384" s="2" t="str">
        <f t="shared" si="24"/>
        <v/>
      </c>
      <c r="M384" s="2" t="str">
        <f t="shared" si="23"/>
        <v/>
      </c>
      <c r="N384" s="5"/>
      <c r="P384" t="s">
        <v>26</v>
      </c>
    </row>
    <row r="385" spans="2:16" x14ac:dyDescent="0.3">
      <c r="B385" s="16"/>
      <c r="C385" s="18"/>
      <c r="D385" s="104"/>
      <c r="E385" s="101"/>
      <c r="F385" s="101"/>
      <c r="G385" s="17" t="str">
        <f t="shared" si="21"/>
        <v/>
      </c>
      <c r="K385" s="2" t="str">
        <f t="shared" si="22"/>
        <v/>
      </c>
      <c r="L385" s="2" t="str">
        <f t="shared" si="24"/>
        <v/>
      </c>
      <c r="M385" s="2" t="str">
        <f t="shared" si="23"/>
        <v/>
      </c>
      <c r="N385" s="5"/>
      <c r="P385" t="s">
        <v>26</v>
      </c>
    </row>
    <row r="386" spans="2:16" x14ac:dyDescent="0.3">
      <c r="B386" s="16"/>
      <c r="C386" s="18"/>
      <c r="D386" s="104"/>
      <c r="E386" s="101"/>
      <c r="F386" s="101"/>
      <c r="G386" s="17" t="str">
        <f t="shared" si="21"/>
        <v/>
      </c>
      <c r="K386" s="2" t="str">
        <f t="shared" si="22"/>
        <v/>
      </c>
      <c r="L386" s="2" t="str">
        <f t="shared" si="24"/>
        <v/>
      </c>
      <c r="M386" s="2" t="str">
        <f t="shared" si="23"/>
        <v/>
      </c>
      <c r="N386" s="5"/>
      <c r="P386" t="s">
        <v>26</v>
      </c>
    </row>
    <row r="387" spans="2:16" x14ac:dyDescent="0.3">
      <c r="B387" s="16"/>
      <c r="C387" s="18"/>
      <c r="D387" s="104"/>
      <c r="E387" s="101"/>
      <c r="F387" s="101"/>
      <c r="G387" s="17" t="str">
        <f t="shared" si="21"/>
        <v/>
      </c>
      <c r="K387" s="2" t="str">
        <f t="shared" si="22"/>
        <v/>
      </c>
      <c r="L387" s="2" t="str">
        <f t="shared" si="24"/>
        <v/>
      </c>
      <c r="M387" s="2" t="str">
        <f t="shared" si="23"/>
        <v/>
      </c>
      <c r="N387" s="5"/>
      <c r="P387" t="s">
        <v>26</v>
      </c>
    </row>
    <row r="388" spans="2:16" x14ac:dyDescent="0.3">
      <c r="B388" s="16"/>
      <c r="C388" s="18"/>
      <c r="D388" s="104"/>
      <c r="E388" s="101"/>
      <c r="F388" s="101"/>
      <c r="G388" s="17" t="str">
        <f t="shared" ref="G388:G451" si="25">IF(AND(D388=E388,E388=F388),"",IF(AND(F388="",D388=E388),"",IF(AND(D388="",E388=F388),"",IF(AND(E388="",D388=F388),"",""))))</f>
        <v/>
      </c>
      <c r="K388" s="2" t="str">
        <f t="shared" ref="K388:K451" si="26">IF(D388="","",+D388)</f>
        <v/>
      </c>
      <c r="L388" s="2" t="str">
        <f t="shared" si="24"/>
        <v/>
      </c>
      <c r="M388" s="2" t="str">
        <f t="shared" ref="M388:M451" si="27">IF(B388="","",IF(COUNTIF($K$3:$K$295,K388)&gt;1,"동명",""))</f>
        <v/>
      </c>
      <c r="N388" s="5"/>
      <c r="P388" t="s">
        <v>26</v>
      </c>
    </row>
    <row r="389" spans="2:16" x14ac:dyDescent="0.3">
      <c r="B389" s="16"/>
      <c r="C389" s="18"/>
      <c r="D389" s="104"/>
      <c r="E389" s="101"/>
      <c r="F389" s="101"/>
      <c r="G389" s="17" t="str">
        <f t="shared" si="25"/>
        <v/>
      </c>
      <c r="K389" s="2" t="str">
        <f t="shared" si="26"/>
        <v/>
      </c>
      <c r="L389" s="2" t="str">
        <f t="shared" si="24"/>
        <v/>
      </c>
      <c r="M389" s="2" t="str">
        <f t="shared" si="27"/>
        <v/>
      </c>
      <c r="N389" s="5"/>
      <c r="P389" t="s">
        <v>26</v>
      </c>
    </row>
    <row r="390" spans="2:16" x14ac:dyDescent="0.3">
      <c r="B390" s="16"/>
      <c r="C390" s="18"/>
      <c r="D390" s="104"/>
      <c r="E390" s="101"/>
      <c r="F390" s="101"/>
      <c r="G390" s="17" t="str">
        <f t="shared" si="25"/>
        <v/>
      </c>
      <c r="K390" s="2" t="str">
        <f t="shared" si="26"/>
        <v/>
      </c>
      <c r="L390" s="2" t="str">
        <f t="shared" ref="L390:L453" si="28">RIGHT(K390,2)</f>
        <v/>
      </c>
      <c r="M390" s="2" t="str">
        <f t="shared" si="27"/>
        <v/>
      </c>
      <c r="N390" s="5"/>
      <c r="P390" t="s">
        <v>26</v>
      </c>
    </row>
    <row r="391" spans="2:16" x14ac:dyDescent="0.3">
      <c r="B391" s="16"/>
      <c r="C391" s="18"/>
      <c r="D391" s="104"/>
      <c r="E391" s="101"/>
      <c r="F391" s="101"/>
      <c r="G391" s="17" t="str">
        <f t="shared" si="25"/>
        <v/>
      </c>
      <c r="K391" s="2" t="str">
        <f t="shared" si="26"/>
        <v/>
      </c>
      <c r="L391" s="2" t="str">
        <f t="shared" si="28"/>
        <v/>
      </c>
      <c r="M391" s="2" t="str">
        <f t="shared" si="27"/>
        <v/>
      </c>
      <c r="N391" s="5"/>
      <c r="P391" t="s">
        <v>26</v>
      </c>
    </row>
    <row r="392" spans="2:16" x14ac:dyDescent="0.3">
      <c r="B392" s="16"/>
      <c r="C392" s="18"/>
      <c r="D392" s="104"/>
      <c r="E392" s="101"/>
      <c r="F392" s="101"/>
      <c r="G392" s="17" t="str">
        <f t="shared" si="25"/>
        <v/>
      </c>
      <c r="K392" s="2" t="str">
        <f t="shared" si="26"/>
        <v/>
      </c>
      <c r="L392" s="2" t="str">
        <f t="shared" si="28"/>
        <v/>
      </c>
      <c r="M392" s="2" t="str">
        <f t="shared" si="27"/>
        <v/>
      </c>
      <c r="N392" s="5"/>
      <c r="P392" t="s">
        <v>26</v>
      </c>
    </row>
    <row r="393" spans="2:16" x14ac:dyDescent="0.3">
      <c r="B393" s="16"/>
      <c r="C393" s="18"/>
      <c r="D393" s="104"/>
      <c r="E393" s="101"/>
      <c r="F393" s="101"/>
      <c r="G393" s="17" t="str">
        <f t="shared" si="25"/>
        <v/>
      </c>
      <c r="K393" s="2" t="str">
        <f t="shared" si="26"/>
        <v/>
      </c>
      <c r="L393" s="2" t="str">
        <f t="shared" si="28"/>
        <v/>
      </c>
      <c r="M393" s="2" t="str">
        <f t="shared" si="27"/>
        <v/>
      </c>
      <c r="N393" s="5"/>
      <c r="P393" t="s">
        <v>26</v>
      </c>
    </row>
    <row r="394" spans="2:16" x14ac:dyDescent="0.3">
      <c r="B394" s="16"/>
      <c r="C394" s="18"/>
      <c r="D394" s="104"/>
      <c r="E394" s="101"/>
      <c r="F394" s="101"/>
      <c r="G394" s="17" t="str">
        <f t="shared" si="25"/>
        <v/>
      </c>
      <c r="K394" s="2" t="str">
        <f t="shared" si="26"/>
        <v/>
      </c>
      <c r="L394" s="2" t="str">
        <f t="shared" si="28"/>
        <v/>
      </c>
      <c r="M394" s="2" t="str">
        <f t="shared" si="27"/>
        <v/>
      </c>
      <c r="N394" s="5"/>
      <c r="P394" t="s">
        <v>26</v>
      </c>
    </row>
    <row r="395" spans="2:16" x14ac:dyDescent="0.3">
      <c r="B395" s="16"/>
      <c r="C395" s="18"/>
      <c r="D395" s="104"/>
      <c r="E395" s="101"/>
      <c r="F395" s="101"/>
      <c r="G395" s="17" t="str">
        <f t="shared" si="25"/>
        <v/>
      </c>
      <c r="K395" s="2" t="str">
        <f t="shared" si="26"/>
        <v/>
      </c>
      <c r="L395" s="2" t="str">
        <f t="shared" si="28"/>
        <v/>
      </c>
      <c r="M395" s="2" t="str">
        <f t="shared" si="27"/>
        <v/>
      </c>
      <c r="N395" s="5"/>
      <c r="P395" t="s">
        <v>26</v>
      </c>
    </row>
    <row r="396" spans="2:16" x14ac:dyDescent="0.3">
      <c r="B396" s="16"/>
      <c r="C396" s="18"/>
      <c r="D396" s="104"/>
      <c r="E396" s="101"/>
      <c r="F396" s="101"/>
      <c r="G396" s="17" t="str">
        <f t="shared" si="25"/>
        <v/>
      </c>
      <c r="K396" s="2" t="str">
        <f t="shared" si="26"/>
        <v/>
      </c>
      <c r="L396" s="2" t="str">
        <f t="shared" si="28"/>
        <v/>
      </c>
      <c r="M396" s="2" t="str">
        <f t="shared" si="27"/>
        <v/>
      </c>
      <c r="N396" s="5"/>
      <c r="P396" t="s">
        <v>26</v>
      </c>
    </row>
    <row r="397" spans="2:16" x14ac:dyDescent="0.3">
      <c r="B397" s="16"/>
      <c r="C397" s="18"/>
      <c r="D397" s="104"/>
      <c r="E397" s="101"/>
      <c r="F397" s="101"/>
      <c r="G397" s="17" t="str">
        <f t="shared" si="25"/>
        <v/>
      </c>
      <c r="K397" s="2" t="str">
        <f t="shared" si="26"/>
        <v/>
      </c>
      <c r="L397" s="2" t="str">
        <f t="shared" si="28"/>
        <v/>
      </c>
      <c r="M397" s="2" t="str">
        <f t="shared" si="27"/>
        <v/>
      </c>
      <c r="N397" s="5"/>
      <c r="P397" t="s">
        <v>26</v>
      </c>
    </row>
    <row r="398" spans="2:16" x14ac:dyDescent="0.3">
      <c r="B398" s="16"/>
      <c r="C398" s="18"/>
      <c r="D398" s="104"/>
      <c r="E398" s="101"/>
      <c r="F398" s="101"/>
      <c r="G398" s="17" t="str">
        <f t="shared" si="25"/>
        <v/>
      </c>
      <c r="K398" s="2" t="str">
        <f t="shared" si="26"/>
        <v/>
      </c>
      <c r="L398" s="2" t="str">
        <f t="shared" si="28"/>
        <v/>
      </c>
      <c r="M398" s="2" t="str">
        <f t="shared" si="27"/>
        <v/>
      </c>
      <c r="N398" s="5"/>
      <c r="P398" t="s">
        <v>26</v>
      </c>
    </row>
    <row r="399" spans="2:16" x14ac:dyDescent="0.3">
      <c r="B399" s="16"/>
      <c r="C399" s="18"/>
      <c r="D399" s="104"/>
      <c r="E399" s="101"/>
      <c r="F399" s="101"/>
      <c r="G399" s="17" t="str">
        <f t="shared" si="25"/>
        <v/>
      </c>
      <c r="K399" s="2" t="str">
        <f t="shared" si="26"/>
        <v/>
      </c>
      <c r="L399" s="2" t="str">
        <f t="shared" si="28"/>
        <v/>
      </c>
      <c r="M399" s="2" t="str">
        <f t="shared" si="27"/>
        <v/>
      </c>
      <c r="N399" s="5"/>
      <c r="P399" t="s">
        <v>26</v>
      </c>
    </row>
    <row r="400" spans="2:16" x14ac:dyDescent="0.3">
      <c r="B400" s="16"/>
      <c r="C400" s="18"/>
      <c r="D400" s="104"/>
      <c r="E400" s="101"/>
      <c r="F400" s="101"/>
      <c r="G400" s="17" t="str">
        <f t="shared" si="25"/>
        <v/>
      </c>
      <c r="K400" s="2" t="str">
        <f t="shared" si="26"/>
        <v/>
      </c>
      <c r="L400" s="2" t="str">
        <f t="shared" si="28"/>
        <v/>
      </c>
      <c r="M400" s="2" t="str">
        <f t="shared" si="27"/>
        <v/>
      </c>
      <c r="N400" s="5"/>
      <c r="P400" t="s">
        <v>26</v>
      </c>
    </row>
    <row r="401" spans="2:16" x14ac:dyDescent="0.3">
      <c r="B401" s="16"/>
      <c r="C401" s="18"/>
      <c r="D401" s="104"/>
      <c r="E401" s="101"/>
      <c r="F401" s="101"/>
      <c r="G401" s="17" t="str">
        <f t="shared" si="25"/>
        <v/>
      </c>
      <c r="K401" s="2" t="str">
        <f t="shared" si="26"/>
        <v/>
      </c>
      <c r="L401" s="2" t="str">
        <f t="shared" si="28"/>
        <v/>
      </c>
      <c r="M401" s="2" t="str">
        <f t="shared" si="27"/>
        <v/>
      </c>
      <c r="N401" s="5"/>
      <c r="P401" t="s">
        <v>26</v>
      </c>
    </row>
    <row r="402" spans="2:16" x14ac:dyDescent="0.3">
      <c r="B402" s="16"/>
      <c r="C402" s="18"/>
      <c r="D402" s="104"/>
      <c r="E402" s="101"/>
      <c r="F402" s="101"/>
      <c r="G402" s="17" t="str">
        <f t="shared" si="25"/>
        <v/>
      </c>
      <c r="K402" s="2" t="str">
        <f t="shared" si="26"/>
        <v/>
      </c>
      <c r="L402" s="2" t="str">
        <f t="shared" si="28"/>
        <v/>
      </c>
      <c r="M402" s="2" t="str">
        <f t="shared" si="27"/>
        <v/>
      </c>
      <c r="N402" s="5"/>
      <c r="P402" t="s">
        <v>26</v>
      </c>
    </row>
    <row r="403" spans="2:16" x14ac:dyDescent="0.3">
      <c r="B403" s="16"/>
      <c r="C403" s="18"/>
      <c r="D403" s="104"/>
      <c r="E403" s="101"/>
      <c r="F403" s="101"/>
      <c r="G403" s="17" t="str">
        <f t="shared" si="25"/>
        <v/>
      </c>
      <c r="K403" s="2" t="str">
        <f t="shared" si="26"/>
        <v/>
      </c>
      <c r="L403" s="2" t="str">
        <f t="shared" si="28"/>
        <v/>
      </c>
      <c r="M403" s="2" t="str">
        <f t="shared" si="27"/>
        <v/>
      </c>
      <c r="N403" s="5"/>
      <c r="P403" t="s">
        <v>26</v>
      </c>
    </row>
    <row r="404" spans="2:16" x14ac:dyDescent="0.3">
      <c r="B404" s="16"/>
      <c r="C404" s="18"/>
      <c r="D404" s="104"/>
      <c r="E404" s="101"/>
      <c r="F404" s="101"/>
      <c r="G404" s="17" t="str">
        <f t="shared" si="25"/>
        <v/>
      </c>
      <c r="K404" s="2" t="str">
        <f t="shared" si="26"/>
        <v/>
      </c>
      <c r="L404" s="2" t="str">
        <f t="shared" si="28"/>
        <v/>
      </c>
      <c r="M404" s="2" t="str">
        <f t="shared" si="27"/>
        <v/>
      </c>
      <c r="N404" s="5"/>
      <c r="P404" t="s">
        <v>26</v>
      </c>
    </row>
    <row r="405" spans="2:16" x14ac:dyDescent="0.3">
      <c r="B405" s="16"/>
      <c r="C405" s="18"/>
      <c r="D405" s="104"/>
      <c r="E405" s="101"/>
      <c r="F405" s="101"/>
      <c r="G405" s="17" t="str">
        <f t="shared" si="25"/>
        <v/>
      </c>
      <c r="K405" s="2" t="str">
        <f t="shared" si="26"/>
        <v/>
      </c>
      <c r="L405" s="2" t="str">
        <f t="shared" si="28"/>
        <v/>
      </c>
      <c r="M405" s="2" t="str">
        <f t="shared" si="27"/>
        <v/>
      </c>
      <c r="N405" s="5"/>
      <c r="P405" t="s">
        <v>26</v>
      </c>
    </row>
    <row r="406" spans="2:16" x14ac:dyDescent="0.3">
      <c r="B406" s="16"/>
      <c r="C406" s="18"/>
      <c r="D406" s="104"/>
      <c r="E406" s="101"/>
      <c r="F406" s="101"/>
      <c r="G406" s="17" t="str">
        <f t="shared" si="25"/>
        <v/>
      </c>
      <c r="K406" s="2" t="str">
        <f t="shared" si="26"/>
        <v/>
      </c>
      <c r="L406" s="2" t="str">
        <f t="shared" si="28"/>
        <v/>
      </c>
      <c r="M406" s="2" t="str">
        <f t="shared" si="27"/>
        <v/>
      </c>
      <c r="N406" s="5"/>
      <c r="P406" t="s">
        <v>26</v>
      </c>
    </row>
    <row r="407" spans="2:16" x14ac:dyDescent="0.3">
      <c r="B407" s="16"/>
      <c r="C407" s="18"/>
      <c r="D407" s="104"/>
      <c r="E407" s="101"/>
      <c r="F407" s="101"/>
      <c r="G407" s="17" t="str">
        <f t="shared" si="25"/>
        <v/>
      </c>
      <c r="K407" s="2" t="str">
        <f t="shared" si="26"/>
        <v/>
      </c>
      <c r="L407" s="2" t="str">
        <f t="shared" si="28"/>
        <v/>
      </c>
      <c r="M407" s="2" t="str">
        <f t="shared" si="27"/>
        <v/>
      </c>
      <c r="N407" s="5"/>
      <c r="P407" t="s">
        <v>26</v>
      </c>
    </row>
    <row r="408" spans="2:16" x14ac:dyDescent="0.3">
      <c r="B408" s="16"/>
      <c r="C408" s="18"/>
      <c r="D408" s="104"/>
      <c r="E408" s="101"/>
      <c r="F408" s="101"/>
      <c r="G408" s="17" t="str">
        <f t="shared" si="25"/>
        <v/>
      </c>
      <c r="K408" s="2" t="str">
        <f t="shared" si="26"/>
        <v/>
      </c>
      <c r="L408" s="2" t="str">
        <f t="shared" si="28"/>
        <v/>
      </c>
      <c r="M408" s="2" t="str">
        <f t="shared" si="27"/>
        <v/>
      </c>
      <c r="N408" s="5"/>
      <c r="P408" t="s">
        <v>26</v>
      </c>
    </row>
    <row r="409" spans="2:16" x14ac:dyDescent="0.3">
      <c r="B409" s="16"/>
      <c r="C409" s="18"/>
      <c r="D409" s="104"/>
      <c r="E409" s="101"/>
      <c r="F409" s="101"/>
      <c r="G409" s="17" t="str">
        <f t="shared" si="25"/>
        <v/>
      </c>
      <c r="K409" s="2" t="str">
        <f t="shared" si="26"/>
        <v/>
      </c>
      <c r="L409" s="2" t="str">
        <f t="shared" si="28"/>
        <v/>
      </c>
      <c r="M409" s="2" t="str">
        <f t="shared" si="27"/>
        <v/>
      </c>
      <c r="N409" s="5"/>
      <c r="P409" t="s">
        <v>26</v>
      </c>
    </row>
    <row r="410" spans="2:16" x14ac:dyDescent="0.3">
      <c r="B410" s="16"/>
      <c r="C410" s="18"/>
      <c r="D410" s="104"/>
      <c r="E410" s="101"/>
      <c r="F410" s="101"/>
      <c r="G410" s="17" t="str">
        <f t="shared" si="25"/>
        <v/>
      </c>
      <c r="K410" s="2" t="str">
        <f t="shared" si="26"/>
        <v/>
      </c>
      <c r="L410" s="2" t="str">
        <f t="shared" si="28"/>
        <v/>
      </c>
      <c r="M410" s="2" t="str">
        <f t="shared" si="27"/>
        <v/>
      </c>
      <c r="N410" s="5"/>
      <c r="P410" t="s">
        <v>26</v>
      </c>
    </row>
    <row r="411" spans="2:16" x14ac:dyDescent="0.3">
      <c r="B411" s="16"/>
      <c r="C411" s="18"/>
      <c r="D411" s="104"/>
      <c r="E411" s="101"/>
      <c r="F411" s="101"/>
      <c r="G411" s="17" t="str">
        <f t="shared" si="25"/>
        <v/>
      </c>
      <c r="K411" s="2" t="str">
        <f t="shared" si="26"/>
        <v/>
      </c>
      <c r="L411" s="2" t="str">
        <f t="shared" si="28"/>
        <v/>
      </c>
      <c r="M411" s="2" t="str">
        <f t="shared" si="27"/>
        <v/>
      </c>
      <c r="N411" s="5"/>
      <c r="P411" t="s">
        <v>26</v>
      </c>
    </row>
    <row r="412" spans="2:16" x14ac:dyDescent="0.3">
      <c r="B412" s="16"/>
      <c r="C412" s="18"/>
      <c r="D412" s="104"/>
      <c r="E412" s="101"/>
      <c r="F412" s="101"/>
      <c r="G412" s="17" t="str">
        <f t="shared" si="25"/>
        <v/>
      </c>
      <c r="K412" s="2" t="str">
        <f t="shared" si="26"/>
        <v/>
      </c>
      <c r="L412" s="2" t="str">
        <f t="shared" si="28"/>
        <v/>
      </c>
      <c r="M412" s="2" t="str">
        <f t="shared" si="27"/>
        <v/>
      </c>
      <c r="N412" s="5"/>
      <c r="P412" t="s">
        <v>26</v>
      </c>
    </row>
    <row r="413" spans="2:16" x14ac:dyDescent="0.3">
      <c r="B413" s="16"/>
      <c r="C413" s="18"/>
      <c r="D413" s="104"/>
      <c r="E413" s="101"/>
      <c r="F413" s="101"/>
      <c r="G413" s="17" t="str">
        <f t="shared" si="25"/>
        <v/>
      </c>
      <c r="K413" s="2" t="str">
        <f t="shared" si="26"/>
        <v/>
      </c>
      <c r="L413" s="2" t="str">
        <f t="shared" si="28"/>
        <v/>
      </c>
      <c r="M413" s="2" t="str">
        <f t="shared" si="27"/>
        <v/>
      </c>
      <c r="N413" s="5"/>
      <c r="P413" t="s">
        <v>26</v>
      </c>
    </row>
    <row r="414" spans="2:16" x14ac:dyDescent="0.3">
      <c r="B414" s="16"/>
      <c r="C414" s="18"/>
      <c r="D414" s="104"/>
      <c r="E414" s="101"/>
      <c r="F414" s="101"/>
      <c r="G414" s="17" t="str">
        <f t="shared" si="25"/>
        <v/>
      </c>
      <c r="K414" s="2" t="str">
        <f t="shared" si="26"/>
        <v/>
      </c>
      <c r="L414" s="2" t="str">
        <f t="shared" si="28"/>
        <v/>
      </c>
      <c r="M414" s="2" t="str">
        <f t="shared" si="27"/>
        <v/>
      </c>
      <c r="N414" s="5"/>
      <c r="P414" t="s">
        <v>26</v>
      </c>
    </row>
    <row r="415" spans="2:16" x14ac:dyDescent="0.3">
      <c r="B415" s="16"/>
      <c r="C415" s="18"/>
      <c r="D415" s="104"/>
      <c r="E415" s="101"/>
      <c r="F415" s="101"/>
      <c r="G415" s="17" t="str">
        <f t="shared" si="25"/>
        <v/>
      </c>
      <c r="K415" s="2" t="str">
        <f t="shared" si="26"/>
        <v/>
      </c>
      <c r="L415" s="2" t="str">
        <f t="shared" si="28"/>
        <v/>
      </c>
      <c r="M415" s="2" t="str">
        <f t="shared" si="27"/>
        <v/>
      </c>
      <c r="N415" s="5"/>
      <c r="P415" t="s">
        <v>26</v>
      </c>
    </row>
    <row r="416" spans="2:16" x14ac:dyDescent="0.3">
      <c r="B416" s="16"/>
      <c r="C416" s="18"/>
      <c r="D416" s="104"/>
      <c r="E416" s="101"/>
      <c r="F416" s="101"/>
      <c r="G416" s="17" t="str">
        <f t="shared" si="25"/>
        <v/>
      </c>
      <c r="K416" s="2" t="str">
        <f t="shared" si="26"/>
        <v/>
      </c>
      <c r="L416" s="2" t="str">
        <f t="shared" si="28"/>
        <v/>
      </c>
      <c r="M416" s="2" t="str">
        <f t="shared" si="27"/>
        <v/>
      </c>
      <c r="N416" s="5"/>
      <c r="P416" t="s">
        <v>26</v>
      </c>
    </row>
    <row r="417" spans="2:16" x14ac:dyDescent="0.3">
      <c r="B417" s="16"/>
      <c r="C417" s="18"/>
      <c r="D417" s="104"/>
      <c r="E417" s="101"/>
      <c r="F417" s="101"/>
      <c r="G417" s="17" t="str">
        <f t="shared" si="25"/>
        <v/>
      </c>
      <c r="K417" s="2" t="str">
        <f t="shared" si="26"/>
        <v/>
      </c>
      <c r="L417" s="2" t="str">
        <f t="shared" si="28"/>
        <v/>
      </c>
      <c r="M417" s="2" t="str">
        <f t="shared" si="27"/>
        <v/>
      </c>
      <c r="N417" s="5"/>
      <c r="P417" t="s">
        <v>26</v>
      </c>
    </row>
    <row r="418" spans="2:16" x14ac:dyDescent="0.3">
      <c r="B418" s="16"/>
      <c r="C418" s="18"/>
      <c r="D418" s="104"/>
      <c r="E418" s="101"/>
      <c r="F418" s="101"/>
      <c r="G418" s="17" t="str">
        <f t="shared" si="25"/>
        <v/>
      </c>
      <c r="K418" s="2" t="str">
        <f t="shared" si="26"/>
        <v/>
      </c>
      <c r="L418" s="2" t="str">
        <f t="shared" si="28"/>
        <v/>
      </c>
      <c r="M418" s="2" t="str">
        <f t="shared" si="27"/>
        <v/>
      </c>
      <c r="N418" s="5"/>
      <c r="P418" t="s">
        <v>26</v>
      </c>
    </row>
    <row r="419" spans="2:16" x14ac:dyDescent="0.3">
      <c r="B419" s="16"/>
      <c r="C419" s="18"/>
      <c r="D419" s="104"/>
      <c r="E419" s="101"/>
      <c r="F419" s="101"/>
      <c r="G419" s="17" t="str">
        <f t="shared" si="25"/>
        <v/>
      </c>
      <c r="K419" s="2" t="str">
        <f t="shared" si="26"/>
        <v/>
      </c>
      <c r="L419" s="2" t="str">
        <f t="shared" si="28"/>
        <v/>
      </c>
      <c r="M419" s="2" t="str">
        <f t="shared" si="27"/>
        <v/>
      </c>
      <c r="N419" s="5"/>
      <c r="P419" t="s">
        <v>26</v>
      </c>
    </row>
    <row r="420" spans="2:16" x14ac:dyDescent="0.3">
      <c r="B420" s="16"/>
      <c r="C420" s="18"/>
      <c r="D420" s="104"/>
      <c r="E420" s="101"/>
      <c r="F420" s="101"/>
      <c r="G420" s="17" t="str">
        <f t="shared" si="25"/>
        <v/>
      </c>
      <c r="K420" s="2" t="str">
        <f t="shared" si="26"/>
        <v/>
      </c>
      <c r="L420" s="2" t="str">
        <f t="shared" si="28"/>
        <v/>
      </c>
      <c r="M420" s="2" t="str">
        <f t="shared" si="27"/>
        <v/>
      </c>
      <c r="N420" s="5"/>
      <c r="P420" t="s">
        <v>26</v>
      </c>
    </row>
    <row r="421" spans="2:16" x14ac:dyDescent="0.3">
      <c r="B421" s="16"/>
      <c r="C421" s="18"/>
      <c r="D421" s="104"/>
      <c r="E421" s="101"/>
      <c r="F421" s="101"/>
      <c r="G421" s="17" t="str">
        <f t="shared" si="25"/>
        <v/>
      </c>
      <c r="K421" s="2" t="str">
        <f t="shared" si="26"/>
        <v/>
      </c>
      <c r="L421" s="2" t="str">
        <f t="shared" si="28"/>
        <v/>
      </c>
      <c r="M421" s="2" t="str">
        <f t="shared" si="27"/>
        <v/>
      </c>
      <c r="N421" s="5"/>
      <c r="P421" t="s">
        <v>26</v>
      </c>
    </row>
    <row r="422" spans="2:16" x14ac:dyDescent="0.3">
      <c r="B422" s="16"/>
      <c r="C422" s="18"/>
      <c r="D422" s="104"/>
      <c r="E422" s="101"/>
      <c r="F422" s="101"/>
      <c r="G422" s="17" t="str">
        <f t="shared" si="25"/>
        <v/>
      </c>
      <c r="K422" s="2" t="str">
        <f t="shared" si="26"/>
        <v/>
      </c>
      <c r="L422" s="2" t="str">
        <f t="shared" si="28"/>
        <v/>
      </c>
      <c r="M422" s="2" t="str">
        <f t="shared" si="27"/>
        <v/>
      </c>
      <c r="N422" s="5"/>
      <c r="P422" t="s">
        <v>26</v>
      </c>
    </row>
    <row r="423" spans="2:16" x14ac:dyDescent="0.3">
      <c r="B423" s="16"/>
      <c r="C423" s="18"/>
      <c r="D423" s="104"/>
      <c r="E423" s="101"/>
      <c r="F423" s="101"/>
      <c r="G423" s="17" t="str">
        <f t="shared" si="25"/>
        <v/>
      </c>
      <c r="K423" s="2" t="str">
        <f t="shared" si="26"/>
        <v/>
      </c>
      <c r="L423" s="2" t="str">
        <f t="shared" si="28"/>
        <v/>
      </c>
      <c r="M423" s="2" t="str">
        <f t="shared" si="27"/>
        <v/>
      </c>
      <c r="N423" s="5"/>
      <c r="P423" t="s">
        <v>26</v>
      </c>
    </row>
    <row r="424" spans="2:16" x14ac:dyDescent="0.3">
      <c r="B424" s="16"/>
      <c r="C424" s="18"/>
      <c r="D424" s="104"/>
      <c r="E424" s="101"/>
      <c r="F424" s="101"/>
      <c r="G424" s="17" t="str">
        <f t="shared" si="25"/>
        <v/>
      </c>
      <c r="K424" s="2" t="str">
        <f t="shared" si="26"/>
        <v/>
      </c>
      <c r="L424" s="2" t="str">
        <f t="shared" si="28"/>
        <v/>
      </c>
      <c r="M424" s="2" t="str">
        <f t="shared" si="27"/>
        <v/>
      </c>
      <c r="N424" s="5"/>
      <c r="P424" t="s">
        <v>26</v>
      </c>
    </row>
    <row r="425" spans="2:16" x14ac:dyDescent="0.3">
      <c r="B425" s="16"/>
      <c r="C425" s="18"/>
      <c r="D425" s="104"/>
      <c r="E425" s="101"/>
      <c r="F425" s="101"/>
      <c r="G425" s="17" t="str">
        <f t="shared" si="25"/>
        <v/>
      </c>
      <c r="K425" s="2" t="str">
        <f t="shared" si="26"/>
        <v/>
      </c>
      <c r="L425" s="2" t="str">
        <f t="shared" si="28"/>
        <v/>
      </c>
      <c r="M425" s="2" t="str">
        <f t="shared" si="27"/>
        <v/>
      </c>
      <c r="N425" s="5"/>
      <c r="P425" t="s">
        <v>26</v>
      </c>
    </row>
    <row r="426" spans="2:16" x14ac:dyDescent="0.3">
      <c r="B426" s="16"/>
      <c r="C426" s="18"/>
      <c r="D426" s="104"/>
      <c r="E426" s="101"/>
      <c r="F426" s="101"/>
      <c r="G426" s="17" t="str">
        <f t="shared" si="25"/>
        <v/>
      </c>
      <c r="K426" s="2" t="str">
        <f t="shared" si="26"/>
        <v/>
      </c>
      <c r="L426" s="2" t="str">
        <f t="shared" si="28"/>
        <v/>
      </c>
      <c r="M426" s="2" t="str">
        <f t="shared" si="27"/>
        <v/>
      </c>
      <c r="N426" s="5"/>
      <c r="P426" t="s">
        <v>26</v>
      </c>
    </row>
    <row r="427" spans="2:16" x14ac:dyDescent="0.3">
      <c r="B427" s="16"/>
      <c r="C427" s="18"/>
      <c r="D427" s="104"/>
      <c r="E427" s="101"/>
      <c r="F427" s="101"/>
      <c r="G427" s="17" t="str">
        <f t="shared" si="25"/>
        <v/>
      </c>
      <c r="K427" s="2" t="str">
        <f t="shared" si="26"/>
        <v/>
      </c>
      <c r="L427" s="2" t="str">
        <f t="shared" si="28"/>
        <v/>
      </c>
      <c r="M427" s="2" t="str">
        <f t="shared" si="27"/>
        <v/>
      </c>
      <c r="N427" s="5"/>
      <c r="P427" t="s">
        <v>26</v>
      </c>
    </row>
    <row r="428" spans="2:16" x14ac:dyDescent="0.3">
      <c r="B428" s="16"/>
      <c r="C428" s="18"/>
      <c r="D428" s="104"/>
      <c r="E428" s="101"/>
      <c r="F428" s="101"/>
      <c r="G428" s="17" t="str">
        <f t="shared" si="25"/>
        <v/>
      </c>
      <c r="K428" s="2" t="str">
        <f t="shared" si="26"/>
        <v/>
      </c>
      <c r="L428" s="2" t="str">
        <f t="shared" si="28"/>
        <v/>
      </c>
      <c r="M428" s="2" t="str">
        <f t="shared" si="27"/>
        <v/>
      </c>
      <c r="N428" s="5"/>
      <c r="P428" t="s">
        <v>26</v>
      </c>
    </row>
    <row r="429" spans="2:16" x14ac:dyDescent="0.3">
      <c r="B429" s="16"/>
      <c r="C429" s="18"/>
      <c r="D429" s="104"/>
      <c r="E429" s="101"/>
      <c r="F429" s="101"/>
      <c r="G429" s="17" t="str">
        <f t="shared" si="25"/>
        <v/>
      </c>
      <c r="K429" s="2" t="str">
        <f t="shared" si="26"/>
        <v/>
      </c>
      <c r="L429" s="2" t="str">
        <f t="shared" si="28"/>
        <v/>
      </c>
      <c r="M429" s="2" t="str">
        <f t="shared" si="27"/>
        <v/>
      </c>
      <c r="N429" s="5"/>
      <c r="P429" t="s">
        <v>26</v>
      </c>
    </row>
    <row r="430" spans="2:16" x14ac:dyDescent="0.3">
      <c r="B430" s="16"/>
      <c r="C430" s="18"/>
      <c r="D430" s="104"/>
      <c r="E430" s="101"/>
      <c r="F430" s="101"/>
      <c r="G430" s="17" t="str">
        <f t="shared" si="25"/>
        <v/>
      </c>
      <c r="K430" s="2" t="str">
        <f t="shared" si="26"/>
        <v/>
      </c>
      <c r="L430" s="2" t="str">
        <f t="shared" si="28"/>
        <v/>
      </c>
      <c r="M430" s="2" t="str">
        <f t="shared" si="27"/>
        <v/>
      </c>
      <c r="N430" s="5"/>
      <c r="P430" t="s">
        <v>26</v>
      </c>
    </row>
    <row r="431" spans="2:16" x14ac:dyDescent="0.3">
      <c r="B431" s="16"/>
      <c r="C431" s="18"/>
      <c r="D431" s="104"/>
      <c r="E431" s="101"/>
      <c r="F431" s="101"/>
      <c r="G431" s="17" t="str">
        <f t="shared" si="25"/>
        <v/>
      </c>
      <c r="K431" s="2" t="str">
        <f t="shared" si="26"/>
        <v/>
      </c>
      <c r="L431" s="2" t="str">
        <f t="shared" si="28"/>
        <v/>
      </c>
      <c r="M431" s="2" t="str">
        <f t="shared" si="27"/>
        <v/>
      </c>
      <c r="N431" s="5"/>
      <c r="P431" t="s">
        <v>26</v>
      </c>
    </row>
    <row r="432" spans="2:16" x14ac:dyDescent="0.3">
      <c r="B432" s="16"/>
      <c r="C432" s="18"/>
      <c r="D432" s="104"/>
      <c r="E432" s="101"/>
      <c r="F432" s="101"/>
      <c r="G432" s="17" t="str">
        <f t="shared" si="25"/>
        <v/>
      </c>
      <c r="K432" s="2" t="str">
        <f t="shared" si="26"/>
        <v/>
      </c>
      <c r="L432" s="2" t="str">
        <f t="shared" si="28"/>
        <v/>
      </c>
      <c r="M432" s="2" t="str">
        <f t="shared" si="27"/>
        <v/>
      </c>
      <c r="N432" s="5"/>
      <c r="P432" t="s">
        <v>26</v>
      </c>
    </row>
    <row r="433" spans="2:16" x14ac:dyDescent="0.3">
      <c r="B433" s="16"/>
      <c r="C433" s="18"/>
      <c r="D433" s="104"/>
      <c r="E433" s="101"/>
      <c r="F433" s="101"/>
      <c r="G433" s="17" t="str">
        <f t="shared" si="25"/>
        <v/>
      </c>
      <c r="K433" s="2" t="str">
        <f t="shared" si="26"/>
        <v/>
      </c>
      <c r="L433" s="2" t="str">
        <f t="shared" si="28"/>
        <v/>
      </c>
      <c r="M433" s="2" t="str">
        <f t="shared" si="27"/>
        <v/>
      </c>
      <c r="N433" s="5"/>
      <c r="P433" t="s">
        <v>26</v>
      </c>
    </row>
    <row r="434" spans="2:16" x14ac:dyDescent="0.3">
      <c r="B434" s="16"/>
      <c r="C434" s="18"/>
      <c r="D434" s="104"/>
      <c r="E434" s="101"/>
      <c r="F434" s="101"/>
      <c r="G434" s="17" t="str">
        <f t="shared" si="25"/>
        <v/>
      </c>
      <c r="K434" s="2" t="str">
        <f t="shared" si="26"/>
        <v/>
      </c>
      <c r="L434" s="2" t="str">
        <f t="shared" si="28"/>
        <v/>
      </c>
      <c r="M434" s="2" t="str">
        <f t="shared" si="27"/>
        <v/>
      </c>
      <c r="N434" s="5"/>
      <c r="P434" t="s">
        <v>26</v>
      </c>
    </row>
    <row r="435" spans="2:16" x14ac:dyDescent="0.3">
      <c r="B435" s="16"/>
      <c r="C435" s="18"/>
      <c r="D435" s="104"/>
      <c r="E435" s="101"/>
      <c r="F435" s="101"/>
      <c r="G435" s="17" t="str">
        <f t="shared" si="25"/>
        <v/>
      </c>
      <c r="K435" s="2" t="str">
        <f t="shared" si="26"/>
        <v/>
      </c>
      <c r="L435" s="2" t="str">
        <f t="shared" si="28"/>
        <v/>
      </c>
      <c r="M435" s="2" t="str">
        <f t="shared" si="27"/>
        <v/>
      </c>
      <c r="N435" s="5"/>
      <c r="P435" t="s">
        <v>26</v>
      </c>
    </row>
    <row r="436" spans="2:16" x14ac:dyDescent="0.3">
      <c r="B436" s="16"/>
      <c r="C436" s="18"/>
      <c r="D436" s="104"/>
      <c r="E436" s="101"/>
      <c r="F436" s="101"/>
      <c r="G436" s="17" t="str">
        <f t="shared" si="25"/>
        <v/>
      </c>
      <c r="K436" s="2" t="str">
        <f t="shared" si="26"/>
        <v/>
      </c>
      <c r="L436" s="2" t="str">
        <f t="shared" si="28"/>
        <v/>
      </c>
      <c r="M436" s="2" t="str">
        <f t="shared" si="27"/>
        <v/>
      </c>
      <c r="N436" s="5"/>
      <c r="P436" t="s">
        <v>26</v>
      </c>
    </row>
    <row r="437" spans="2:16" x14ac:dyDescent="0.3">
      <c r="B437" s="16"/>
      <c r="C437" s="18"/>
      <c r="D437" s="104"/>
      <c r="E437" s="101"/>
      <c r="F437" s="101"/>
      <c r="G437" s="17" t="str">
        <f t="shared" si="25"/>
        <v/>
      </c>
      <c r="K437" s="2" t="str">
        <f t="shared" si="26"/>
        <v/>
      </c>
      <c r="L437" s="2" t="str">
        <f t="shared" si="28"/>
        <v/>
      </c>
      <c r="M437" s="2" t="str">
        <f t="shared" si="27"/>
        <v/>
      </c>
      <c r="N437" s="5"/>
      <c r="P437" t="s">
        <v>26</v>
      </c>
    </row>
    <row r="438" spans="2:16" x14ac:dyDescent="0.3">
      <c r="B438" s="16"/>
      <c r="C438" s="18"/>
      <c r="D438" s="104"/>
      <c r="E438" s="101"/>
      <c r="F438" s="101"/>
      <c r="G438" s="17" t="str">
        <f t="shared" si="25"/>
        <v/>
      </c>
      <c r="K438" s="2" t="str">
        <f t="shared" si="26"/>
        <v/>
      </c>
      <c r="L438" s="2" t="str">
        <f t="shared" si="28"/>
        <v/>
      </c>
      <c r="M438" s="2" t="str">
        <f t="shared" si="27"/>
        <v/>
      </c>
      <c r="N438" s="5"/>
      <c r="P438" t="s">
        <v>26</v>
      </c>
    </row>
    <row r="439" spans="2:16" x14ac:dyDescent="0.3">
      <c r="B439" s="16"/>
      <c r="C439" s="18"/>
      <c r="D439" s="104"/>
      <c r="E439" s="101"/>
      <c r="F439" s="101"/>
      <c r="G439" s="17" t="str">
        <f t="shared" si="25"/>
        <v/>
      </c>
      <c r="K439" s="2" t="str">
        <f t="shared" si="26"/>
        <v/>
      </c>
      <c r="L439" s="2" t="str">
        <f t="shared" si="28"/>
        <v/>
      </c>
      <c r="M439" s="2" t="str">
        <f t="shared" si="27"/>
        <v/>
      </c>
      <c r="N439" s="5"/>
      <c r="P439" t="s">
        <v>26</v>
      </c>
    </row>
    <row r="440" spans="2:16" x14ac:dyDescent="0.3">
      <c r="B440" s="16"/>
      <c r="C440" s="18"/>
      <c r="D440" s="104"/>
      <c r="E440" s="101"/>
      <c r="F440" s="101"/>
      <c r="G440" s="17" t="str">
        <f t="shared" si="25"/>
        <v/>
      </c>
      <c r="K440" s="2" t="str">
        <f t="shared" si="26"/>
        <v/>
      </c>
      <c r="L440" s="2" t="str">
        <f t="shared" si="28"/>
        <v/>
      </c>
      <c r="M440" s="2" t="str">
        <f t="shared" si="27"/>
        <v/>
      </c>
      <c r="N440" s="5"/>
      <c r="P440" t="s">
        <v>26</v>
      </c>
    </row>
    <row r="441" spans="2:16" x14ac:dyDescent="0.3">
      <c r="B441" s="16"/>
      <c r="C441" s="18"/>
      <c r="D441" s="104"/>
      <c r="E441" s="101"/>
      <c r="F441" s="101"/>
      <c r="G441" s="17" t="str">
        <f t="shared" si="25"/>
        <v/>
      </c>
      <c r="K441" s="2" t="str">
        <f t="shared" si="26"/>
        <v/>
      </c>
      <c r="L441" s="2" t="str">
        <f t="shared" si="28"/>
        <v/>
      </c>
      <c r="M441" s="2" t="str">
        <f t="shared" si="27"/>
        <v/>
      </c>
      <c r="N441" s="5"/>
      <c r="P441" t="s">
        <v>26</v>
      </c>
    </row>
    <row r="442" spans="2:16" x14ac:dyDescent="0.3">
      <c r="B442" s="16"/>
      <c r="C442" s="18"/>
      <c r="D442" s="104"/>
      <c r="E442" s="101"/>
      <c r="F442" s="101"/>
      <c r="G442" s="17" t="str">
        <f t="shared" si="25"/>
        <v/>
      </c>
      <c r="K442" s="2" t="str">
        <f t="shared" si="26"/>
        <v/>
      </c>
      <c r="L442" s="2" t="str">
        <f t="shared" si="28"/>
        <v/>
      </c>
      <c r="M442" s="2" t="str">
        <f t="shared" si="27"/>
        <v/>
      </c>
      <c r="N442" s="5"/>
      <c r="P442" t="s">
        <v>26</v>
      </c>
    </row>
    <row r="443" spans="2:16" x14ac:dyDescent="0.3">
      <c r="B443" s="16"/>
      <c r="C443" s="18"/>
      <c r="D443" s="104"/>
      <c r="E443" s="101"/>
      <c r="F443" s="101"/>
      <c r="G443" s="17" t="str">
        <f t="shared" si="25"/>
        <v/>
      </c>
      <c r="K443" s="2" t="str">
        <f t="shared" si="26"/>
        <v/>
      </c>
      <c r="L443" s="2" t="str">
        <f t="shared" si="28"/>
        <v/>
      </c>
      <c r="M443" s="2" t="str">
        <f t="shared" si="27"/>
        <v/>
      </c>
      <c r="N443" s="5"/>
      <c r="P443" t="s">
        <v>26</v>
      </c>
    </row>
    <row r="444" spans="2:16" x14ac:dyDescent="0.3">
      <c r="B444" s="16"/>
      <c r="C444" s="18"/>
      <c r="D444" s="104"/>
      <c r="E444" s="101"/>
      <c r="F444" s="101"/>
      <c r="G444" s="17" t="str">
        <f t="shared" si="25"/>
        <v/>
      </c>
      <c r="K444" s="2" t="str">
        <f t="shared" si="26"/>
        <v/>
      </c>
      <c r="L444" s="2" t="str">
        <f t="shared" si="28"/>
        <v/>
      </c>
      <c r="M444" s="2" t="str">
        <f t="shared" si="27"/>
        <v/>
      </c>
      <c r="N444" s="5"/>
      <c r="P444" t="s">
        <v>26</v>
      </c>
    </row>
    <row r="445" spans="2:16" x14ac:dyDescent="0.3">
      <c r="B445" s="16"/>
      <c r="C445" s="18"/>
      <c r="D445" s="104"/>
      <c r="E445" s="101"/>
      <c r="F445" s="101"/>
      <c r="G445" s="17" t="str">
        <f t="shared" si="25"/>
        <v/>
      </c>
      <c r="K445" s="2" t="str">
        <f t="shared" si="26"/>
        <v/>
      </c>
      <c r="L445" s="2" t="str">
        <f t="shared" si="28"/>
        <v/>
      </c>
      <c r="M445" s="2" t="str">
        <f t="shared" si="27"/>
        <v/>
      </c>
      <c r="N445" s="5"/>
      <c r="P445" t="s">
        <v>26</v>
      </c>
    </row>
    <row r="446" spans="2:16" x14ac:dyDescent="0.3">
      <c r="B446" s="16"/>
      <c r="C446" s="18"/>
      <c r="D446" s="104"/>
      <c r="E446" s="101"/>
      <c r="F446" s="101"/>
      <c r="G446" s="17" t="str">
        <f t="shared" si="25"/>
        <v/>
      </c>
      <c r="K446" s="2" t="str">
        <f t="shared" si="26"/>
        <v/>
      </c>
      <c r="L446" s="2" t="str">
        <f t="shared" si="28"/>
        <v/>
      </c>
      <c r="M446" s="2" t="str">
        <f t="shared" si="27"/>
        <v/>
      </c>
      <c r="N446" s="5"/>
      <c r="P446" t="s">
        <v>26</v>
      </c>
    </row>
    <row r="447" spans="2:16" x14ac:dyDescent="0.3">
      <c r="B447" s="16"/>
      <c r="C447" s="18"/>
      <c r="D447" s="104"/>
      <c r="E447" s="101"/>
      <c r="F447" s="101"/>
      <c r="G447" s="17" t="str">
        <f t="shared" si="25"/>
        <v/>
      </c>
      <c r="K447" s="2" t="str">
        <f t="shared" si="26"/>
        <v/>
      </c>
      <c r="L447" s="2" t="str">
        <f t="shared" si="28"/>
        <v/>
      </c>
      <c r="M447" s="2" t="str">
        <f t="shared" si="27"/>
        <v/>
      </c>
      <c r="N447" s="5"/>
      <c r="P447" t="s">
        <v>26</v>
      </c>
    </row>
    <row r="448" spans="2:16" x14ac:dyDescent="0.3">
      <c r="B448" s="16"/>
      <c r="C448" s="18"/>
      <c r="D448" s="104"/>
      <c r="E448" s="101"/>
      <c r="F448" s="101"/>
      <c r="G448" s="17" t="str">
        <f t="shared" si="25"/>
        <v/>
      </c>
      <c r="K448" s="2" t="str">
        <f t="shared" si="26"/>
        <v/>
      </c>
      <c r="L448" s="2" t="str">
        <f t="shared" si="28"/>
        <v/>
      </c>
      <c r="M448" s="2" t="str">
        <f t="shared" si="27"/>
        <v/>
      </c>
      <c r="N448" s="5"/>
      <c r="P448" t="s">
        <v>26</v>
      </c>
    </row>
    <row r="449" spans="2:16" x14ac:dyDescent="0.3">
      <c r="B449" s="16"/>
      <c r="C449" s="18"/>
      <c r="D449" s="104"/>
      <c r="E449" s="101"/>
      <c r="F449" s="101"/>
      <c r="G449" s="17" t="str">
        <f t="shared" si="25"/>
        <v/>
      </c>
      <c r="K449" s="2" t="str">
        <f t="shared" si="26"/>
        <v/>
      </c>
      <c r="L449" s="2" t="str">
        <f t="shared" si="28"/>
        <v/>
      </c>
      <c r="M449" s="2" t="str">
        <f t="shared" si="27"/>
        <v/>
      </c>
      <c r="N449" s="5"/>
      <c r="P449" t="s">
        <v>26</v>
      </c>
    </row>
    <row r="450" spans="2:16" x14ac:dyDescent="0.3">
      <c r="B450" s="16"/>
      <c r="C450" s="18"/>
      <c r="D450" s="104"/>
      <c r="E450" s="101"/>
      <c r="F450" s="101"/>
      <c r="G450" s="17" t="str">
        <f t="shared" si="25"/>
        <v/>
      </c>
      <c r="K450" s="2" t="str">
        <f t="shared" si="26"/>
        <v/>
      </c>
      <c r="L450" s="2" t="str">
        <f t="shared" si="28"/>
        <v/>
      </c>
      <c r="M450" s="2" t="str">
        <f t="shared" si="27"/>
        <v/>
      </c>
      <c r="N450" s="5"/>
      <c r="P450" t="s">
        <v>26</v>
      </c>
    </row>
    <row r="451" spans="2:16" x14ac:dyDescent="0.3">
      <c r="B451" s="16"/>
      <c r="C451" s="18"/>
      <c r="D451" s="104"/>
      <c r="E451" s="101"/>
      <c r="F451" s="101"/>
      <c r="G451" s="17" t="str">
        <f t="shared" si="25"/>
        <v/>
      </c>
      <c r="K451" s="2" t="str">
        <f t="shared" si="26"/>
        <v/>
      </c>
      <c r="L451" s="2" t="str">
        <f t="shared" si="28"/>
        <v/>
      </c>
      <c r="M451" s="2" t="str">
        <f t="shared" si="27"/>
        <v/>
      </c>
      <c r="N451" s="5"/>
      <c r="P451" t="s">
        <v>26</v>
      </c>
    </row>
    <row r="452" spans="2:16" x14ac:dyDescent="0.3">
      <c r="B452" s="16"/>
      <c r="C452" s="18"/>
      <c r="D452" s="104"/>
      <c r="E452" s="101"/>
      <c r="F452" s="101"/>
      <c r="G452" s="17" t="str">
        <f t="shared" ref="G452:G502" si="29">IF(AND(D452=E452,E452=F452),"",IF(AND(F452="",D452=E452),"",IF(AND(D452="",E452=F452),"",IF(AND(E452="",D452=F452),"",""))))</f>
        <v/>
      </c>
      <c r="K452" s="2" t="str">
        <f t="shared" ref="K452:K501" si="30">IF(D452="","",+D452)</f>
        <v/>
      </c>
      <c r="L452" s="2" t="str">
        <f t="shared" si="28"/>
        <v/>
      </c>
      <c r="M452" s="2" t="str">
        <f t="shared" ref="M452:M501" si="31">IF(B452="","",IF(COUNTIF($K$3:$K$295,K452)&gt;1,"동명",""))</f>
        <v/>
      </c>
      <c r="N452" s="5"/>
      <c r="P452" t="s">
        <v>26</v>
      </c>
    </row>
    <row r="453" spans="2:16" x14ac:dyDescent="0.3">
      <c r="B453" s="16"/>
      <c r="C453" s="18"/>
      <c r="D453" s="104"/>
      <c r="E453" s="101"/>
      <c r="F453" s="101"/>
      <c r="G453" s="17" t="str">
        <f t="shared" si="29"/>
        <v/>
      </c>
      <c r="K453" s="2" t="str">
        <f t="shared" si="30"/>
        <v/>
      </c>
      <c r="L453" s="2" t="str">
        <f t="shared" si="28"/>
        <v/>
      </c>
      <c r="M453" s="2" t="str">
        <f t="shared" si="31"/>
        <v/>
      </c>
      <c r="N453" s="5"/>
      <c r="P453" t="s">
        <v>26</v>
      </c>
    </row>
    <row r="454" spans="2:16" x14ac:dyDescent="0.3">
      <c r="B454" s="16"/>
      <c r="C454" s="18"/>
      <c r="D454" s="104"/>
      <c r="E454" s="101"/>
      <c r="F454" s="101"/>
      <c r="G454" s="17" t="str">
        <f t="shared" si="29"/>
        <v/>
      </c>
      <c r="K454" s="2" t="str">
        <f t="shared" si="30"/>
        <v/>
      </c>
      <c r="L454" s="2" t="str">
        <f t="shared" ref="L454:L501" si="32">RIGHT(K454,2)</f>
        <v/>
      </c>
      <c r="M454" s="2" t="str">
        <f t="shared" si="31"/>
        <v/>
      </c>
      <c r="N454" s="5"/>
      <c r="P454" t="s">
        <v>26</v>
      </c>
    </row>
    <row r="455" spans="2:16" x14ac:dyDescent="0.3">
      <c r="B455" s="16"/>
      <c r="C455" s="18"/>
      <c r="D455" s="104"/>
      <c r="E455" s="101"/>
      <c r="F455" s="101"/>
      <c r="G455" s="17" t="str">
        <f t="shared" si="29"/>
        <v/>
      </c>
      <c r="K455" s="2" t="str">
        <f t="shared" si="30"/>
        <v/>
      </c>
      <c r="L455" s="2" t="str">
        <f t="shared" si="32"/>
        <v/>
      </c>
      <c r="M455" s="2" t="str">
        <f t="shared" si="31"/>
        <v/>
      </c>
      <c r="N455" s="5"/>
      <c r="P455" t="s">
        <v>26</v>
      </c>
    </row>
    <row r="456" spans="2:16" x14ac:dyDescent="0.3">
      <c r="B456" s="16"/>
      <c r="C456" s="18"/>
      <c r="D456" s="104"/>
      <c r="E456" s="101"/>
      <c r="F456" s="101"/>
      <c r="G456" s="17" t="str">
        <f t="shared" si="29"/>
        <v/>
      </c>
      <c r="K456" s="2" t="str">
        <f t="shared" si="30"/>
        <v/>
      </c>
      <c r="L456" s="2" t="str">
        <f t="shared" si="32"/>
        <v/>
      </c>
      <c r="M456" s="2" t="str">
        <f t="shared" si="31"/>
        <v/>
      </c>
      <c r="N456" s="5"/>
      <c r="P456" t="s">
        <v>26</v>
      </c>
    </row>
    <row r="457" spans="2:16" x14ac:dyDescent="0.3">
      <c r="B457" s="16"/>
      <c r="C457" s="18"/>
      <c r="D457" s="104"/>
      <c r="E457" s="101"/>
      <c r="F457" s="101"/>
      <c r="G457" s="17" t="str">
        <f t="shared" si="29"/>
        <v/>
      </c>
      <c r="K457" s="2" t="str">
        <f t="shared" si="30"/>
        <v/>
      </c>
      <c r="L457" s="2" t="str">
        <f t="shared" si="32"/>
        <v/>
      </c>
      <c r="M457" s="2" t="str">
        <f t="shared" si="31"/>
        <v/>
      </c>
      <c r="N457" s="5"/>
      <c r="P457" t="s">
        <v>26</v>
      </c>
    </row>
    <row r="458" spans="2:16" x14ac:dyDescent="0.3">
      <c r="B458" s="16"/>
      <c r="C458" s="18"/>
      <c r="D458" s="104"/>
      <c r="E458" s="101"/>
      <c r="F458" s="101"/>
      <c r="G458" s="17" t="str">
        <f t="shared" si="29"/>
        <v/>
      </c>
      <c r="K458" s="2" t="str">
        <f t="shared" si="30"/>
        <v/>
      </c>
      <c r="L458" s="2" t="str">
        <f t="shared" si="32"/>
        <v/>
      </c>
      <c r="M458" s="2" t="str">
        <f t="shared" si="31"/>
        <v/>
      </c>
      <c r="N458" s="5"/>
      <c r="P458" t="s">
        <v>26</v>
      </c>
    </row>
    <row r="459" spans="2:16" x14ac:dyDescent="0.3">
      <c r="B459" s="16"/>
      <c r="C459" s="18"/>
      <c r="D459" s="104"/>
      <c r="E459" s="101"/>
      <c r="F459" s="101"/>
      <c r="G459" s="17" t="str">
        <f t="shared" si="29"/>
        <v/>
      </c>
      <c r="K459" s="2" t="str">
        <f t="shared" si="30"/>
        <v/>
      </c>
      <c r="L459" s="2" t="str">
        <f t="shared" si="32"/>
        <v/>
      </c>
      <c r="M459" s="2" t="str">
        <f t="shared" si="31"/>
        <v/>
      </c>
      <c r="N459" s="5"/>
      <c r="P459" t="s">
        <v>26</v>
      </c>
    </row>
    <row r="460" spans="2:16" x14ac:dyDescent="0.3">
      <c r="B460" s="16"/>
      <c r="C460" s="18"/>
      <c r="D460" s="104"/>
      <c r="E460" s="101"/>
      <c r="F460" s="101"/>
      <c r="G460" s="17" t="str">
        <f t="shared" si="29"/>
        <v/>
      </c>
      <c r="K460" s="2" t="str">
        <f t="shared" si="30"/>
        <v/>
      </c>
      <c r="L460" s="2" t="str">
        <f t="shared" si="32"/>
        <v/>
      </c>
      <c r="M460" s="2" t="str">
        <f t="shared" si="31"/>
        <v/>
      </c>
      <c r="N460" s="5"/>
      <c r="P460" t="s">
        <v>26</v>
      </c>
    </row>
    <row r="461" spans="2:16" x14ac:dyDescent="0.3">
      <c r="B461" s="16"/>
      <c r="C461" s="18"/>
      <c r="D461" s="104"/>
      <c r="E461" s="101"/>
      <c r="F461" s="101"/>
      <c r="G461" s="17" t="str">
        <f t="shared" si="29"/>
        <v/>
      </c>
      <c r="K461" s="2" t="str">
        <f t="shared" si="30"/>
        <v/>
      </c>
      <c r="L461" s="2" t="str">
        <f t="shared" si="32"/>
        <v/>
      </c>
      <c r="M461" s="2" t="str">
        <f t="shared" si="31"/>
        <v/>
      </c>
      <c r="N461" s="5"/>
      <c r="P461" t="s">
        <v>26</v>
      </c>
    </row>
    <row r="462" spans="2:16" x14ac:dyDescent="0.3">
      <c r="B462" s="16"/>
      <c r="C462" s="18"/>
      <c r="D462" s="104"/>
      <c r="E462" s="101"/>
      <c r="F462" s="101"/>
      <c r="G462" s="17" t="str">
        <f t="shared" si="29"/>
        <v/>
      </c>
      <c r="K462" s="2" t="str">
        <f t="shared" si="30"/>
        <v/>
      </c>
      <c r="L462" s="2" t="str">
        <f t="shared" si="32"/>
        <v/>
      </c>
      <c r="M462" s="2" t="str">
        <f t="shared" si="31"/>
        <v/>
      </c>
      <c r="N462" s="5"/>
      <c r="P462" t="s">
        <v>26</v>
      </c>
    </row>
    <row r="463" spans="2:16" x14ac:dyDescent="0.3">
      <c r="B463" s="16"/>
      <c r="C463" s="18"/>
      <c r="D463" s="104"/>
      <c r="E463" s="101"/>
      <c r="F463" s="101"/>
      <c r="G463" s="17" t="str">
        <f t="shared" si="29"/>
        <v/>
      </c>
      <c r="K463" s="2" t="str">
        <f t="shared" si="30"/>
        <v/>
      </c>
      <c r="L463" s="2" t="str">
        <f t="shared" si="32"/>
        <v/>
      </c>
      <c r="M463" s="2" t="str">
        <f t="shared" si="31"/>
        <v/>
      </c>
      <c r="N463" s="5"/>
      <c r="P463" t="s">
        <v>26</v>
      </c>
    </row>
    <row r="464" spans="2:16" x14ac:dyDescent="0.3">
      <c r="B464" s="16"/>
      <c r="C464" s="18"/>
      <c r="D464" s="104"/>
      <c r="E464" s="101"/>
      <c r="F464" s="101"/>
      <c r="G464" s="17" t="str">
        <f t="shared" si="29"/>
        <v/>
      </c>
      <c r="K464" s="2" t="str">
        <f t="shared" si="30"/>
        <v/>
      </c>
      <c r="L464" s="2" t="str">
        <f t="shared" si="32"/>
        <v/>
      </c>
      <c r="M464" s="2" t="str">
        <f t="shared" si="31"/>
        <v/>
      </c>
      <c r="N464" s="5"/>
      <c r="P464" t="s">
        <v>26</v>
      </c>
    </row>
    <row r="465" spans="2:16" x14ac:dyDescent="0.3">
      <c r="B465" s="16"/>
      <c r="C465" s="18"/>
      <c r="D465" s="104"/>
      <c r="E465" s="101"/>
      <c r="F465" s="101"/>
      <c r="G465" s="17" t="str">
        <f t="shared" si="29"/>
        <v/>
      </c>
      <c r="K465" s="2" t="str">
        <f t="shared" si="30"/>
        <v/>
      </c>
      <c r="L465" s="2" t="str">
        <f t="shared" si="32"/>
        <v/>
      </c>
      <c r="M465" s="2" t="str">
        <f t="shared" si="31"/>
        <v/>
      </c>
      <c r="N465" s="5"/>
      <c r="P465" t="s">
        <v>26</v>
      </c>
    </row>
    <row r="466" spans="2:16" x14ac:dyDescent="0.3">
      <c r="B466" s="16"/>
      <c r="C466" s="18"/>
      <c r="D466" s="104"/>
      <c r="E466" s="101"/>
      <c r="F466" s="101"/>
      <c r="G466" s="17" t="str">
        <f t="shared" si="29"/>
        <v/>
      </c>
      <c r="K466" s="2" t="str">
        <f t="shared" si="30"/>
        <v/>
      </c>
      <c r="L466" s="2" t="str">
        <f t="shared" si="32"/>
        <v/>
      </c>
      <c r="M466" s="2" t="str">
        <f t="shared" si="31"/>
        <v/>
      </c>
      <c r="N466" s="5"/>
      <c r="P466" t="s">
        <v>26</v>
      </c>
    </row>
    <row r="467" spans="2:16" x14ac:dyDescent="0.3">
      <c r="B467" s="16"/>
      <c r="C467" s="18"/>
      <c r="D467" s="104"/>
      <c r="E467" s="101"/>
      <c r="F467" s="101"/>
      <c r="G467" s="17" t="str">
        <f t="shared" si="29"/>
        <v/>
      </c>
      <c r="K467" s="2" t="str">
        <f t="shared" si="30"/>
        <v/>
      </c>
      <c r="L467" s="2" t="str">
        <f t="shared" si="32"/>
        <v/>
      </c>
      <c r="M467" s="2" t="str">
        <f t="shared" si="31"/>
        <v/>
      </c>
      <c r="N467" s="5"/>
      <c r="P467" t="s">
        <v>26</v>
      </c>
    </row>
    <row r="468" spans="2:16" x14ac:dyDescent="0.3">
      <c r="B468" s="16"/>
      <c r="C468" s="18"/>
      <c r="D468" s="104"/>
      <c r="E468" s="101"/>
      <c r="F468" s="101"/>
      <c r="G468" s="17" t="str">
        <f t="shared" si="29"/>
        <v/>
      </c>
      <c r="K468" s="2" t="str">
        <f t="shared" si="30"/>
        <v/>
      </c>
      <c r="L468" s="2" t="str">
        <f t="shared" si="32"/>
        <v/>
      </c>
      <c r="M468" s="2" t="str">
        <f t="shared" si="31"/>
        <v/>
      </c>
      <c r="N468" s="5"/>
      <c r="P468" t="s">
        <v>26</v>
      </c>
    </row>
    <row r="469" spans="2:16" x14ac:dyDescent="0.3">
      <c r="B469" s="16"/>
      <c r="C469" s="18"/>
      <c r="D469" s="104"/>
      <c r="E469" s="101"/>
      <c r="F469" s="101"/>
      <c r="G469" s="17" t="str">
        <f t="shared" si="29"/>
        <v/>
      </c>
      <c r="K469" s="2" t="str">
        <f t="shared" si="30"/>
        <v/>
      </c>
      <c r="L469" s="2" t="str">
        <f t="shared" si="32"/>
        <v/>
      </c>
      <c r="M469" s="2" t="str">
        <f t="shared" si="31"/>
        <v/>
      </c>
      <c r="N469" s="5"/>
      <c r="P469" t="s">
        <v>26</v>
      </c>
    </row>
    <row r="470" spans="2:16" x14ac:dyDescent="0.3">
      <c r="B470" s="16"/>
      <c r="C470" s="18"/>
      <c r="D470" s="104"/>
      <c r="E470" s="101"/>
      <c r="F470" s="101"/>
      <c r="G470" s="17" t="str">
        <f t="shared" si="29"/>
        <v/>
      </c>
      <c r="K470" s="2" t="str">
        <f t="shared" si="30"/>
        <v/>
      </c>
      <c r="L470" s="2" t="str">
        <f t="shared" si="32"/>
        <v/>
      </c>
      <c r="M470" s="2" t="str">
        <f t="shared" si="31"/>
        <v/>
      </c>
      <c r="N470" s="5"/>
      <c r="P470" t="s">
        <v>26</v>
      </c>
    </row>
    <row r="471" spans="2:16" x14ac:dyDescent="0.3">
      <c r="B471" s="16"/>
      <c r="C471" s="18"/>
      <c r="D471" s="104"/>
      <c r="E471" s="101"/>
      <c r="F471" s="101"/>
      <c r="G471" s="17" t="str">
        <f t="shared" si="29"/>
        <v/>
      </c>
      <c r="K471" s="2" t="str">
        <f t="shared" si="30"/>
        <v/>
      </c>
      <c r="L471" s="2" t="str">
        <f t="shared" si="32"/>
        <v/>
      </c>
      <c r="M471" s="2" t="str">
        <f t="shared" si="31"/>
        <v/>
      </c>
      <c r="N471" s="5"/>
      <c r="P471" t="s">
        <v>26</v>
      </c>
    </row>
    <row r="472" spans="2:16" x14ac:dyDescent="0.3">
      <c r="B472" s="16"/>
      <c r="C472" s="18"/>
      <c r="D472" s="104"/>
      <c r="E472" s="101"/>
      <c r="F472" s="101"/>
      <c r="G472" s="17" t="str">
        <f t="shared" si="29"/>
        <v/>
      </c>
      <c r="K472" s="2" t="str">
        <f t="shared" si="30"/>
        <v/>
      </c>
      <c r="L472" s="2" t="str">
        <f t="shared" si="32"/>
        <v/>
      </c>
      <c r="M472" s="2" t="str">
        <f t="shared" si="31"/>
        <v/>
      </c>
      <c r="N472" s="5"/>
      <c r="P472" t="s">
        <v>26</v>
      </c>
    </row>
    <row r="473" spans="2:16" x14ac:dyDescent="0.3">
      <c r="B473" s="16"/>
      <c r="C473" s="18"/>
      <c r="D473" s="104"/>
      <c r="E473" s="101"/>
      <c r="F473" s="101"/>
      <c r="G473" s="17" t="str">
        <f t="shared" si="29"/>
        <v/>
      </c>
      <c r="K473" s="2" t="str">
        <f t="shared" si="30"/>
        <v/>
      </c>
      <c r="L473" s="2" t="str">
        <f t="shared" si="32"/>
        <v/>
      </c>
      <c r="M473" s="2" t="str">
        <f t="shared" si="31"/>
        <v/>
      </c>
      <c r="N473" s="5"/>
      <c r="P473" t="s">
        <v>26</v>
      </c>
    </row>
    <row r="474" spans="2:16" x14ac:dyDescent="0.3">
      <c r="B474" s="16"/>
      <c r="C474" s="18"/>
      <c r="D474" s="104"/>
      <c r="E474" s="101"/>
      <c r="F474" s="101"/>
      <c r="G474" s="17" t="str">
        <f t="shared" si="29"/>
        <v/>
      </c>
      <c r="K474" s="2" t="str">
        <f t="shared" si="30"/>
        <v/>
      </c>
      <c r="L474" s="2" t="str">
        <f t="shared" si="32"/>
        <v/>
      </c>
      <c r="M474" s="2" t="str">
        <f t="shared" si="31"/>
        <v/>
      </c>
      <c r="N474" s="5"/>
      <c r="P474" t="s">
        <v>26</v>
      </c>
    </row>
    <row r="475" spans="2:16" x14ac:dyDescent="0.3">
      <c r="B475" s="16"/>
      <c r="C475" s="18"/>
      <c r="D475" s="104"/>
      <c r="E475" s="101"/>
      <c r="F475" s="101"/>
      <c r="G475" s="17" t="str">
        <f t="shared" si="29"/>
        <v/>
      </c>
      <c r="K475" s="2" t="str">
        <f t="shared" si="30"/>
        <v/>
      </c>
      <c r="L475" s="2" t="str">
        <f t="shared" si="32"/>
        <v/>
      </c>
      <c r="M475" s="2" t="str">
        <f t="shared" si="31"/>
        <v/>
      </c>
      <c r="N475" s="5"/>
      <c r="P475" t="s">
        <v>26</v>
      </c>
    </row>
    <row r="476" spans="2:16" x14ac:dyDescent="0.3">
      <c r="B476" s="16"/>
      <c r="C476" s="18"/>
      <c r="D476" s="104"/>
      <c r="E476" s="101"/>
      <c r="F476" s="101"/>
      <c r="G476" s="17" t="str">
        <f t="shared" si="29"/>
        <v/>
      </c>
      <c r="K476" s="2" t="str">
        <f t="shared" si="30"/>
        <v/>
      </c>
      <c r="L476" s="2" t="str">
        <f t="shared" si="32"/>
        <v/>
      </c>
      <c r="M476" s="2" t="str">
        <f t="shared" si="31"/>
        <v/>
      </c>
      <c r="N476" s="5"/>
      <c r="P476" t="s">
        <v>26</v>
      </c>
    </row>
    <row r="477" spans="2:16" x14ac:dyDescent="0.3">
      <c r="B477" s="16"/>
      <c r="C477" s="18"/>
      <c r="D477" s="104"/>
      <c r="E477" s="101"/>
      <c r="F477" s="101"/>
      <c r="G477" s="17" t="str">
        <f t="shared" si="29"/>
        <v/>
      </c>
      <c r="K477" s="2" t="str">
        <f t="shared" si="30"/>
        <v/>
      </c>
      <c r="L477" s="2" t="str">
        <f t="shared" si="32"/>
        <v/>
      </c>
      <c r="M477" s="2" t="str">
        <f t="shared" si="31"/>
        <v/>
      </c>
      <c r="N477" s="5"/>
      <c r="P477" t="s">
        <v>26</v>
      </c>
    </row>
    <row r="478" spans="2:16" x14ac:dyDescent="0.3">
      <c r="B478" s="16"/>
      <c r="C478" s="18"/>
      <c r="D478" s="104"/>
      <c r="E478" s="101"/>
      <c r="F478" s="101"/>
      <c r="G478" s="17" t="str">
        <f t="shared" si="29"/>
        <v/>
      </c>
      <c r="K478" s="2" t="str">
        <f t="shared" si="30"/>
        <v/>
      </c>
      <c r="L478" s="2" t="str">
        <f t="shared" si="32"/>
        <v/>
      </c>
      <c r="M478" s="2" t="str">
        <f t="shared" si="31"/>
        <v/>
      </c>
      <c r="N478" s="5"/>
      <c r="P478" t="s">
        <v>26</v>
      </c>
    </row>
    <row r="479" spans="2:16" x14ac:dyDescent="0.3">
      <c r="B479" s="16"/>
      <c r="C479" s="18"/>
      <c r="D479" s="104"/>
      <c r="E479" s="101"/>
      <c r="F479" s="101"/>
      <c r="G479" s="17" t="str">
        <f t="shared" si="29"/>
        <v/>
      </c>
      <c r="K479" s="2" t="str">
        <f t="shared" si="30"/>
        <v/>
      </c>
      <c r="L479" s="2" t="str">
        <f t="shared" si="32"/>
        <v/>
      </c>
      <c r="M479" s="2" t="str">
        <f t="shared" si="31"/>
        <v/>
      </c>
      <c r="N479" s="5"/>
      <c r="P479" t="s">
        <v>26</v>
      </c>
    </row>
    <row r="480" spans="2:16" x14ac:dyDescent="0.3">
      <c r="B480" s="16"/>
      <c r="C480" s="18"/>
      <c r="D480" s="104"/>
      <c r="E480" s="101"/>
      <c r="F480" s="101"/>
      <c r="G480" s="17" t="str">
        <f t="shared" si="29"/>
        <v/>
      </c>
      <c r="K480" s="2" t="str">
        <f t="shared" si="30"/>
        <v/>
      </c>
      <c r="L480" s="2" t="str">
        <f t="shared" si="32"/>
        <v/>
      </c>
      <c r="M480" s="2" t="str">
        <f t="shared" si="31"/>
        <v/>
      </c>
      <c r="N480" s="5"/>
      <c r="P480" t="s">
        <v>26</v>
      </c>
    </row>
    <row r="481" spans="2:16" x14ac:dyDescent="0.3">
      <c r="B481" s="16"/>
      <c r="C481" s="18"/>
      <c r="D481" s="104"/>
      <c r="E481" s="101"/>
      <c r="F481" s="101"/>
      <c r="G481" s="17" t="str">
        <f t="shared" si="29"/>
        <v/>
      </c>
      <c r="K481" s="2" t="str">
        <f t="shared" si="30"/>
        <v/>
      </c>
      <c r="L481" s="2" t="str">
        <f t="shared" si="32"/>
        <v/>
      </c>
      <c r="M481" s="2" t="str">
        <f t="shared" si="31"/>
        <v/>
      </c>
      <c r="N481" s="5"/>
      <c r="P481" t="s">
        <v>26</v>
      </c>
    </row>
    <row r="482" spans="2:16" x14ac:dyDescent="0.3">
      <c r="B482" s="16"/>
      <c r="C482" s="18"/>
      <c r="D482" s="104"/>
      <c r="E482" s="101"/>
      <c r="F482" s="101"/>
      <c r="G482" s="17" t="str">
        <f t="shared" si="29"/>
        <v/>
      </c>
      <c r="K482" s="2" t="str">
        <f t="shared" si="30"/>
        <v/>
      </c>
      <c r="L482" s="2" t="str">
        <f t="shared" si="32"/>
        <v/>
      </c>
      <c r="M482" s="2" t="str">
        <f t="shared" si="31"/>
        <v/>
      </c>
      <c r="N482" s="5"/>
      <c r="P482" t="s">
        <v>26</v>
      </c>
    </row>
    <row r="483" spans="2:16" x14ac:dyDescent="0.3">
      <c r="B483" s="16"/>
      <c r="C483" s="18"/>
      <c r="D483" s="104"/>
      <c r="E483" s="101"/>
      <c r="F483" s="101"/>
      <c r="G483" s="17" t="str">
        <f t="shared" si="29"/>
        <v/>
      </c>
      <c r="K483" s="2" t="str">
        <f t="shared" si="30"/>
        <v/>
      </c>
      <c r="L483" s="2" t="str">
        <f t="shared" si="32"/>
        <v/>
      </c>
      <c r="M483" s="2" t="str">
        <f t="shared" si="31"/>
        <v/>
      </c>
      <c r="N483" s="5"/>
      <c r="P483" t="s">
        <v>26</v>
      </c>
    </row>
    <row r="484" spans="2:16" x14ac:dyDescent="0.3">
      <c r="B484" s="16"/>
      <c r="C484" s="18"/>
      <c r="D484" s="104"/>
      <c r="E484" s="101"/>
      <c r="F484" s="101"/>
      <c r="G484" s="17" t="str">
        <f t="shared" si="29"/>
        <v/>
      </c>
      <c r="K484" s="2" t="str">
        <f t="shared" si="30"/>
        <v/>
      </c>
      <c r="L484" s="2" t="str">
        <f t="shared" si="32"/>
        <v/>
      </c>
      <c r="M484" s="2" t="str">
        <f t="shared" si="31"/>
        <v/>
      </c>
      <c r="N484" s="5"/>
      <c r="P484" t="s">
        <v>26</v>
      </c>
    </row>
    <row r="485" spans="2:16" x14ac:dyDescent="0.3">
      <c r="B485" s="16"/>
      <c r="C485" s="18"/>
      <c r="D485" s="104"/>
      <c r="E485" s="101"/>
      <c r="F485" s="101"/>
      <c r="G485" s="17" t="str">
        <f t="shared" si="29"/>
        <v/>
      </c>
      <c r="K485" s="2" t="str">
        <f t="shared" si="30"/>
        <v/>
      </c>
      <c r="L485" s="2" t="str">
        <f t="shared" si="32"/>
        <v/>
      </c>
      <c r="M485" s="2" t="str">
        <f t="shared" si="31"/>
        <v/>
      </c>
      <c r="N485" s="5"/>
      <c r="P485" t="s">
        <v>26</v>
      </c>
    </row>
    <row r="486" spans="2:16" x14ac:dyDescent="0.3">
      <c r="B486" s="16"/>
      <c r="C486" s="18"/>
      <c r="D486" s="104"/>
      <c r="E486" s="101"/>
      <c r="F486" s="101"/>
      <c r="G486" s="17" t="str">
        <f t="shared" si="29"/>
        <v/>
      </c>
      <c r="K486" s="2" t="str">
        <f t="shared" si="30"/>
        <v/>
      </c>
      <c r="L486" s="2" t="str">
        <f t="shared" si="32"/>
        <v/>
      </c>
      <c r="M486" s="2" t="str">
        <f t="shared" si="31"/>
        <v/>
      </c>
      <c r="N486" s="5"/>
      <c r="P486" t="s">
        <v>26</v>
      </c>
    </row>
    <row r="487" spans="2:16" x14ac:dyDescent="0.3">
      <c r="B487" s="16"/>
      <c r="C487" s="18"/>
      <c r="D487" s="104"/>
      <c r="E487" s="101"/>
      <c r="F487" s="101"/>
      <c r="G487" s="17" t="str">
        <f t="shared" si="29"/>
        <v/>
      </c>
      <c r="K487" s="2" t="str">
        <f t="shared" si="30"/>
        <v/>
      </c>
      <c r="L487" s="2" t="str">
        <f t="shared" si="32"/>
        <v/>
      </c>
      <c r="M487" s="2" t="str">
        <f t="shared" si="31"/>
        <v/>
      </c>
      <c r="N487" s="5"/>
      <c r="P487" t="s">
        <v>26</v>
      </c>
    </row>
    <row r="488" spans="2:16" x14ac:dyDescent="0.3">
      <c r="B488" s="16"/>
      <c r="C488" s="18"/>
      <c r="D488" s="104"/>
      <c r="E488" s="101"/>
      <c r="F488" s="101"/>
      <c r="G488" s="17" t="str">
        <f t="shared" si="29"/>
        <v/>
      </c>
      <c r="K488" s="2" t="str">
        <f t="shared" si="30"/>
        <v/>
      </c>
      <c r="L488" s="2" t="str">
        <f t="shared" si="32"/>
        <v/>
      </c>
      <c r="M488" s="2" t="str">
        <f t="shared" si="31"/>
        <v/>
      </c>
      <c r="N488" s="5"/>
      <c r="P488" t="s">
        <v>26</v>
      </c>
    </row>
    <row r="489" spans="2:16" x14ac:dyDescent="0.3">
      <c r="B489" s="16"/>
      <c r="C489" s="18"/>
      <c r="D489" s="104"/>
      <c r="E489" s="101"/>
      <c r="F489" s="101"/>
      <c r="G489" s="17" t="str">
        <f t="shared" si="29"/>
        <v/>
      </c>
      <c r="K489" s="2" t="str">
        <f t="shared" si="30"/>
        <v/>
      </c>
      <c r="L489" s="2" t="str">
        <f t="shared" si="32"/>
        <v/>
      </c>
      <c r="M489" s="2" t="str">
        <f t="shared" si="31"/>
        <v/>
      </c>
      <c r="N489" s="5"/>
      <c r="P489" t="s">
        <v>26</v>
      </c>
    </row>
    <row r="490" spans="2:16" x14ac:dyDescent="0.3">
      <c r="B490" s="16"/>
      <c r="C490" s="18"/>
      <c r="D490" s="104"/>
      <c r="E490" s="101"/>
      <c r="F490" s="101"/>
      <c r="G490" s="17" t="str">
        <f t="shared" si="29"/>
        <v/>
      </c>
      <c r="K490" s="2" t="str">
        <f t="shared" si="30"/>
        <v/>
      </c>
      <c r="L490" s="2" t="str">
        <f t="shared" si="32"/>
        <v/>
      </c>
      <c r="M490" s="2" t="str">
        <f t="shared" si="31"/>
        <v/>
      </c>
      <c r="N490" s="5"/>
      <c r="P490" t="s">
        <v>26</v>
      </c>
    </row>
    <row r="491" spans="2:16" x14ac:dyDescent="0.3">
      <c r="B491" s="16"/>
      <c r="C491" s="18"/>
      <c r="D491" s="104"/>
      <c r="E491" s="101"/>
      <c r="F491" s="101"/>
      <c r="G491" s="17" t="str">
        <f t="shared" si="29"/>
        <v/>
      </c>
      <c r="K491" s="2" t="str">
        <f t="shared" si="30"/>
        <v/>
      </c>
      <c r="L491" s="2" t="str">
        <f t="shared" si="32"/>
        <v/>
      </c>
      <c r="M491" s="2" t="str">
        <f t="shared" si="31"/>
        <v/>
      </c>
      <c r="N491" s="5"/>
      <c r="P491" t="s">
        <v>26</v>
      </c>
    </row>
    <row r="492" spans="2:16" x14ac:dyDescent="0.3">
      <c r="B492" s="16"/>
      <c r="C492" s="18"/>
      <c r="D492" s="104"/>
      <c r="E492" s="101"/>
      <c r="F492" s="101"/>
      <c r="G492" s="17" t="str">
        <f t="shared" si="29"/>
        <v/>
      </c>
      <c r="K492" s="2" t="str">
        <f t="shared" si="30"/>
        <v/>
      </c>
      <c r="L492" s="2" t="str">
        <f t="shared" si="32"/>
        <v/>
      </c>
      <c r="M492" s="2" t="str">
        <f t="shared" si="31"/>
        <v/>
      </c>
      <c r="N492" s="5"/>
      <c r="P492" t="s">
        <v>26</v>
      </c>
    </row>
    <row r="493" spans="2:16" x14ac:dyDescent="0.3">
      <c r="B493" s="16"/>
      <c r="C493" s="18"/>
      <c r="D493" s="104"/>
      <c r="E493" s="101"/>
      <c r="F493" s="101"/>
      <c r="G493" s="17" t="str">
        <f t="shared" si="29"/>
        <v/>
      </c>
      <c r="K493" s="2" t="str">
        <f t="shared" si="30"/>
        <v/>
      </c>
      <c r="L493" s="2" t="str">
        <f t="shared" si="32"/>
        <v/>
      </c>
      <c r="M493" s="2" t="str">
        <f t="shared" si="31"/>
        <v/>
      </c>
      <c r="N493" s="5"/>
      <c r="P493" t="s">
        <v>26</v>
      </c>
    </row>
    <row r="494" spans="2:16" x14ac:dyDescent="0.3">
      <c r="B494" s="16"/>
      <c r="C494" s="18"/>
      <c r="D494" s="104"/>
      <c r="E494" s="101"/>
      <c r="F494" s="101"/>
      <c r="G494" s="17" t="str">
        <f t="shared" si="29"/>
        <v/>
      </c>
      <c r="K494" s="2" t="str">
        <f t="shared" si="30"/>
        <v/>
      </c>
      <c r="L494" s="2" t="str">
        <f t="shared" si="32"/>
        <v/>
      </c>
      <c r="M494" s="2" t="str">
        <f t="shared" si="31"/>
        <v/>
      </c>
      <c r="N494" s="5"/>
      <c r="P494" t="s">
        <v>26</v>
      </c>
    </row>
    <row r="495" spans="2:16" x14ac:dyDescent="0.3">
      <c r="B495" s="16"/>
      <c r="C495" s="18"/>
      <c r="D495" s="104"/>
      <c r="E495" s="101"/>
      <c r="F495" s="101"/>
      <c r="G495" s="17" t="str">
        <f t="shared" si="29"/>
        <v/>
      </c>
      <c r="K495" s="2" t="str">
        <f t="shared" si="30"/>
        <v/>
      </c>
      <c r="L495" s="2" t="str">
        <f t="shared" si="32"/>
        <v/>
      </c>
      <c r="M495" s="2" t="str">
        <f t="shared" si="31"/>
        <v/>
      </c>
      <c r="N495" s="5"/>
      <c r="P495" t="s">
        <v>26</v>
      </c>
    </row>
    <row r="496" spans="2:16" x14ac:dyDescent="0.3">
      <c r="B496" s="16"/>
      <c r="C496" s="18"/>
      <c r="D496" s="104"/>
      <c r="E496" s="101"/>
      <c r="F496" s="101"/>
      <c r="G496" s="17" t="str">
        <f t="shared" si="29"/>
        <v/>
      </c>
      <c r="K496" s="2" t="str">
        <f t="shared" si="30"/>
        <v/>
      </c>
      <c r="L496" s="2" t="str">
        <f t="shared" si="32"/>
        <v/>
      </c>
      <c r="M496" s="2" t="str">
        <f t="shared" si="31"/>
        <v/>
      </c>
      <c r="N496" s="5"/>
      <c r="P496" t="s">
        <v>26</v>
      </c>
    </row>
    <row r="497" spans="2:16" x14ac:dyDescent="0.3">
      <c r="B497" s="16"/>
      <c r="C497" s="18"/>
      <c r="D497" s="104"/>
      <c r="E497" s="101"/>
      <c r="F497" s="101"/>
      <c r="G497" s="17" t="str">
        <f t="shared" si="29"/>
        <v/>
      </c>
      <c r="K497" s="2" t="str">
        <f t="shared" si="30"/>
        <v/>
      </c>
      <c r="L497" s="2" t="str">
        <f t="shared" si="32"/>
        <v/>
      </c>
      <c r="M497" s="2" t="str">
        <f t="shared" si="31"/>
        <v/>
      </c>
      <c r="N497" s="5"/>
      <c r="P497" t="s">
        <v>26</v>
      </c>
    </row>
    <row r="498" spans="2:16" x14ac:dyDescent="0.3">
      <c r="B498" s="16"/>
      <c r="C498" s="18"/>
      <c r="D498" s="104"/>
      <c r="E498" s="101"/>
      <c r="F498" s="101"/>
      <c r="G498" s="17" t="str">
        <f t="shared" si="29"/>
        <v/>
      </c>
      <c r="K498" s="2" t="str">
        <f t="shared" si="30"/>
        <v/>
      </c>
      <c r="L498" s="2" t="str">
        <f t="shared" si="32"/>
        <v/>
      </c>
      <c r="M498" s="2" t="str">
        <f t="shared" si="31"/>
        <v/>
      </c>
      <c r="N498" s="5"/>
      <c r="P498" t="s">
        <v>26</v>
      </c>
    </row>
    <row r="499" spans="2:16" x14ac:dyDescent="0.3">
      <c r="B499" s="16"/>
      <c r="C499" s="18"/>
      <c r="D499" s="104"/>
      <c r="E499" s="101"/>
      <c r="F499" s="101"/>
      <c r="G499" s="17" t="str">
        <f t="shared" si="29"/>
        <v/>
      </c>
      <c r="K499" s="2" t="str">
        <f t="shared" si="30"/>
        <v/>
      </c>
      <c r="L499" s="2" t="str">
        <f t="shared" si="32"/>
        <v/>
      </c>
      <c r="M499" s="2" t="str">
        <f t="shared" si="31"/>
        <v/>
      </c>
      <c r="N499" s="5"/>
      <c r="P499" t="s">
        <v>26</v>
      </c>
    </row>
    <row r="500" spans="2:16" x14ac:dyDescent="0.3">
      <c r="B500" s="16"/>
      <c r="C500" s="18"/>
      <c r="D500" s="104"/>
      <c r="E500" s="101"/>
      <c r="F500" s="101"/>
      <c r="G500" s="17" t="str">
        <f t="shared" si="29"/>
        <v/>
      </c>
      <c r="K500" s="2" t="str">
        <f t="shared" si="30"/>
        <v/>
      </c>
      <c r="L500" s="2" t="str">
        <f t="shared" si="32"/>
        <v/>
      </c>
      <c r="M500" s="2" t="str">
        <f t="shared" si="31"/>
        <v/>
      </c>
      <c r="N500" s="5"/>
      <c r="P500" t="s">
        <v>26</v>
      </c>
    </row>
    <row r="501" spans="2:16" x14ac:dyDescent="0.3">
      <c r="B501" s="16"/>
      <c r="C501" s="18"/>
      <c r="D501" s="104"/>
      <c r="E501" s="101"/>
      <c r="F501" s="101"/>
      <c r="G501" s="17" t="str">
        <f t="shared" si="29"/>
        <v/>
      </c>
      <c r="K501" s="2" t="str">
        <f t="shared" si="30"/>
        <v/>
      </c>
      <c r="L501" s="2" t="str">
        <f t="shared" si="32"/>
        <v/>
      </c>
      <c r="M501" s="2" t="str">
        <f t="shared" si="31"/>
        <v/>
      </c>
      <c r="N501" s="5"/>
      <c r="P501" t="s">
        <v>26</v>
      </c>
    </row>
    <row r="502" spans="2:16" x14ac:dyDescent="0.3">
      <c r="B502" s="16"/>
      <c r="C502" s="18"/>
      <c r="D502" s="104"/>
      <c r="E502" s="101"/>
      <c r="F502" s="101"/>
      <c r="G502" s="17" t="str">
        <f t="shared" si="29"/>
        <v/>
      </c>
    </row>
  </sheetData>
  <sortState xmlns:xlrd2="http://schemas.microsoft.com/office/spreadsheetml/2017/richdata2" ref="P23:P501">
    <sortCondition descending="1" ref="P23"/>
  </sortState>
  <mergeCells count="15">
    <mergeCell ref="O21:O22"/>
    <mergeCell ref="O24:O25"/>
    <mergeCell ref="O27:O28"/>
    <mergeCell ref="O5:O6"/>
    <mergeCell ref="O2:O3"/>
    <mergeCell ref="O12:O13"/>
    <mergeCell ref="O15:O16"/>
    <mergeCell ref="O18:O19"/>
    <mergeCell ref="P27:Q28"/>
    <mergeCell ref="P21:Q22"/>
    <mergeCell ref="S21:T22"/>
    <mergeCell ref="P24:Q25"/>
    <mergeCell ref="P12:Q13"/>
    <mergeCell ref="P18:Q19"/>
    <mergeCell ref="P15:Q16"/>
  </mergeCells>
  <phoneticPr fontId="3" type="noConversion"/>
  <conditionalFormatting sqref="G1:G1048576">
    <cfRule type="cellIs" dxfId="4" priority="5" operator="equal">
      <formula>"불일치"</formula>
    </cfRule>
  </conditionalFormatting>
  <conditionalFormatting sqref="K1:L1048576">
    <cfRule type="duplicateValues" dxfId="3" priority="4"/>
  </conditionalFormatting>
  <conditionalFormatting sqref="K1:K1048576">
    <cfRule type="duplicateValues" dxfId="2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abel 1">
              <controlPr defaultSize="0" autoFill="0" autoLine="0" autoPict="0" macro="[0]!copy_All_Sheets_In_Folder">
                <anchor moveWithCells="1" sizeWithCells="1">
                  <from>
                    <xdr:col>15</xdr:col>
                    <xdr:colOff>0</xdr:colOff>
                    <xdr:row>11</xdr:row>
                    <xdr:rowOff>19050</xdr:rowOff>
                  </from>
                  <to>
                    <xdr:col>16</xdr:col>
                    <xdr:colOff>666750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abel 2">
              <controlPr defaultSize="0" autoFill="0" autoLine="0" autoPict="0" macro="[0]!잠재능력_정렬">
                <anchor moveWithCells="1" sizeWithCells="1">
                  <from>
                    <xdr:col>15</xdr:col>
                    <xdr:colOff>0</xdr:colOff>
                    <xdr:row>17</xdr:row>
                    <xdr:rowOff>9525</xdr:rowOff>
                  </from>
                  <to>
                    <xdr:col>16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Label 5">
              <controlPr defaultSize="0" autoFill="0" autoLine="0" autoPict="0" macro="[0]!합반함수">
                <anchor moveWithCells="1" sizeWithCells="1">
                  <from>
                    <xdr:col>15</xdr:col>
                    <xdr:colOff>0</xdr:colOff>
                    <xdr:row>20</xdr:row>
                    <xdr:rowOff>19050</xdr:rowOff>
                  </from>
                  <to>
                    <xdr:col>16</xdr:col>
                    <xdr:colOff>676275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Label 6">
              <controlPr defaultSize="0" autoFill="0" autoLine="0" autoPict="0" macro="[0]!분반함수">
                <anchor moveWithCells="1" sizeWithCells="1">
                  <from>
                    <xdr:col>18</xdr:col>
                    <xdr:colOff>28575</xdr:colOff>
                    <xdr:row>20</xdr:row>
                    <xdr:rowOff>19050</xdr:rowOff>
                  </from>
                  <to>
                    <xdr:col>19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Label 7">
              <controlPr defaultSize="0" autoFill="0" autoLine="0" autoPict="0" macro="[0]!잠재능력_이름확인">
                <anchor moveWithCells="1" sizeWithCells="1">
                  <from>
                    <xdr:col>15</xdr:col>
                    <xdr:colOff>0</xdr:colOff>
                    <xdr:row>14</xdr:row>
                    <xdr:rowOff>9525</xdr:rowOff>
                  </from>
                  <to>
                    <xdr:col>16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Label 9">
              <controlPr defaultSize="0" autoFill="0" autoLine="0" autoPict="0" macro="[0]!Split_sheet">
                <anchor moveWithCells="1" sizeWithCells="1">
                  <from>
                    <xdr:col>15</xdr:col>
                    <xdr:colOff>0</xdr:colOff>
                    <xdr:row>26</xdr:row>
                    <xdr:rowOff>19050</xdr:rowOff>
                  </from>
                  <to>
                    <xdr:col>16</xdr:col>
                    <xdr:colOff>676275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D499"/>
  <sheetViews>
    <sheetView showGridLines="0" zoomScale="71" zoomScaleNormal="71" workbookViewId="0"/>
  </sheetViews>
  <sheetFormatPr defaultRowHeight="16.5" x14ac:dyDescent="0.3"/>
  <cols>
    <col min="1" max="1" width="6.875" bestFit="1" customWidth="1"/>
    <col min="2" max="2" width="10" bestFit="1" customWidth="1"/>
    <col min="3" max="4" width="5.25" bestFit="1" customWidth="1"/>
    <col min="5" max="6" width="31.625" bestFit="1" customWidth="1"/>
    <col min="7" max="7" width="11.125" bestFit="1" customWidth="1"/>
    <col min="8" max="8" width="9.875" bestFit="1" customWidth="1"/>
    <col min="9" max="9" width="15.25" bestFit="1" customWidth="1"/>
    <col min="10" max="10" width="14" bestFit="1" customWidth="1"/>
    <col min="11" max="11" width="11.125" bestFit="1" customWidth="1"/>
    <col min="12" max="12" width="9.875" bestFit="1" customWidth="1"/>
    <col min="13" max="13" width="7.375" bestFit="1" customWidth="1"/>
    <col min="14" max="14" width="11.875" bestFit="1" customWidth="1"/>
    <col min="15" max="15" width="11.25" bestFit="1" customWidth="1"/>
    <col min="16" max="16" width="16.125" bestFit="1" customWidth="1"/>
    <col min="17" max="17" width="14.625" bestFit="1" customWidth="1"/>
    <col min="18" max="18" width="19.5" bestFit="1" customWidth="1"/>
    <col min="19" max="19" width="11.125" bestFit="1" customWidth="1"/>
    <col min="20" max="20" width="9.875" bestFit="1" customWidth="1"/>
    <col min="21" max="21" width="15.25" bestFit="1" customWidth="1"/>
    <col min="22" max="22" width="14" bestFit="1" customWidth="1"/>
    <col min="23" max="23" width="13.125" bestFit="1" customWidth="1"/>
    <col min="24" max="24" width="11.875" bestFit="1" customWidth="1"/>
    <col min="25" max="25" width="13.125" bestFit="1" customWidth="1"/>
    <col min="26" max="26" width="11.875" bestFit="1" customWidth="1"/>
    <col min="27" max="27" width="22.125" bestFit="1" customWidth="1"/>
    <col min="28" max="28" width="20.875" bestFit="1" customWidth="1"/>
    <col min="29" max="29" width="15.25" bestFit="1" customWidth="1"/>
    <col min="30" max="30" width="14" bestFit="1" customWidth="1"/>
  </cols>
  <sheetData>
    <row r="1" spans="1:30" x14ac:dyDescent="0.3">
      <c r="A1" s="106" t="s">
        <v>11</v>
      </c>
      <c r="B1" s="106" t="s">
        <v>0</v>
      </c>
      <c r="C1" s="106" t="s">
        <v>114</v>
      </c>
      <c r="D1" s="106" t="s">
        <v>3</v>
      </c>
      <c r="E1" s="106" t="s">
        <v>115</v>
      </c>
      <c r="F1" s="106" t="s">
        <v>116</v>
      </c>
      <c r="G1" s="105" t="s">
        <v>117</v>
      </c>
      <c r="H1" s="105" t="s">
        <v>118</v>
      </c>
      <c r="I1" s="105" t="s">
        <v>119</v>
      </c>
      <c r="J1" s="105" t="s">
        <v>120</v>
      </c>
      <c r="K1" s="105" t="s">
        <v>121</v>
      </c>
      <c r="L1" s="105" t="s">
        <v>122</v>
      </c>
      <c r="M1" s="105" t="s">
        <v>123</v>
      </c>
      <c r="N1" s="105" t="s">
        <v>124</v>
      </c>
      <c r="O1" s="105" t="s">
        <v>125</v>
      </c>
      <c r="P1" s="105" t="s">
        <v>126</v>
      </c>
      <c r="Q1" s="105" t="s">
        <v>127</v>
      </c>
      <c r="R1" s="105" t="s">
        <v>128</v>
      </c>
      <c r="S1" s="105" t="s">
        <v>129</v>
      </c>
      <c r="T1" s="105" t="s">
        <v>130</v>
      </c>
      <c r="U1" s="105" t="s">
        <v>131</v>
      </c>
      <c r="V1" s="105" t="s">
        <v>132</v>
      </c>
      <c r="W1" s="105" t="s">
        <v>133</v>
      </c>
      <c r="X1" s="105" t="s">
        <v>134</v>
      </c>
      <c r="Y1" s="105" t="s">
        <v>135</v>
      </c>
      <c r="Z1" s="105" t="s">
        <v>136</v>
      </c>
      <c r="AA1" s="105" t="s">
        <v>137</v>
      </c>
      <c r="AB1" s="105" t="s">
        <v>138</v>
      </c>
      <c r="AC1" s="105" t="s">
        <v>139</v>
      </c>
      <c r="AD1" s="105" t="s">
        <v>140</v>
      </c>
    </row>
    <row r="2" spans="1:30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2"/>
      <c r="AA2" s="2"/>
      <c r="AB2" s="2"/>
      <c r="AC2" s="2"/>
      <c r="AD2" s="2"/>
    </row>
    <row r="3" spans="1:30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2"/>
      <c r="AA3" s="2"/>
      <c r="AB3" s="2"/>
      <c r="AC3" s="2"/>
      <c r="AD3" s="2"/>
    </row>
    <row r="4" spans="1:30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2"/>
      <c r="AA4" s="2"/>
      <c r="AB4" s="2"/>
      <c r="AC4" s="2"/>
      <c r="AD4" s="2"/>
    </row>
    <row r="5" spans="1:30" x14ac:dyDescent="0.3">
      <c r="A5" s="11"/>
      <c r="B5" s="11"/>
      <c r="C5" s="11"/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2"/>
      <c r="AA5" s="2"/>
      <c r="AB5" s="2"/>
      <c r="AC5" s="2"/>
      <c r="AD5" s="2"/>
    </row>
    <row r="6" spans="1:30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2"/>
      <c r="AA6" s="2"/>
      <c r="AB6" s="2"/>
      <c r="AC6" s="2"/>
      <c r="AD6" s="2"/>
    </row>
    <row r="7" spans="1:30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2"/>
      <c r="AA7" s="2"/>
      <c r="AB7" s="2"/>
      <c r="AC7" s="2"/>
      <c r="AD7" s="2"/>
    </row>
    <row r="8" spans="1:30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2"/>
      <c r="AA8" s="2"/>
      <c r="AB8" s="2"/>
      <c r="AC8" s="2"/>
      <c r="AD8" s="2"/>
    </row>
    <row r="9" spans="1:30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2"/>
      <c r="AA9" s="2"/>
      <c r="AB9" s="2"/>
      <c r="AC9" s="2"/>
      <c r="AD9" s="2"/>
    </row>
    <row r="10" spans="1:30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2"/>
      <c r="AA10" s="2"/>
      <c r="AB10" s="2"/>
      <c r="AC10" s="2"/>
      <c r="AD10" s="2"/>
    </row>
    <row r="11" spans="1:30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2"/>
      <c r="AA11" s="2"/>
      <c r="AB11" s="2"/>
      <c r="AC11" s="2"/>
      <c r="AD11" s="2"/>
    </row>
    <row r="12" spans="1:30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2"/>
      <c r="AA12" s="2"/>
      <c r="AB12" s="2"/>
      <c r="AC12" s="2"/>
      <c r="AD12" s="2"/>
    </row>
    <row r="13" spans="1:30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2"/>
      <c r="AA13" s="2"/>
      <c r="AB13" s="2"/>
      <c r="AC13" s="2"/>
      <c r="AD13" s="2"/>
    </row>
    <row r="14" spans="1:30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2"/>
      <c r="AA14" s="2"/>
      <c r="AB14" s="2"/>
      <c r="AC14" s="2"/>
      <c r="AD14" s="2"/>
    </row>
    <row r="15" spans="1:30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2"/>
      <c r="AA15" s="2"/>
      <c r="AB15" s="2"/>
      <c r="AC15" s="2"/>
      <c r="AD15" s="2"/>
    </row>
    <row r="16" spans="1:30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2"/>
      <c r="AA16" s="2"/>
      <c r="AB16" s="2"/>
      <c r="AC16" s="2"/>
      <c r="AD16" s="2"/>
    </row>
    <row r="17" spans="1:30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2"/>
      <c r="AA17" s="2"/>
      <c r="AB17" s="2"/>
      <c r="AC17" s="2"/>
      <c r="AD17" s="2"/>
    </row>
    <row r="18" spans="1:30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2"/>
      <c r="AA18" s="2"/>
      <c r="AB18" s="2"/>
      <c r="AC18" s="2"/>
      <c r="AD18" s="2"/>
    </row>
    <row r="19" spans="1:30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2"/>
      <c r="AA19" s="2"/>
      <c r="AB19" s="2"/>
      <c r="AC19" s="2"/>
      <c r="AD19" s="2"/>
    </row>
    <row r="20" spans="1:30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2"/>
      <c r="AA20" s="2"/>
      <c r="AB20" s="2"/>
      <c r="AC20" s="2"/>
      <c r="AD20" s="2"/>
    </row>
    <row r="21" spans="1:30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2"/>
      <c r="AA21" s="2"/>
      <c r="AB21" s="2"/>
      <c r="AC21" s="2"/>
      <c r="AD21" s="2"/>
    </row>
    <row r="22" spans="1:30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2"/>
      <c r="AA22" s="2"/>
      <c r="AB22" s="2"/>
      <c r="AC22" s="2"/>
      <c r="AD22" s="2"/>
    </row>
    <row r="23" spans="1:30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2"/>
      <c r="AA23" s="2"/>
      <c r="AB23" s="2"/>
      <c r="AC23" s="2"/>
      <c r="AD23" s="2"/>
    </row>
    <row r="24" spans="1:30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2"/>
      <c r="AA24" s="2"/>
      <c r="AB24" s="2"/>
      <c r="AC24" s="2"/>
      <c r="AD24" s="2"/>
    </row>
    <row r="25" spans="1:30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2"/>
      <c r="AA25" s="2"/>
      <c r="AB25" s="2"/>
      <c r="AC25" s="2"/>
      <c r="AD25" s="2"/>
    </row>
    <row r="26" spans="1:30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2"/>
      <c r="AA26" s="2"/>
      <c r="AB26" s="2"/>
      <c r="AC26" s="2"/>
      <c r="AD26" s="2"/>
    </row>
    <row r="27" spans="1:30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2"/>
      <c r="AA27" s="2"/>
      <c r="AB27" s="2"/>
      <c r="AC27" s="2"/>
      <c r="AD27" s="2"/>
    </row>
    <row r="28" spans="1:30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2"/>
      <c r="AA28" s="2"/>
      <c r="AB28" s="2"/>
      <c r="AC28" s="2"/>
      <c r="AD28" s="2"/>
    </row>
    <row r="29" spans="1:30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2"/>
      <c r="AA29" s="2"/>
      <c r="AB29" s="2"/>
      <c r="AC29" s="2"/>
      <c r="AD29" s="2"/>
    </row>
    <row r="30" spans="1:30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2"/>
      <c r="AA30" s="2"/>
      <c r="AB30" s="2"/>
      <c r="AC30" s="2"/>
      <c r="AD30" s="2"/>
    </row>
    <row r="31" spans="1:30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2"/>
      <c r="AA31" s="2"/>
      <c r="AB31" s="2"/>
      <c r="AC31" s="2"/>
      <c r="AD31" s="2"/>
    </row>
    <row r="32" spans="1:30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2"/>
      <c r="AA32" s="2"/>
      <c r="AB32" s="2"/>
      <c r="AC32" s="2"/>
      <c r="AD32" s="2"/>
    </row>
    <row r="33" spans="1:30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2"/>
      <c r="AA33" s="2"/>
      <c r="AB33" s="2"/>
      <c r="AC33" s="2"/>
      <c r="AD33" s="2"/>
    </row>
    <row r="34" spans="1:30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2"/>
      <c r="AA34" s="2"/>
      <c r="AB34" s="2"/>
      <c r="AC34" s="2"/>
      <c r="AD34" s="2"/>
    </row>
    <row r="35" spans="1:30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2"/>
      <c r="AA35" s="2"/>
      <c r="AB35" s="2"/>
      <c r="AC35" s="2"/>
      <c r="AD35" s="2"/>
    </row>
    <row r="36" spans="1:30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2"/>
      <c r="AA36" s="2"/>
      <c r="AB36" s="2"/>
      <c r="AC36" s="2"/>
      <c r="AD36" s="2"/>
    </row>
    <row r="37" spans="1:30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2"/>
      <c r="AA37" s="2"/>
      <c r="AB37" s="2"/>
      <c r="AC37" s="2"/>
      <c r="AD37" s="2"/>
    </row>
    <row r="38" spans="1:30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2"/>
      <c r="AA38" s="2"/>
      <c r="AB38" s="2"/>
      <c r="AC38" s="2"/>
      <c r="AD38" s="2"/>
    </row>
    <row r="39" spans="1:30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2"/>
      <c r="AA39" s="2"/>
      <c r="AB39" s="2"/>
      <c r="AC39" s="2"/>
      <c r="AD39" s="2"/>
    </row>
    <row r="40" spans="1:30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2"/>
      <c r="AA40" s="2"/>
      <c r="AB40" s="2"/>
      <c r="AC40" s="2"/>
      <c r="AD40" s="2"/>
    </row>
    <row r="41" spans="1:30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2"/>
      <c r="AA41" s="2"/>
      <c r="AB41" s="2"/>
      <c r="AC41" s="2"/>
      <c r="AD41" s="2"/>
    </row>
    <row r="42" spans="1:30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2"/>
      <c r="AA42" s="2"/>
      <c r="AB42" s="2"/>
      <c r="AC42" s="2"/>
      <c r="AD42" s="2"/>
    </row>
    <row r="43" spans="1:30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2"/>
      <c r="AA43" s="2"/>
      <c r="AB43" s="2"/>
      <c r="AC43" s="2"/>
      <c r="AD43" s="2"/>
    </row>
    <row r="44" spans="1:30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2"/>
      <c r="AA44" s="2"/>
      <c r="AB44" s="2"/>
      <c r="AC44" s="2"/>
      <c r="AD44" s="2"/>
    </row>
    <row r="45" spans="1:30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2"/>
      <c r="AA45" s="2"/>
      <c r="AB45" s="2"/>
      <c r="AC45" s="2"/>
      <c r="AD45" s="2"/>
    </row>
    <row r="46" spans="1:30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2"/>
      <c r="AA46" s="2"/>
      <c r="AB46" s="2"/>
      <c r="AC46" s="2"/>
      <c r="AD46" s="2"/>
    </row>
    <row r="47" spans="1:30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2"/>
      <c r="AA47" s="2"/>
      <c r="AB47" s="2"/>
      <c r="AC47" s="2"/>
      <c r="AD47" s="2"/>
    </row>
    <row r="48" spans="1:30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2"/>
      <c r="AA48" s="2"/>
      <c r="AB48" s="2"/>
      <c r="AC48" s="2"/>
      <c r="AD48" s="2"/>
    </row>
    <row r="49" spans="1:30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2"/>
      <c r="AA49" s="2"/>
      <c r="AB49" s="2"/>
      <c r="AC49" s="2"/>
      <c r="AD49" s="2"/>
    </row>
    <row r="50" spans="1:30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2"/>
      <c r="AA50" s="2"/>
      <c r="AB50" s="2"/>
      <c r="AC50" s="2"/>
      <c r="AD50" s="2"/>
    </row>
    <row r="51" spans="1:30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2"/>
      <c r="AA51" s="2"/>
      <c r="AB51" s="2"/>
      <c r="AC51" s="2"/>
      <c r="AD51" s="2"/>
    </row>
    <row r="52" spans="1:30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2"/>
      <c r="AA52" s="2"/>
      <c r="AB52" s="2"/>
      <c r="AC52" s="2"/>
      <c r="AD52" s="2"/>
    </row>
    <row r="53" spans="1:30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2"/>
      <c r="AA53" s="2"/>
      <c r="AB53" s="2"/>
      <c r="AC53" s="2"/>
      <c r="AD53" s="2"/>
    </row>
    <row r="54" spans="1:30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2"/>
      <c r="AA54" s="2"/>
      <c r="AB54" s="2"/>
      <c r="AC54" s="2"/>
      <c r="AD54" s="2"/>
    </row>
    <row r="55" spans="1:30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2"/>
      <c r="AA55" s="2"/>
      <c r="AB55" s="2"/>
      <c r="AC55" s="2"/>
      <c r="AD55" s="2"/>
    </row>
    <row r="56" spans="1:30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2"/>
      <c r="AA56" s="2"/>
      <c r="AB56" s="2"/>
      <c r="AC56" s="2"/>
      <c r="AD56" s="2"/>
    </row>
    <row r="57" spans="1:30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2"/>
      <c r="AA57" s="2"/>
      <c r="AB57" s="2"/>
      <c r="AC57" s="2"/>
      <c r="AD57" s="2"/>
    </row>
    <row r="58" spans="1:30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2"/>
      <c r="AA58" s="2"/>
      <c r="AB58" s="2"/>
      <c r="AC58" s="2"/>
      <c r="AD58" s="2"/>
    </row>
    <row r="59" spans="1:30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2"/>
      <c r="AA59" s="2"/>
      <c r="AB59" s="2"/>
      <c r="AC59" s="2"/>
      <c r="AD59" s="2"/>
    </row>
    <row r="60" spans="1:30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2"/>
      <c r="AA60" s="2"/>
      <c r="AB60" s="2"/>
      <c r="AC60" s="2"/>
      <c r="AD60" s="2"/>
    </row>
    <row r="61" spans="1:30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2"/>
      <c r="AA61" s="2"/>
      <c r="AB61" s="2"/>
      <c r="AC61" s="2"/>
      <c r="AD61" s="2"/>
    </row>
    <row r="62" spans="1:30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2"/>
      <c r="AA62" s="2"/>
      <c r="AB62" s="2"/>
      <c r="AC62" s="2"/>
      <c r="AD62" s="2"/>
    </row>
    <row r="63" spans="1:30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2"/>
      <c r="AA63" s="2"/>
      <c r="AB63" s="2"/>
      <c r="AC63" s="2"/>
      <c r="AD63" s="2"/>
    </row>
    <row r="64" spans="1:30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2"/>
      <c r="AA64" s="2"/>
      <c r="AB64" s="2"/>
      <c r="AC64" s="2"/>
      <c r="AD64" s="2"/>
    </row>
    <row r="65" spans="1:30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2"/>
      <c r="AA65" s="2"/>
      <c r="AB65" s="2"/>
      <c r="AC65" s="2"/>
      <c r="AD65" s="2"/>
    </row>
    <row r="66" spans="1:30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2"/>
      <c r="AA66" s="2"/>
      <c r="AB66" s="2"/>
      <c r="AC66" s="2"/>
      <c r="AD66" s="2"/>
    </row>
    <row r="67" spans="1:30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2"/>
      <c r="AA67" s="2"/>
      <c r="AB67" s="2"/>
      <c r="AC67" s="2"/>
      <c r="AD67" s="2"/>
    </row>
    <row r="68" spans="1:30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2"/>
      <c r="AA68" s="2"/>
      <c r="AB68" s="2"/>
      <c r="AC68" s="2"/>
      <c r="AD68" s="2"/>
    </row>
    <row r="69" spans="1:30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2"/>
      <c r="AA69" s="2"/>
      <c r="AB69" s="2"/>
      <c r="AC69" s="2"/>
      <c r="AD69" s="2"/>
    </row>
    <row r="70" spans="1:30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2"/>
      <c r="AA70" s="2"/>
      <c r="AB70" s="2"/>
      <c r="AC70" s="2"/>
      <c r="AD70" s="2"/>
    </row>
    <row r="71" spans="1:30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2"/>
      <c r="AA71" s="2"/>
      <c r="AB71" s="2"/>
      <c r="AC71" s="2"/>
      <c r="AD71" s="2"/>
    </row>
    <row r="72" spans="1:30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2"/>
      <c r="AA72" s="2"/>
      <c r="AB72" s="2"/>
      <c r="AC72" s="2"/>
      <c r="AD72" s="2"/>
    </row>
    <row r="73" spans="1:30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2"/>
      <c r="AA73" s="2"/>
      <c r="AB73" s="2"/>
      <c r="AC73" s="2"/>
      <c r="AD73" s="2"/>
    </row>
    <row r="74" spans="1:30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2"/>
      <c r="AA74" s="2"/>
      <c r="AB74" s="2"/>
      <c r="AC74" s="2"/>
      <c r="AD74" s="2"/>
    </row>
    <row r="75" spans="1:30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2"/>
      <c r="AA75" s="2"/>
      <c r="AB75" s="2"/>
      <c r="AC75" s="2"/>
      <c r="AD75" s="2"/>
    </row>
    <row r="76" spans="1:30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2"/>
      <c r="AA76" s="2"/>
      <c r="AB76" s="2"/>
      <c r="AC76" s="2"/>
      <c r="AD76" s="2"/>
    </row>
    <row r="77" spans="1:30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2"/>
      <c r="AA77" s="2"/>
      <c r="AB77" s="2"/>
      <c r="AC77" s="2"/>
      <c r="AD77" s="2"/>
    </row>
    <row r="78" spans="1:30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2"/>
      <c r="AA78" s="2"/>
      <c r="AB78" s="2"/>
      <c r="AC78" s="2"/>
      <c r="AD78" s="2"/>
    </row>
    <row r="79" spans="1:30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2"/>
      <c r="AA79" s="2"/>
      <c r="AB79" s="2"/>
      <c r="AC79" s="2"/>
      <c r="AD79" s="2"/>
    </row>
    <row r="80" spans="1:30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2"/>
      <c r="AA80" s="2"/>
      <c r="AB80" s="2"/>
      <c r="AC80" s="2"/>
      <c r="AD80" s="2"/>
    </row>
    <row r="81" spans="1:30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2"/>
      <c r="AA81" s="2"/>
      <c r="AB81" s="2"/>
      <c r="AC81" s="2"/>
      <c r="AD81" s="2"/>
    </row>
    <row r="82" spans="1:30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2"/>
      <c r="AA82" s="2"/>
      <c r="AB82" s="2"/>
      <c r="AC82" s="2"/>
      <c r="AD82" s="2"/>
    </row>
    <row r="83" spans="1:30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2"/>
      <c r="AA83" s="2"/>
      <c r="AB83" s="2"/>
      <c r="AC83" s="2"/>
      <c r="AD83" s="2"/>
    </row>
    <row r="84" spans="1:30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2"/>
      <c r="AA84" s="2"/>
      <c r="AB84" s="2"/>
      <c r="AC84" s="2"/>
      <c r="AD84" s="2"/>
    </row>
    <row r="85" spans="1:30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2"/>
      <c r="AA85" s="2"/>
      <c r="AB85" s="2"/>
      <c r="AC85" s="2"/>
      <c r="AD85" s="2"/>
    </row>
    <row r="86" spans="1:30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2"/>
      <c r="AA86" s="2"/>
      <c r="AB86" s="2"/>
      <c r="AC86" s="2"/>
      <c r="AD86" s="2"/>
    </row>
    <row r="87" spans="1:30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2"/>
      <c r="AA87" s="2"/>
      <c r="AB87" s="2"/>
      <c r="AC87" s="2"/>
      <c r="AD87" s="2"/>
    </row>
    <row r="88" spans="1:30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2"/>
      <c r="AA88" s="2"/>
      <c r="AB88" s="2"/>
      <c r="AC88" s="2"/>
      <c r="AD88" s="2"/>
    </row>
    <row r="89" spans="1:30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2"/>
      <c r="AA89" s="2"/>
      <c r="AB89" s="2"/>
      <c r="AC89" s="2"/>
      <c r="AD89" s="2"/>
    </row>
    <row r="90" spans="1:30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2"/>
      <c r="AA90" s="2"/>
      <c r="AB90" s="2"/>
      <c r="AC90" s="2"/>
      <c r="AD90" s="2"/>
    </row>
    <row r="91" spans="1:30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2"/>
      <c r="AA91" s="2"/>
      <c r="AB91" s="2"/>
      <c r="AC91" s="2"/>
      <c r="AD91" s="2"/>
    </row>
    <row r="92" spans="1:30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2"/>
      <c r="AA92" s="2"/>
      <c r="AB92" s="2"/>
      <c r="AC92" s="2"/>
      <c r="AD92" s="2"/>
    </row>
    <row r="93" spans="1:30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2"/>
      <c r="AA93" s="2"/>
      <c r="AB93" s="2"/>
      <c r="AC93" s="2"/>
      <c r="AD93" s="2"/>
    </row>
    <row r="94" spans="1:30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2"/>
      <c r="AA94" s="2"/>
      <c r="AB94" s="2"/>
      <c r="AC94" s="2"/>
      <c r="AD94" s="2"/>
    </row>
    <row r="95" spans="1:30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2"/>
      <c r="AA95" s="2"/>
      <c r="AB95" s="2"/>
      <c r="AC95" s="2"/>
      <c r="AD95" s="2"/>
    </row>
    <row r="96" spans="1:30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2"/>
      <c r="AA96" s="2"/>
      <c r="AB96" s="2"/>
      <c r="AC96" s="2"/>
      <c r="AD96" s="2"/>
    </row>
    <row r="97" spans="1:30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2"/>
      <c r="AA97" s="2"/>
      <c r="AB97" s="2"/>
      <c r="AC97" s="2"/>
      <c r="AD97" s="2"/>
    </row>
    <row r="98" spans="1:30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2"/>
      <c r="AA98" s="2"/>
      <c r="AB98" s="2"/>
      <c r="AC98" s="2"/>
      <c r="AD98" s="2"/>
    </row>
    <row r="99" spans="1:30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</row>
    <row r="100" spans="1:30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</row>
    <row r="101" spans="1:30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</row>
    <row r="102" spans="1:30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</row>
    <row r="103" spans="1:30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</row>
    <row r="104" spans="1:30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</row>
    <row r="105" spans="1:30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</row>
    <row r="106" spans="1:30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</row>
    <row r="107" spans="1:30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</row>
    <row r="108" spans="1:30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</row>
    <row r="109" spans="1:30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</row>
    <row r="110" spans="1:30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</row>
    <row r="111" spans="1:30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</row>
    <row r="112" spans="1:30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</row>
    <row r="113" spans="1:30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</row>
    <row r="114" spans="1:30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</row>
    <row r="115" spans="1:30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</row>
    <row r="116" spans="1:30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</row>
    <row r="117" spans="1:30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</row>
    <row r="118" spans="1:30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</row>
    <row r="119" spans="1:30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</row>
    <row r="120" spans="1:30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</row>
    <row r="121" spans="1:30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</row>
    <row r="122" spans="1:30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</row>
    <row r="123" spans="1:30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</row>
    <row r="124" spans="1:30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</row>
    <row r="125" spans="1:30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</row>
    <row r="126" spans="1:30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</row>
    <row r="127" spans="1:30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</row>
    <row r="128" spans="1:30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</row>
    <row r="129" spans="1:30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</row>
    <row r="130" spans="1:30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</row>
    <row r="131" spans="1:30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</row>
    <row r="132" spans="1:30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</row>
    <row r="133" spans="1:30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</row>
    <row r="134" spans="1:30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</row>
    <row r="135" spans="1:30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</row>
    <row r="136" spans="1:30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</row>
    <row r="137" spans="1:30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</row>
    <row r="138" spans="1:30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</row>
    <row r="139" spans="1:30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</row>
    <row r="140" spans="1:30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</row>
    <row r="141" spans="1:30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</row>
    <row r="142" spans="1:30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</row>
    <row r="143" spans="1:30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</row>
    <row r="144" spans="1:30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</row>
    <row r="145" spans="1:30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</row>
    <row r="146" spans="1:30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</row>
    <row r="147" spans="1:30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</row>
    <row r="148" spans="1:30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</row>
    <row r="149" spans="1:30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</row>
    <row r="150" spans="1:30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</row>
    <row r="151" spans="1:30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</row>
    <row r="152" spans="1:30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</row>
    <row r="153" spans="1:30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</row>
    <row r="154" spans="1:30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</row>
    <row r="155" spans="1:30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</row>
    <row r="156" spans="1:30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</row>
    <row r="157" spans="1:30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</row>
    <row r="158" spans="1:30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</row>
    <row r="159" spans="1:30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</row>
    <row r="160" spans="1:30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</row>
    <row r="161" spans="1:30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</row>
    <row r="162" spans="1:30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</row>
    <row r="163" spans="1:30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</row>
    <row r="164" spans="1:30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</row>
    <row r="165" spans="1:30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</row>
    <row r="166" spans="1:30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</row>
    <row r="167" spans="1:30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</row>
    <row r="168" spans="1:30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</row>
    <row r="169" spans="1:30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</row>
    <row r="170" spans="1:30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</row>
    <row r="171" spans="1:30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</row>
    <row r="172" spans="1:30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</row>
    <row r="173" spans="1:30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</row>
    <row r="174" spans="1:30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</row>
    <row r="175" spans="1:30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</row>
    <row r="176" spans="1:30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</row>
    <row r="177" spans="1:30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</row>
    <row r="178" spans="1:30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</row>
    <row r="179" spans="1:30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</row>
    <row r="180" spans="1:30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</row>
    <row r="181" spans="1:30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</row>
    <row r="182" spans="1:30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</row>
    <row r="183" spans="1:30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</row>
    <row r="184" spans="1:30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</row>
    <row r="185" spans="1:30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</row>
    <row r="186" spans="1:30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</row>
    <row r="187" spans="1:30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</row>
    <row r="188" spans="1:30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</row>
    <row r="189" spans="1:30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</row>
    <row r="190" spans="1:30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</row>
    <row r="191" spans="1:30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</row>
    <row r="192" spans="1:30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</row>
    <row r="193" spans="1:30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</row>
    <row r="194" spans="1:30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</row>
    <row r="195" spans="1:30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</row>
    <row r="196" spans="1:30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</row>
    <row r="197" spans="1:30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</row>
    <row r="198" spans="1:30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</row>
    <row r="199" spans="1:30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</row>
    <row r="200" spans="1:30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</row>
    <row r="201" spans="1:30" x14ac:dyDescent="0.3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</row>
    <row r="202" spans="1:30" x14ac:dyDescent="0.3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</row>
    <row r="203" spans="1:30" x14ac:dyDescent="0.3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</row>
    <row r="204" spans="1:30" x14ac:dyDescent="0.3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</row>
    <row r="205" spans="1:30" x14ac:dyDescent="0.3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</row>
    <row r="206" spans="1:30" x14ac:dyDescent="0.3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</row>
    <row r="207" spans="1:30" x14ac:dyDescent="0.3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</row>
    <row r="208" spans="1:30" x14ac:dyDescent="0.3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</row>
    <row r="209" spans="1:30" x14ac:dyDescent="0.3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</row>
    <row r="210" spans="1:30" x14ac:dyDescent="0.3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</row>
    <row r="211" spans="1:30" x14ac:dyDescent="0.3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</row>
    <row r="212" spans="1:30" x14ac:dyDescent="0.3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</row>
    <row r="213" spans="1:30" x14ac:dyDescent="0.3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</row>
    <row r="214" spans="1:30" x14ac:dyDescent="0.3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</row>
    <row r="215" spans="1:30" x14ac:dyDescent="0.3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</row>
    <row r="216" spans="1:30" x14ac:dyDescent="0.3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</row>
    <row r="217" spans="1:30" x14ac:dyDescent="0.3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</row>
    <row r="218" spans="1:30" x14ac:dyDescent="0.3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</row>
    <row r="219" spans="1:30" x14ac:dyDescent="0.3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</row>
    <row r="220" spans="1:30" x14ac:dyDescent="0.3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</row>
    <row r="221" spans="1:30" x14ac:dyDescent="0.3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</row>
    <row r="222" spans="1:30" x14ac:dyDescent="0.3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</row>
    <row r="223" spans="1:30" x14ac:dyDescent="0.3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</row>
    <row r="224" spans="1:30" x14ac:dyDescent="0.3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</row>
    <row r="225" spans="1:30" x14ac:dyDescent="0.3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</row>
    <row r="226" spans="1:30" x14ac:dyDescent="0.3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</row>
    <row r="227" spans="1:30" x14ac:dyDescent="0.3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</row>
    <row r="228" spans="1:30" x14ac:dyDescent="0.3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</row>
    <row r="229" spans="1:30" x14ac:dyDescent="0.3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</row>
    <row r="230" spans="1:30" x14ac:dyDescent="0.3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</row>
    <row r="231" spans="1:30" x14ac:dyDescent="0.3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</row>
    <row r="232" spans="1:30" x14ac:dyDescent="0.3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</row>
    <row r="233" spans="1:30" x14ac:dyDescent="0.3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</row>
    <row r="234" spans="1:30" x14ac:dyDescent="0.3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</row>
    <row r="235" spans="1:30" x14ac:dyDescent="0.3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</row>
    <row r="236" spans="1:30" x14ac:dyDescent="0.3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</row>
    <row r="237" spans="1:30" x14ac:dyDescent="0.3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</row>
    <row r="238" spans="1:30" x14ac:dyDescent="0.3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</row>
    <row r="239" spans="1:30" x14ac:dyDescent="0.3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</row>
    <row r="240" spans="1:30" x14ac:dyDescent="0.3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</row>
    <row r="241" spans="1:30" x14ac:dyDescent="0.3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</row>
    <row r="242" spans="1:30" x14ac:dyDescent="0.3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</row>
    <row r="243" spans="1:30" x14ac:dyDescent="0.3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</row>
    <row r="244" spans="1:30" x14ac:dyDescent="0.3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</row>
    <row r="245" spans="1:30" x14ac:dyDescent="0.3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</row>
    <row r="246" spans="1:30" x14ac:dyDescent="0.3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</row>
    <row r="247" spans="1:30" x14ac:dyDescent="0.3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</row>
    <row r="248" spans="1:30" x14ac:dyDescent="0.3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</row>
    <row r="249" spans="1:30" x14ac:dyDescent="0.3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</row>
    <row r="250" spans="1:30" x14ac:dyDescent="0.3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</row>
    <row r="251" spans="1:30" x14ac:dyDescent="0.3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</row>
    <row r="252" spans="1:30" x14ac:dyDescent="0.3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</row>
    <row r="253" spans="1:30" x14ac:dyDescent="0.3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</row>
    <row r="254" spans="1:30" x14ac:dyDescent="0.3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</row>
    <row r="255" spans="1:30" x14ac:dyDescent="0.3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</row>
    <row r="256" spans="1:30" x14ac:dyDescent="0.3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</row>
    <row r="257" spans="1:30" x14ac:dyDescent="0.3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</row>
    <row r="258" spans="1:30" x14ac:dyDescent="0.3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</row>
    <row r="259" spans="1:30" x14ac:dyDescent="0.3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</row>
    <row r="260" spans="1:30" x14ac:dyDescent="0.3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</row>
    <row r="261" spans="1:30" x14ac:dyDescent="0.3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</row>
    <row r="262" spans="1:30" x14ac:dyDescent="0.3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</row>
    <row r="263" spans="1:30" x14ac:dyDescent="0.3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</row>
    <row r="264" spans="1:30" x14ac:dyDescent="0.3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</row>
    <row r="265" spans="1:30" x14ac:dyDescent="0.3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</row>
    <row r="266" spans="1:30" x14ac:dyDescent="0.3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</row>
    <row r="267" spans="1:30" x14ac:dyDescent="0.3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</row>
    <row r="268" spans="1:30" x14ac:dyDescent="0.3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</row>
    <row r="269" spans="1:30" x14ac:dyDescent="0.3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</row>
    <row r="270" spans="1:30" x14ac:dyDescent="0.3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</row>
    <row r="271" spans="1:30" x14ac:dyDescent="0.3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</row>
    <row r="272" spans="1:30" x14ac:dyDescent="0.3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</row>
    <row r="273" spans="1:30" x14ac:dyDescent="0.3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</row>
    <row r="274" spans="1:30" x14ac:dyDescent="0.3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</row>
    <row r="275" spans="1:30" x14ac:dyDescent="0.3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</row>
    <row r="276" spans="1:30" x14ac:dyDescent="0.3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</row>
    <row r="277" spans="1:30" x14ac:dyDescent="0.3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</row>
    <row r="278" spans="1:30" x14ac:dyDescent="0.3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</row>
    <row r="279" spans="1:30" x14ac:dyDescent="0.3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</row>
    <row r="280" spans="1:30" x14ac:dyDescent="0.3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</row>
    <row r="281" spans="1:30" x14ac:dyDescent="0.3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</row>
    <row r="282" spans="1:30" x14ac:dyDescent="0.3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</row>
    <row r="283" spans="1:30" x14ac:dyDescent="0.3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</row>
    <row r="284" spans="1:30" x14ac:dyDescent="0.3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</row>
    <row r="285" spans="1:30" x14ac:dyDescent="0.3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</row>
    <row r="286" spans="1:30" x14ac:dyDescent="0.3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</row>
    <row r="287" spans="1:30" x14ac:dyDescent="0.3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</row>
    <row r="288" spans="1:30" x14ac:dyDescent="0.3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</row>
    <row r="289" spans="1:30" x14ac:dyDescent="0.3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</row>
    <row r="290" spans="1:30" x14ac:dyDescent="0.3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</row>
    <row r="291" spans="1:30" x14ac:dyDescent="0.3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</row>
    <row r="292" spans="1:30" x14ac:dyDescent="0.3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</row>
    <row r="293" spans="1:30" x14ac:dyDescent="0.3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</row>
    <row r="294" spans="1:30" x14ac:dyDescent="0.3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</row>
    <row r="295" spans="1:30" x14ac:dyDescent="0.3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</row>
    <row r="296" spans="1:30" x14ac:dyDescent="0.3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</row>
    <row r="297" spans="1:30" x14ac:dyDescent="0.3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</row>
    <row r="298" spans="1:30" x14ac:dyDescent="0.3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</row>
    <row r="299" spans="1:30" x14ac:dyDescent="0.3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</row>
    <row r="300" spans="1:30" x14ac:dyDescent="0.3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</row>
    <row r="301" spans="1:30" x14ac:dyDescent="0.3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</row>
    <row r="302" spans="1:30" x14ac:dyDescent="0.3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</row>
    <row r="303" spans="1:30" x14ac:dyDescent="0.3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</row>
    <row r="304" spans="1:30" x14ac:dyDescent="0.3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</row>
    <row r="305" spans="1:30" x14ac:dyDescent="0.3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</row>
    <row r="306" spans="1:30" x14ac:dyDescent="0.3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</row>
    <row r="307" spans="1:30" x14ac:dyDescent="0.3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</row>
    <row r="308" spans="1:30" x14ac:dyDescent="0.3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</row>
    <row r="309" spans="1:30" x14ac:dyDescent="0.3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</row>
    <row r="310" spans="1:30" x14ac:dyDescent="0.3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</row>
    <row r="311" spans="1:30" x14ac:dyDescent="0.3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</row>
    <row r="312" spans="1:30" x14ac:dyDescent="0.3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</row>
    <row r="313" spans="1:30" x14ac:dyDescent="0.3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</row>
    <row r="314" spans="1:30" x14ac:dyDescent="0.3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</row>
    <row r="315" spans="1:30" x14ac:dyDescent="0.3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</row>
    <row r="316" spans="1:30" x14ac:dyDescent="0.3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</row>
    <row r="317" spans="1:30" x14ac:dyDescent="0.3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</row>
    <row r="318" spans="1:30" x14ac:dyDescent="0.3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</row>
    <row r="319" spans="1:30" x14ac:dyDescent="0.3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</row>
    <row r="320" spans="1:30" x14ac:dyDescent="0.3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</row>
    <row r="321" spans="1:30" x14ac:dyDescent="0.3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</row>
    <row r="322" spans="1:30" x14ac:dyDescent="0.3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</row>
    <row r="323" spans="1:30" x14ac:dyDescent="0.3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</row>
    <row r="324" spans="1:30" x14ac:dyDescent="0.3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</row>
    <row r="325" spans="1:30" x14ac:dyDescent="0.3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</row>
    <row r="326" spans="1:30" x14ac:dyDescent="0.3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</row>
    <row r="327" spans="1:30" x14ac:dyDescent="0.3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</row>
    <row r="328" spans="1:30" x14ac:dyDescent="0.3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</row>
    <row r="329" spans="1:30" x14ac:dyDescent="0.3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</row>
    <row r="330" spans="1:30" x14ac:dyDescent="0.3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</row>
    <row r="331" spans="1:30" x14ac:dyDescent="0.3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</row>
    <row r="332" spans="1:30" x14ac:dyDescent="0.3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</row>
    <row r="333" spans="1:30" x14ac:dyDescent="0.3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</row>
    <row r="334" spans="1:30" x14ac:dyDescent="0.3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</row>
    <row r="335" spans="1:30" x14ac:dyDescent="0.3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</row>
    <row r="336" spans="1:30" x14ac:dyDescent="0.3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</row>
    <row r="337" spans="1:30" x14ac:dyDescent="0.3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</row>
    <row r="338" spans="1:30" x14ac:dyDescent="0.3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</row>
    <row r="339" spans="1:30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</row>
    <row r="340" spans="1:30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</row>
    <row r="341" spans="1:30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</row>
    <row r="342" spans="1:30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</row>
    <row r="343" spans="1:30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</row>
    <row r="344" spans="1:30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</row>
    <row r="345" spans="1:30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</row>
    <row r="346" spans="1:30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</row>
    <row r="347" spans="1:30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</row>
    <row r="348" spans="1:30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</row>
    <row r="349" spans="1:30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</row>
    <row r="350" spans="1:30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</row>
    <row r="351" spans="1:30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</row>
    <row r="352" spans="1:30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</row>
    <row r="353" spans="1:30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</row>
    <row r="354" spans="1:30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</row>
    <row r="355" spans="1:30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</row>
    <row r="356" spans="1:30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</row>
    <row r="357" spans="1:30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</row>
    <row r="358" spans="1:30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</row>
    <row r="359" spans="1:30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</row>
    <row r="360" spans="1:30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</row>
    <row r="361" spans="1:30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</row>
    <row r="362" spans="1:30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</row>
    <row r="363" spans="1:30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</row>
    <row r="364" spans="1:30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</row>
    <row r="365" spans="1:30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</row>
    <row r="366" spans="1:30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</row>
    <row r="367" spans="1:30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</row>
    <row r="368" spans="1:30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</row>
    <row r="369" spans="1:30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</row>
    <row r="370" spans="1:30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</row>
    <row r="371" spans="1:30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</row>
    <row r="372" spans="1:30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</row>
    <row r="373" spans="1:30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</row>
    <row r="374" spans="1:30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</row>
    <row r="375" spans="1:30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</row>
    <row r="376" spans="1:30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</row>
    <row r="377" spans="1:30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</row>
    <row r="378" spans="1:30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</row>
    <row r="379" spans="1:30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</row>
    <row r="380" spans="1:30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</row>
    <row r="381" spans="1:30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</row>
    <row r="382" spans="1:30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</row>
    <row r="383" spans="1:30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</row>
    <row r="384" spans="1:30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</row>
    <row r="385" spans="1:30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</row>
    <row r="386" spans="1:30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</row>
    <row r="387" spans="1:30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</row>
    <row r="388" spans="1:30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</row>
    <row r="389" spans="1:30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</row>
    <row r="390" spans="1:30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</row>
    <row r="391" spans="1:30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</row>
    <row r="392" spans="1:30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</row>
    <row r="393" spans="1:30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</row>
    <row r="394" spans="1:30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</row>
    <row r="395" spans="1:30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</row>
    <row r="396" spans="1:30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</row>
    <row r="397" spans="1:30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</row>
    <row r="398" spans="1:30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</row>
    <row r="399" spans="1:30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</row>
    <row r="400" spans="1:30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</row>
    <row r="401" spans="1:30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</row>
    <row r="402" spans="1:30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</row>
    <row r="403" spans="1:30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</row>
    <row r="404" spans="1:30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</row>
    <row r="405" spans="1:30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</row>
    <row r="406" spans="1:30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</row>
    <row r="407" spans="1:30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</row>
    <row r="408" spans="1:30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</row>
    <row r="409" spans="1:30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</row>
    <row r="410" spans="1:30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</row>
    <row r="411" spans="1:30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</row>
    <row r="412" spans="1:30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</row>
    <row r="413" spans="1:30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</row>
    <row r="414" spans="1:30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</row>
    <row r="415" spans="1:30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</row>
    <row r="416" spans="1:30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</row>
    <row r="417" spans="1:30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</row>
    <row r="418" spans="1:30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</row>
    <row r="419" spans="1:30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</row>
    <row r="420" spans="1:30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</row>
    <row r="421" spans="1:30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</row>
    <row r="422" spans="1:30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</row>
    <row r="423" spans="1:30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</row>
    <row r="424" spans="1:30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</row>
    <row r="425" spans="1:30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</row>
    <row r="426" spans="1:30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</row>
    <row r="427" spans="1:30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</row>
    <row r="428" spans="1:30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</row>
    <row r="429" spans="1:30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</row>
    <row r="430" spans="1:30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</row>
    <row r="431" spans="1:30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</row>
    <row r="432" spans="1:30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</row>
    <row r="433" spans="1:30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</row>
    <row r="434" spans="1:30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</row>
    <row r="435" spans="1:30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</row>
    <row r="436" spans="1:30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</row>
    <row r="437" spans="1:30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</row>
    <row r="438" spans="1:30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</row>
    <row r="439" spans="1:30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</row>
    <row r="440" spans="1:30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</row>
    <row r="441" spans="1:30" x14ac:dyDescent="0.3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</row>
    <row r="442" spans="1:30" x14ac:dyDescent="0.3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</row>
    <row r="443" spans="1:30" x14ac:dyDescent="0.3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</row>
    <row r="444" spans="1:30" x14ac:dyDescent="0.3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</row>
    <row r="445" spans="1:30" x14ac:dyDescent="0.3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</row>
    <row r="446" spans="1:30" x14ac:dyDescent="0.3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</row>
    <row r="447" spans="1:30" x14ac:dyDescent="0.3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</row>
    <row r="448" spans="1:30" x14ac:dyDescent="0.3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</row>
    <row r="449" spans="1:30" x14ac:dyDescent="0.3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</row>
    <row r="450" spans="1:30" x14ac:dyDescent="0.3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</row>
    <row r="451" spans="1:30" x14ac:dyDescent="0.3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</row>
    <row r="452" spans="1:30" x14ac:dyDescent="0.3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</row>
    <row r="453" spans="1:30" x14ac:dyDescent="0.3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</row>
    <row r="454" spans="1:30" x14ac:dyDescent="0.3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</row>
    <row r="455" spans="1:30" x14ac:dyDescent="0.3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</row>
    <row r="456" spans="1:30" x14ac:dyDescent="0.3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</row>
    <row r="457" spans="1:30" x14ac:dyDescent="0.3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</row>
    <row r="458" spans="1:30" x14ac:dyDescent="0.3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</row>
    <row r="459" spans="1:30" x14ac:dyDescent="0.3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</row>
    <row r="460" spans="1:30" x14ac:dyDescent="0.3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</row>
    <row r="461" spans="1:30" x14ac:dyDescent="0.3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</row>
    <row r="462" spans="1:30" x14ac:dyDescent="0.3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</row>
    <row r="463" spans="1:30" x14ac:dyDescent="0.3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</row>
    <row r="464" spans="1:30" x14ac:dyDescent="0.3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</row>
    <row r="465" spans="1:30" x14ac:dyDescent="0.3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</row>
    <row r="466" spans="1:30" x14ac:dyDescent="0.3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</row>
    <row r="467" spans="1:30" x14ac:dyDescent="0.3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</row>
    <row r="468" spans="1:30" x14ac:dyDescent="0.3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</row>
    <row r="469" spans="1:30" x14ac:dyDescent="0.3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</row>
    <row r="470" spans="1:30" x14ac:dyDescent="0.3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</row>
    <row r="471" spans="1:30" x14ac:dyDescent="0.3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</row>
    <row r="472" spans="1:30" x14ac:dyDescent="0.3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</row>
    <row r="473" spans="1:30" x14ac:dyDescent="0.3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</row>
    <row r="474" spans="1:30" x14ac:dyDescent="0.3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</row>
    <row r="475" spans="1:30" x14ac:dyDescent="0.3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</row>
    <row r="476" spans="1:30" x14ac:dyDescent="0.3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</row>
    <row r="477" spans="1:30" x14ac:dyDescent="0.3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</row>
    <row r="478" spans="1:30" x14ac:dyDescent="0.3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</row>
    <row r="479" spans="1:30" x14ac:dyDescent="0.3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</row>
    <row r="480" spans="1:30" x14ac:dyDescent="0.3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</row>
    <row r="481" spans="1:30" x14ac:dyDescent="0.3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</row>
    <row r="482" spans="1:30" x14ac:dyDescent="0.3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</row>
    <row r="483" spans="1:30" x14ac:dyDescent="0.3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</row>
    <row r="484" spans="1:30" x14ac:dyDescent="0.3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</row>
    <row r="485" spans="1:30" x14ac:dyDescent="0.3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</row>
    <row r="486" spans="1:30" x14ac:dyDescent="0.3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</row>
    <row r="487" spans="1:30" x14ac:dyDescent="0.3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</row>
    <row r="488" spans="1:30" x14ac:dyDescent="0.3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</row>
    <row r="489" spans="1:30" x14ac:dyDescent="0.3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</row>
    <row r="490" spans="1:30" x14ac:dyDescent="0.3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</row>
    <row r="491" spans="1:30" x14ac:dyDescent="0.3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</row>
    <row r="492" spans="1:30" x14ac:dyDescent="0.3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</row>
    <row r="493" spans="1:30" x14ac:dyDescent="0.3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</row>
    <row r="494" spans="1:30" x14ac:dyDescent="0.3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</row>
    <row r="495" spans="1:30" x14ac:dyDescent="0.3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</row>
    <row r="496" spans="1:30" x14ac:dyDescent="0.3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</row>
    <row r="497" spans="1:30" x14ac:dyDescent="0.3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</row>
    <row r="498" spans="1:30" x14ac:dyDescent="0.3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</row>
    <row r="499" spans="1:30" x14ac:dyDescent="0.3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</row>
  </sheetData>
  <phoneticPr fontId="3" type="noConversion"/>
  <pageMargins left="0.75" right="0.75" top="1" bottom="1" header="0.5" footer="0.5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Y524"/>
  <sheetViews>
    <sheetView zoomScale="70" zoomScaleNormal="70" workbookViewId="0">
      <pane xSplit="21" ySplit="23" topLeftCell="V24" activePane="bottomRight" state="frozen"/>
      <selection activeCell="K20" sqref="K20"/>
      <selection pane="topRight" activeCell="K20" sqref="K20"/>
      <selection pane="bottomLeft" activeCell="K20" sqref="K20"/>
      <selection pane="bottomRight" activeCell="P20" sqref="P20"/>
    </sheetView>
  </sheetViews>
  <sheetFormatPr defaultRowHeight="16.5" x14ac:dyDescent="0.3"/>
  <cols>
    <col min="1" max="2" width="11" bestFit="1" customWidth="1"/>
    <col min="3" max="3" width="5.25" customWidth="1"/>
    <col min="4" max="4" width="9.25" bestFit="1" customWidth="1"/>
    <col min="5" max="5" width="8.625" customWidth="1"/>
    <col min="6" max="6" width="9.375" customWidth="1"/>
    <col min="7" max="7" width="8.5" customWidth="1"/>
    <col min="8" max="8" width="7.625" customWidth="1"/>
    <col min="9" max="12" width="9" customWidth="1"/>
    <col min="13" max="13" width="15.125" customWidth="1"/>
    <col min="14" max="16" width="9" customWidth="1"/>
    <col min="17" max="18" width="9.125" customWidth="1"/>
    <col min="19" max="20" width="11" customWidth="1"/>
    <col min="21" max="21" width="9.25" bestFit="1" customWidth="1"/>
  </cols>
  <sheetData>
    <row r="1" spans="1:15" ht="17.25" thickBot="1" x14ac:dyDescent="0.35">
      <c r="A1" s="72" t="s">
        <v>22</v>
      </c>
      <c r="B1" s="73" t="s">
        <v>6</v>
      </c>
      <c r="C1" s="73" t="s">
        <v>7</v>
      </c>
      <c r="D1" s="73" t="s">
        <v>23</v>
      </c>
      <c r="E1" s="73" t="s">
        <v>24</v>
      </c>
      <c r="F1" s="73" t="s">
        <v>153</v>
      </c>
      <c r="G1" s="73" t="s">
        <v>154</v>
      </c>
      <c r="H1" s="73" t="s">
        <v>155</v>
      </c>
      <c r="I1" s="73" t="s">
        <v>156</v>
      </c>
      <c r="J1" s="73" t="s">
        <v>157</v>
      </c>
      <c r="K1" s="73" t="s">
        <v>158</v>
      </c>
      <c r="L1" s="73" t="s">
        <v>152</v>
      </c>
      <c r="M1" s="114" t="s">
        <v>159</v>
      </c>
    </row>
    <row r="2" spans="1:15" x14ac:dyDescent="0.3">
      <c r="A2" s="69" t="str">
        <f>IF(COUNTIF($F$26:$F$555,1)=0,"",1)</f>
        <v/>
      </c>
      <c r="B2" s="70" t="str">
        <f>IF(A2="","",COUNTIFS($F$26:$F$524,A2,$C$26:$C$524,1))</f>
        <v/>
      </c>
      <c r="C2" s="70" t="str">
        <f>IF(A2="","",COUNTIFS($F$26:$F$524,A2,$C$26:$C$524,2))</f>
        <v/>
      </c>
      <c r="D2" s="119" t="str">
        <f>IF(A2="","",IF(OR(B2=0,C2=0),"",ROUND(B2/C2,1)))</f>
        <v/>
      </c>
      <c r="E2" s="119" t="str">
        <f>IF(B2="","",IF(AND(B2=0,C2=0),"",SUM(B2:C2)))</f>
        <v/>
      </c>
      <c r="F2" s="120" t="str">
        <f>IF(A2="","",IF(AND(B2=0,C2=0),"",ROUND(COUNTIFS($F$26:$F$524,A2,$N$26:$N$524,"높음"),0)))</f>
        <v/>
      </c>
      <c r="G2" s="121" t="str">
        <f>IF(A2="","",IF(AND(B2=0,C2=0),"",ROUND(COUNTIFS($F$26:$F$524,A2,$O$26:$O$524,"높음"),0)))</f>
        <v/>
      </c>
      <c r="H2" s="119" t="str">
        <f>IF(A2="","",IF(AND(B2=0,C2=0),"",ROUND(COUNTIFS($F$26:$F$524,A2,$P$26:$P$524,"높음"),0)))</f>
        <v/>
      </c>
      <c r="I2" s="122" t="str">
        <f>IF(A2="","",IF(AND(B2=0,C2=0),"",ROUND(COUNTIFS($F$26:$F$524,A2,$Q$26:$Q$524,"높음"),0)))</f>
        <v/>
      </c>
      <c r="J2" s="122" t="str">
        <f>IF(A2="","",IF(AND(B2=0,C2=0),"",ROUND(COUNTIFS($F$26:$F$524,A2,$R$26:$R$524,"높음"),0)))</f>
        <v/>
      </c>
      <c r="K2" s="122" t="str">
        <f>IF(A2="","",IF(AND(B2=0,C2=0),"",ROUND(COUNTIFS($F$26:$F$524,A2,$S$26:$S$524,"높음"),0)))</f>
        <v/>
      </c>
      <c r="L2" s="122" t="str">
        <f>IF(A2="","",IF(AND(B2=0,C2=0),"",ROUND(AVERAGEIF($F$26:$F$524,A2,$T$26:$T$524),2)))</f>
        <v/>
      </c>
      <c r="M2" s="123" t="str">
        <f>IF(A2="","",IF(AND(B2=0,C2=0),"",ROUND(COUNTIFS($F$26:$F$524,A2,$U$26:$U$524,"&gt;0"),0)))</f>
        <v/>
      </c>
    </row>
    <row r="3" spans="1:15" x14ac:dyDescent="0.3">
      <c r="A3" s="69" t="str">
        <f>IF(COUNTIF($F$26:$F$555,2)=0,"",2)</f>
        <v/>
      </c>
      <c r="B3" s="70" t="str">
        <f t="shared" ref="B3:B21" si="0">IF(A3="","",COUNTIFS($F$26:$F$524,A3,$C$26:$C$524,1))</f>
        <v/>
      </c>
      <c r="C3" s="68" t="str">
        <f t="shared" ref="C3:C21" si="1">IF(A3="","",COUNTIFS($F$26:$F$524,A3,$C$26:$C$524,2))</f>
        <v/>
      </c>
      <c r="D3" s="119" t="str">
        <f t="shared" ref="D3:D21" si="2">IF(A3="","",IF(OR(B3=0,C3=0),"",ROUND(B3/C3,1)))</f>
        <v/>
      </c>
      <c r="E3" s="124" t="str">
        <f t="shared" ref="E3:E21" si="3">IF(B3="","",IF(AND(B3=0,C3=0),"",SUM(B3:C3)))</f>
        <v/>
      </c>
      <c r="F3" s="125" t="str">
        <f t="shared" ref="F3:F21" si="4">IF(A3="","",IF(AND(B3=0,C3=0),"",ROUND(COUNTIFS($F$26:$F$524,A3,$N$26:$N$524,"높음"),0)))</f>
        <v/>
      </c>
      <c r="G3" s="126" t="str">
        <f t="shared" ref="G3:G21" si="5">IF(A3="","",IF(AND(B3=0,C3=0),"",ROUND(COUNTIFS($F$26:$F$524,A3,$O$26:$O$524,"높음"),0)))</f>
        <v/>
      </c>
      <c r="H3" s="124" t="str">
        <f t="shared" ref="H3:H21" si="6">IF(A3="","",IF(AND(B3=0,C3=0),"",ROUND(COUNTIFS($F$26:$F$524,A3,$P$26:$P$524,"높음"),0)))</f>
        <v/>
      </c>
      <c r="I3" s="124" t="str">
        <f t="shared" ref="I3:I21" si="7">IF(A3="","",IF(AND(B3=0,C3=0),"",ROUND(COUNTIFS($F$26:$F$524,A3,$Q$26:$Q$524,"높음"),0)))</f>
        <v/>
      </c>
      <c r="J3" s="124" t="str">
        <f t="shared" ref="J3:J21" si="8">IF(A3="","",IF(AND(B3=0,C3=0),"",ROUND(COUNTIFS($F$26:$F$524,A3,$R$26:$R$524,"높음"),0)))</f>
        <v/>
      </c>
      <c r="K3" s="124" t="str">
        <f t="shared" ref="K3:K21" si="9">IF(A3="","",IF(AND(B3=0,C3=0),"",ROUND(COUNTIFS($F$26:$F$524,A3,$S$26:$S$524,"높음"),0)))</f>
        <v/>
      </c>
      <c r="L3" s="124" t="str">
        <f t="shared" ref="L3:L21" si="10">IF(A3="","",IF(AND(B3=0,C3=0),"",ROUND(AVERAGEIF($F$26:$F$524,A3,$T$26:$T$524),2)))</f>
        <v/>
      </c>
      <c r="M3" s="127" t="str">
        <f t="shared" ref="M3:M21" si="11">IF(A3="","",IF(AND(B3=0,C3=0),"",ROUND(COUNTIFS($F$26:$F$524,A3,$U$26:$U$524,"&gt;0"),0)))</f>
        <v/>
      </c>
    </row>
    <row r="4" spans="1:15" ht="17.25" x14ac:dyDescent="0.3">
      <c r="A4" s="67" t="str">
        <f>IF(COUNTIF($F$26:$F$555,3)=0,"",3)</f>
        <v/>
      </c>
      <c r="B4" s="68" t="str">
        <f t="shared" si="0"/>
        <v/>
      </c>
      <c r="C4" s="68" t="str">
        <f t="shared" ref="C4:C12" si="12">IF(A4="","",COUNTIFS($F$26:$F$524,A4,$C$26:$C$524,2))</f>
        <v/>
      </c>
      <c r="D4" s="119" t="str">
        <f t="shared" si="2"/>
        <v/>
      </c>
      <c r="E4" s="124" t="str">
        <f t="shared" si="3"/>
        <v/>
      </c>
      <c r="F4" s="125" t="str">
        <f t="shared" si="4"/>
        <v/>
      </c>
      <c r="G4" s="126" t="str">
        <f t="shared" si="5"/>
        <v/>
      </c>
      <c r="H4" s="124" t="str">
        <f t="shared" si="6"/>
        <v/>
      </c>
      <c r="I4" s="124" t="str">
        <f t="shared" si="7"/>
        <v/>
      </c>
      <c r="J4" s="124" t="str">
        <f t="shared" si="8"/>
        <v/>
      </c>
      <c r="K4" s="124" t="str">
        <f t="shared" si="9"/>
        <v/>
      </c>
      <c r="L4" s="124" t="str">
        <f t="shared" si="10"/>
        <v/>
      </c>
      <c r="M4" s="127" t="str">
        <f t="shared" si="11"/>
        <v/>
      </c>
      <c r="O4" s="80" t="s">
        <v>77</v>
      </c>
    </row>
    <row r="5" spans="1:15" ht="17.25" x14ac:dyDescent="0.3">
      <c r="A5" s="67" t="str">
        <f>IF(COUNTIF($F$26:$F$555,4)=0,"",4)</f>
        <v/>
      </c>
      <c r="B5" s="68" t="str">
        <f t="shared" si="0"/>
        <v/>
      </c>
      <c r="C5" s="68" t="str">
        <f t="shared" si="12"/>
        <v/>
      </c>
      <c r="D5" s="119" t="str">
        <f t="shared" si="2"/>
        <v/>
      </c>
      <c r="E5" s="124" t="str">
        <f t="shared" si="3"/>
        <v/>
      </c>
      <c r="F5" s="125" t="str">
        <f t="shared" si="4"/>
        <v/>
      </c>
      <c r="G5" s="126" t="str">
        <f t="shared" si="5"/>
        <v/>
      </c>
      <c r="H5" s="124" t="str">
        <f t="shared" si="6"/>
        <v/>
      </c>
      <c r="I5" s="124" t="str">
        <f t="shared" si="7"/>
        <v/>
      </c>
      <c r="J5" s="124" t="str">
        <f t="shared" si="8"/>
        <v/>
      </c>
      <c r="K5" s="124" t="str">
        <f t="shared" si="9"/>
        <v/>
      </c>
      <c r="L5" s="124" t="str">
        <f t="shared" si="10"/>
        <v/>
      </c>
      <c r="M5" s="127" t="str">
        <f t="shared" si="11"/>
        <v/>
      </c>
      <c r="O5" s="80" t="s">
        <v>78</v>
      </c>
    </row>
    <row r="6" spans="1:15" x14ac:dyDescent="0.3">
      <c r="A6" s="67" t="str">
        <f>IF(COUNTIF($F$26:$F$555,5)=0,"",5)</f>
        <v/>
      </c>
      <c r="B6" s="68" t="str">
        <f>IF(A6="","",COUNTIFS($F$26:$F$524,A6,$C$26:$C$524,1))</f>
        <v/>
      </c>
      <c r="C6" s="68" t="str">
        <f t="shared" si="12"/>
        <v/>
      </c>
      <c r="D6" s="119" t="str">
        <f t="shared" si="2"/>
        <v/>
      </c>
      <c r="E6" s="124" t="str">
        <f t="shared" si="3"/>
        <v/>
      </c>
      <c r="F6" s="125" t="str">
        <f t="shared" si="4"/>
        <v/>
      </c>
      <c r="G6" s="126" t="str">
        <f t="shared" si="5"/>
        <v/>
      </c>
      <c r="H6" s="124" t="str">
        <f t="shared" si="6"/>
        <v/>
      </c>
      <c r="I6" s="124" t="str">
        <f t="shared" si="7"/>
        <v/>
      </c>
      <c r="J6" s="124" t="str">
        <f t="shared" si="8"/>
        <v/>
      </c>
      <c r="K6" s="124" t="str">
        <f t="shared" si="9"/>
        <v/>
      </c>
      <c r="L6" s="124" t="str">
        <f t="shared" si="10"/>
        <v/>
      </c>
      <c r="M6" s="127" t="str">
        <f t="shared" si="11"/>
        <v/>
      </c>
    </row>
    <row r="7" spans="1:15" ht="17.25" x14ac:dyDescent="0.3">
      <c r="A7" s="67" t="str">
        <f>IF(COUNTIF($F$26:$F$555,6)=0,"",6)</f>
        <v/>
      </c>
      <c r="B7" s="68" t="str">
        <f t="shared" si="0"/>
        <v/>
      </c>
      <c r="C7" s="68" t="str">
        <f t="shared" si="12"/>
        <v/>
      </c>
      <c r="D7" s="119" t="str">
        <f t="shared" si="2"/>
        <v/>
      </c>
      <c r="E7" s="124" t="str">
        <f t="shared" si="3"/>
        <v/>
      </c>
      <c r="F7" s="125" t="str">
        <f t="shared" si="4"/>
        <v/>
      </c>
      <c r="G7" s="126" t="str">
        <f t="shared" si="5"/>
        <v/>
      </c>
      <c r="H7" s="124" t="str">
        <f t="shared" si="6"/>
        <v/>
      </c>
      <c r="I7" s="124" t="str">
        <f t="shared" si="7"/>
        <v/>
      </c>
      <c r="J7" s="124" t="str">
        <f t="shared" si="8"/>
        <v/>
      </c>
      <c r="K7" s="124" t="str">
        <f t="shared" si="9"/>
        <v/>
      </c>
      <c r="L7" s="124" t="str">
        <f t="shared" si="10"/>
        <v/>
      </c>
      <c r="M7" s="127" t="str">
        <f t="shared" si="11"/>
        <v/>
      </c>
      <c r="O7" s="80" t="s">
        <v>79</v>
      </c>
    </row>
    <row r="8" spans="1:15" x14ac:dyDescent="0.3">
      <c r="A8" s="67" t="str">
        <f>IF(COUNTIF($F$26:$F$555,7)=0,"",7)</f>
        <v/>
      </c>
      <c r="B8" s="68" t="str">
        <f>IF(A8="","",COUNTIFS($F$26:$F$524,A8,$C$26:$C$524,1))</f>
        <v/>
      </c>
      <c r="C8" s="68" t="str">
        <f t="shared" si="12"/>
        <v/>
      </c>
      <c r="D8" s="119" t="str">
        <f t="shared" si="2"/>
        <v/>
      </c>
      <c r="E8" s="124" t="str">
        <f t="shared" si="3"/>
        <v/>
      </c>
      <c r="F8" s="125" t="str">
        <f t="shared" si="4"/>
        <v/>
      </c>
      <c r="G8" s="126" t="str">
        <f t="shared" si="5"/>
        <v/>
      </c>
      <c r="H8" s="124" t="str">
        <f t="shared" si="6"/>
        <v/>
      </c>
      <c r="I8" s="124" t="str">
        <f t="shared" si="7"/>
        <v/>
      </c>
      <c r="J8" s="124" t="str">
        <f t="shared" si="8"/>
        <v/>
      </c>
      <c r="K8" s="124" t="str">
        <f t="shared" si="9"/>
        <v/>
      </c>
      <c r="L8" s="124" t="str">
        <f t="shared" si="10"/>
        <v/>
      </c>
      <c r="M8" s="127" t="str">
        <f t="shared" si="11"/>
        <v/>
      </c>
    </row>
    <row r="9" spans="1:15" x14ac:dyDescent="0.3">
      <c r="A9" s="67" t="str">
        <f>IF(COUNTIF($F$26:$F$555,8)=0,"",8)</f>
        <v/>
      </c>
      <c r="B9" s="68" t="str">
        <f t="shared" si="0"/>
        <v/>
      </c>
      <c r="C9" s="68" t="str">
        <f t="shared" si="12"/>
        <v/>
      </c>
      <c r="D9" s="119" t="str">
        <f t="shared" si="2"/>
        <v/>
      </c>
      <c r="E9" s="124" t="str">
        <f t="shared" si="3"/>
        <v/>
      </c>
      <c r="F9" s="125" t="str">
        <f t="shared" si="4"/>
        <v/>
      </c>
      <c r="G9" s="126" t="str">
        <f t="shared" si="5"/>
        <v/>
      </c>
      <c r="H9" s="124" t="str">
        <f t="shared" si="6"/>
        <v/>
      </c>
      <c r="I9" s="124" t="str">
        <f t="shared" si="7"/>
        <v/>
      </c>
      <c r="J9" s="124" t="str">
        <f t="shared" si="8"/>
        <v/>
      </c>
      <c r="K9" s="124" t="str">
        <f t="shared" si="9"/>
        <v/>
      </c>
      <c r="L9" s="124" t="str">
        <f t="shared" si="10"/>
        <v/>
      </c>
      <c r="M9" s="127" t="str">
        <f t="shared" si="11"/>
        <v/>
      </c>
    </row>
    <row r="10" spans="1:15" x14ac:dyDescent="0.3">
      <c r="A10" s="67" t="str">
        <f>IF(COUNTIF($F$26:$F$555,9)=0,"",9)</f>
        <v/>
      </c>
      <c r="B10" s="68" t="str">
        <f t="shared" si="0"/>
        <v/>
      </c>
      <c r="C10" s="68" t="str">
        <f t="shared" si="12"/>
        <v/>
      </c>
      <c r="D10" s="119" t="str">
        <f t="shared" si="2"/>
        <v/>
      </c>
      <c r="E10" s="124" t="str">
        <f t="shared" si="3"/>
        <v/>
      </c>
      <c r="F10" s="125" t="str">
        <f t="shared" si="4"/>
        <v/>
      </c>
      <c r="G10" s="126" t="str">
        <f t="shared" si="5"/>
        <v/>
      </c>
      <c r="H10" s="124" t="str">
        <f t="shared" si="6"/>
        <v/>
      </c>
      <c r="I10" s="124" t="str">
        <f t="shared" si="7"/>
        <v/>
      </c>
      <c r="J10" s="124" t="str">
        <f t="shared" si="8"/>
        <v/>
      </c>
      <c r="K10" s="124" t="str">
        <f t="shared" si="9"/>
        <v/>
      </c>
      <c r="L10" s="124" t="str">
        <f t="shared" si="10"/>
        <v/>
      </c>
      <c r="M10" s="127" t="str">
        <f t="shared" si="11"/>
        <v/>
      </c>
    </row>
    <row r="11" spans="1:15" x14ac:dyDescent="0.3">
      <c r="A11" s="67" t="str">
        <f>IF(COUNTIF($F$26:$F$555,10)=0,"",10)</f>
        <v/>
      </c>
      <c r="B11" s="68" t="str">
        <f t="shared" si="0"/>
        <v/>
      </c>
      <c r="C11" s="68" t="str">
        <f t="shared" si="12"/>
        <v/>
      </c>
      <c r="D11" s="119" t="str">
        <f t="shared" si="2"/>
        <v/>
      </c>
      <c r="E11" s="124" t="str">
        <f t="shared" si="3"/>
        <v/>
      </c>
      <c r="F11" s="125" t="str">
        <f t="shared" si="4"/>
        <v/>
      </c>
      <c r="G11" s="126" t="str">
        <f t="shared" si="5"/>
        <v/>
      </c>
      <c r="H11" s="124" t="str">
        <f t="shared" si="6"/>
        <v/>
      </c>
      <c r="I11" s="124" t="str">
        <f t="shared" si="7"/>
        <v/>
      </c>
      <c r="J11" s="124" t="str">
        <f t="shared" si="8"/>
        <v/>
      </c>
      <c r="K11" s="124" t="str">
        <f t="shared" si="9"/>
        <v/>
      </c>
      <c r="L11" s="124" t="str">
        <f t="shared" si="10"/>
        <v/>
      </c>
      <c r="M11" s="127" t="str">
        <f t="shared" si="11"/>
        <v/>
      </c>
    </row>
    <row r="12" spans="1:15" x14ac:dyDescent="0.3">
      <c r="A12" s="67" t="str">
        <f>IF(COUNTIF($F$26:$F$555,11)=0,"",11)</f>
        <v/>
      </c>
      <c r="B12" s="68" t="str">
        <f t="shared" si="0"/>
        <v/>
      </c>
      <c r="C12" s="68" t="str">
        <f t="shared" si="12"/>
        <v/>
      </c>
      <c r="D12" s="119" t="str">
        <f t="shared" si="2"/>
        <v/>
      </c>
      <c r="E12" s="124" t="str">
        <f t="shared" si="3"/>
        <v/>
      </c>
      <c r="F12" s="125" t="str">
        <f t="shared" si="4"/>
        <v/>
      </c>
      <c r="G12" s="126" t="str">
        <f t="shared" si="5"/>
        <v/>
      </c>
      <c r="H12" s="124" t="str">
        <f t="shared" si="6"/>
        <v/>
      </c>
      <c r="I12" s="124" t="str">
        <f t="shared" si="7"/>
        <v/>
      </c>
      <c r="J12" s="124" t="str">
        <f t="shared" si="8"/>
        <v/>
      </c>
      <c r="K12" s="124" t="str">
        <f t="shared" si="9"/>
        <v/>
      </c>
      <c r="L12" s="124" t="str">
        <f t="shared" si="10"/>
        <v/>
      </c>
      <c r="M12" s="127" t="str">
        <f t="shared" si="11"/>
        <v/>
      </c>
    </row>
    <row r="13" spans="1:15" x14ac:dyDescent="0.3">
      <c r="A13" s="67" t="str">
        <f>IF(COUNTIF($F$26:$F$555,12)=0,"",12)</f>
        <v/>
      </c>
      <c r="B13" s="68" t="str">
        <f t="shared" si="0"/>
        <v/>
      </c>
      <c r="C13" s="68" t="str">
        <f t="shared" si="1"/>
        <v/>
      </c>
      <c r="D13" s="119" t="str">
        <f t="shared" si="2"/>
        <v/>
      </c>
      <c r="E13" s="124" t="str">
        <f t="shared" si="3"/>
        <v/>
      </c>
      <c r="F13" s="125" t="str">
        <f t="shared" si="4"/>
        <v/>
      </c>
      <c r="G13" s="126" t="str">
        <f t="shared" si="5"/>
        <v/>
      </c>
      <c r="H13" s="124" t="str">
        <f t="shared" si="6"/>
        <v/>
      </c>
      <c r="I13" s="124" t="str">
        <f t="shared" si="7"/>
        <v/>
      </c>
      <c r="J13" s="124" t="str">
        <f t="shared" si="8"/>
        <v/>
      </c>
      <c r="K13" s="124" t="str">
        <f t="shared" si="9"/>
        <v/>
      </c>
      <c r="L13" s="124" t="str">
        <f t="shared" si="10"/>
        <v/>
      </c>
      <c r="M13" s="127" t="str">
        <f t="shared" si="11"/>
        <v/>
      </c>
    </row>
    <row r="14" spans="1:15" x14ac:dyDescent="0.3">
      <c r="A14" s="67" t="str">
        <f>IF(COUNTIF($F$26:$F$555,13)=0,"",13)</f>
        <v/>
      </c>
      <c r="B14" s="68" t="str">
        <f t="shared" si="0"/>
        <v/>
      </c>
      <c r="C14" s="68" t="str">
        <f t="shared" si="1"/>
        <v/>
      </c>
      <c r="D14" s="119" t="str">
        <f t="shared" si="2"/>
        <v/>
      </c>
      <c r="E14" s="124" t="str">
        <f t="shared" si="3"/>
        <v/>
      </c>
      <c r="F14" s="125" t="str">
        <f t="shared" si="4"/>
        <v/>
      </c>
      <c r="G14" s="126" t="str">
        <f t="shared" si="5"/>
        <v/>
      </c>
      <c r="H14" s="124" t="str">
        <f t="shared" si="6"/>
        <v/>
      </c>
      <c r="I14" s="124" t="str">
        <f t="shared" si="7"/>
        <v/>
      </c>
      <c r="J14" s="124" t="str">
        <f t="shared" si="8"/>
        <v/>
      </c>
      <c r="K14" s="124" t="str">
        <f t="shared" si="9"/>
        <v/>
      </c>
      <c r="L14" s="124" t="str">
        <f t="shared" si="10"/>
        <v/>
      </c>
      <c r="M14" s="127" t="str">
        <f t="shared" si="11"/>
        <v/>
      </c>
    </row>
    <row r="15" spans="1:15" x14ac:dyDescent="0.3">
      <c r="A15" s="67" t="str">
        <f>IF(COUNTIF($F$26:$F$555,14)=0,"",14)</f>
        <v/>
      </c>
      <c r="B15" s="68" t="str">
        <f t="shared" si="0"/>
        <v/>
      </c>
      <c r="C15" s="68" t="str">
        <f t="shared" si="1"/>
        <v/>
      </c>
      <c r="D15" s="119" t="str">
        <f t="shared" si="2"/>
        <v/>
      </c>
      <c r="E15" s="124" t="str">
        <f t="shared" si="3"/>
        <v/>
      </c>
      <c r="F15" s="125" t="str">
        <f t="shared" si="4"/>
        <v/>
      </c>
      <c r="G15" s="126" t="str">
        <f t="shared" si="5"/>
        <v/>
      </c>
      <c r="H15" s="124" t="str">
        <f t="shared" si="6"/>
        <v/>
      </c>
      <c r="I15" s="124" t="str">
        <f t="shared" si="7"/>
        <v/>
      </c>
      <c r="J15" s="124" t="str">
        <f t="shared" si="8"/>
        <v/>
      </c>
      <c r="K15" s="124" t="str">
        <f t="shared" si="9"/>
        <v/>
      </c>
      <c r="L15" s="124" t="str">
        <f t="shared" si="10"/>
        <v/>
      </c>
      <c r="M15" s="127" t="str">
        <f t="shared" si="11"/>
        <v/>
      </c>
    </row>
    <row r="16" spans="1:15" x14ac:dyDescent="0.3">
      <c r="A16" s="67" t="str">
        <f>IF(COUNTIF($F$26:$F$555,15)=0,"",15)</f>
        <v/>
      </c>
      <c r="B16" s="68" t="str">
        <f t="shared" si="0"/>
        <v/>
      </c>
      <c r="C16" s="68" t="str">
        <f t="shared" si="1"/>
        <v/>
      </c>
      <c r="D16" s="119" t="str">
        <f t="shared" si="2"/>
        <v/>
      </c>
      <c r="E16" s="124" t="str">
        <f t="shared" si="3"/>
        <v/>
      </c>
      <c r="F16" s="125" t="str">
        <f t="shared" si="4"/>
        <v/>
      </c>
      <c r="G16" s="126" t="str">
        <f t="shared" si="5"/>
        <v/>
      </c>
      <c r="H16" s="124" t="str">
        <f t="shared" si="6"/>
        <v/>
      </c>
      <c r="I16" s="124" t="str">
        <f t="shared" si="7"/>
        <v/>
      </c>
      <c r="J16" s="124" t="str">
        <f t="shared" si="8"/>
        <v/>
      </c>
      <c r="K16" s="124" t="str">
        <f t="shared" si="9"/>
        <v/>
      </c>
      <c r="L16" s="124" t="str">
        <f t="shared" si="10"/>
        <v/>
      </c>
      <c r="M16" s="127" t="str">
        <f t="shared" si="11"/>
        <v/>
      </c>
    </row>
    <row r="17" spans="1:25" x14ac:dyDescent="0.3">
      <c r="A17" s="67" t="str">
        <f>IF(COUNTIF($F$26:$F$555,16)=0,"",16)</f>
        <v/>
      </c>
      <c r="B17" s="68" t="str">
        <f t="shared" si="0"/>
        <v/>
      </c>
      <c r="C17" s="68" t="str">
        <f t="shared" si="1"/>
        <v/>
      </c>
      <c r="D17" s="119" t="str">
        <f t="shared" si="2"/>
        <v/>
      </c>
      <c r="E17" s="124" t="str">
        <f t="shared" si="3"/>
        <v/>
      </c>
      <c r="F17" s="125" t="str">
        <f t="shared" si="4"/>
        <v/>
      </c>
      <c r="G17" s="126" t="str">
        <f t="shared" si="5"/>
        <v/>
      </c>
      <c r="H17" s="124" t="str">
        <f t="shared" si="6"/>
        <v/>
      </c>
      <c r="I17" s="124" t="str">
        <f t="shared" si="7"/>
        <v/>
      </c>
      <c r="J17" s="124" t="str">
        <f t="shared" si="8"/>
        <v/>
      </c>
      <c r="K17" s="124" t="str">
        <f t="shared" si="9"/>
        <v/>
      </c>
      <c r="L17" s="124" t="str">
        <f t="shared" si="10"/>
        <v/>
      </c>
      <c r="M17" s="127" t="str">
        <f t="shared" si="11"/>
        <v/>
      </c>
    </row>
    <row r="18" spans="1:25" x14ac:dyDescent="0.3">
      <c r="A18" s="67" t="str">
        <f>IF(COUNTIF($F$26:$F$555,17)=0,"",17)</f>
        <v/>
      </c>
      <c r="B18" s="68" t="str">
        <f t="shared" si="0"/>
        <v/>
      </c>
      <c r="C18" s="68" t="str">
        <f t="shared" si="1"/>
        <v/>
      </c>
      <c r="D18" s="119" t="str">
        <f t="shared" si="2"/>
        <v/>
      </c>
      <c r="E18" s="124" t="str">
        <f t="shared" si="3"/>
        <v/>
      </c>
      <c r="F18" s="125" t="str">
        <f t="shared" si="4"/>
        <v/>
      </c>
      <c r="G18" s="126" t="str">
        <f t="shared" si="5"/>
        <v/>
      </c>
      <c r="H18" s="124" t="str">
        <f t="shared" si="6"/>
        <v/>
      </c>
      <c r="I18" s="124" t="str">
        <f t="shared" si="7"/>
        <v/>
      </c>
      <c r="J18" s="124" t="str">
        <f t="shared" si="8"/>
        <v/>
      </c>
      <c r="K18" s="124" t="str">
        <f t="shared" si="9"/>
        <v/>
      </c>
      <c r="L18" s="124" t="str">
        <f t="shared" si="10"/>
        <v/>
      </c>
      <c r="M18" s="127" t="str">
        <f t="shared" si="11"/>
        <v/>
      </c>
    </row>
    <row r="19" spans="1:25" x14ac:dyDescent="0.3">
      <c r="A19" s="67" t="str">
        <f>IF(COUNTIF($F$26:$F$555,18)=0,"",18)</f>
        <v/>
      </c>
      <c r="B19" s="68" t="str">
        <f t="shared" si="0"/>
        <v/>
      </c>
      <c r="C19" s="68" t="str">
        <f t="shared" si="1"/>
        <v/>
      </c>
      <c r="D19" s="119" t="str">
        <f t="shared" si="2"/>
        <v/>
      </c>
      <c r="E19" s="124" t="str">
        <f t="shared" si="3"/>
        <v/>
      </c>
      <c r="F19" s="125" t="str">
        <f t="shared" si="4"/>
        <v/>
      </c>
      <c r="G19" s="126" t="str">
        <f t="shared" si="5"/>
        <v/>
      </c>
      <c r="H19" s="124" t="str">
        <f t="shared" si="6"/>
        <v/>
      </c>
      <c r="I19" s="124" t="str">
        <f t="shared" si="7"/>
        <v/>
      </c>
      <c r="J19" s="124" t="str">
        <f t="shared" si="8"/>
        <v/>
      </c>
      <c r="K19" s="124" t="str">
        <f t="shared" si="9"/>
        <v/>
      </c>
      <c r="L19" s="124" t="str">
        <f t="shared" si="10"/>
        <v/>
      </c>
      <c r="M19" s="127" t="str">
        <f t="shared" si="11"/>
        <v/>
      </c>
    </row>
    <row r="20" spans="1:25" x14ac:dyDescent="0.3">
      <c r="A20" s="67" t="str">
        <f>IF(COUNTIF($F$26:$F$555,19)=0,"",19)</f>
        <v/>
      </c>
      <c r="B20" s="68" t="str">
        <f t="shared" si="0"/>
        <v/>
      </c>
      <c r="C20" s="68" t="str">
        <f t="shared" si="1"/>
        <v/>
      </c>
      <c r="D20" s="119" t="str">
        <f t="shared" si="2"/>
        <v/>
      </c>
      <c r="E20" s="124" t="str">
        <f t="shared" si="3"/>
        <v/>
      </c>
      <c r="F20" s="125" t="str">
        <f t="shared" si="4"/>
        <v/>
      </c>
      <c r="G20" s="126" t="str">
        <f t="shared" si="5"/>
        <v/>
      </c>
      <c r="H20" s="124" t="str">
        <f t="shared" si="6"/>
        <v/>
      </c>
      <c r="I20" s="124" t="str">
        <f t="shared" si="7"/>
        <v/>
      </c>
      <c r="J20" s="124" t="str">
        <f t="shared" si="8"/>
        <v/>
      </c>
      <c r="K20" s="124" t="str">
        <f t="shared" si="9"/>
        <v/>
      </c>
      <c r="L20" s="124" t="str">
        <f t="shared" si="10"/>
        <v/>
      </c>
      <c r="M20" s="127" t="str">
        <f t="shared" si="11"/>
        <v/>
      </c>
    </row>
    <row r="21" spans="1:25" x14ac:dyDescent="0.3">
      <c r="A21" s="71" t="str">
        <f>IF(COUNTIF($F$26:$F$555,20)=0,"",20)</f>
        <v/>
      </c>
      <c r="B21" s="87" t="str">
        <f t="shared" si="0"/>
        <v/>
      </c>
      <c r="C21" s="87" t="str">
        <f t="shared" si="1"/>
        <v/>
      </c>
      <c r="D21" s="128" t="str">
        <f t="shared" si="2"/>
        <v/>
      </c>
      <c r="E21" s="128" t="str">
        <f t="shared" si="3"/>
        <v/>
      </c>
      <c r="F21" s="129" t="str">
        <f t="shared" si="4"/>
        <v/>
      </c>
      <c r="G21" s="130" t="str">
        <f t="shared" si="5"/>
        <v/>
      </c>
      <c r="H21" s="128" t="str">
        <f t="shared" si="6"/>
        <v/>
      </c>
      <c r="I21" s="128" t="str">
        <f t="shared" si="7"/>
        <v/>
      </c>
      <c r="J21" s="128" t="str">
        <f t="shared" si="8"/>
        <v/>
      </c>
      <c r="K21" s="128" t="str">
        <f t="shared" si="9"/>
        <v/>
      </c>
      <c r="L21" s="128" t="str">
        <f t="shared" si="10"/>
        <v/>
      </c>
      <c r="M21" s="131" t="str">
        <f t="shared" si="11"/>
        <v/>
      </c>
    </row>
    <row r="22" spans="1:25" s="19" customFormat="1" x14ac:dyDescent="0.3">
      <c r="A22" s="74"/>
      <c r="B22" s="75"/>
      <c r="C22" s="75"/>
      <c r="D22" s="88" t="s">
        <v>71</v>
      </c>
      <c r="E22" s="89" t="str">
        <f>IF(SUM(E2:E21)=0,"",SUM(E2:E21))</f>
        <v/>
      </c>
      <c r="F22" s="89" t="str">
        <f>IF(SUM(F2:F21)=0,"",SUM(F2:F21))</f>
        <v/>
      </c>
      <c r="G22" s="89" t="str">
        <f t="shared" ref="G22:J22" si="13">IF(SUM(G2:G21)=0,"",SUM(G2:G21))</f>
        <v/>
      </c>
      <c r="H22" s="89" t="str">
        <f t="shared" si="13"/>
        <v/>
      </c>
      <c r="I22" s="89" t="str">
        <f t="shared" si="13"/>
        <v/>
      </c>
      <c r="J22" s="89" t="str">
        <f t="shared" si="13"/>
        <v/>
      </c>
      <c r="K22" s="89" t="str">
        <f>IF(SUM(K2:K21)=0,"",SUM(K2:K21))</f>
        <v/>
      </c>
      <c r="L22" s="115" t="str">
        <f>IF(SUM(L2:L21)=0,"",SUM($T$26:$T$524))</f>
        <v/>
      </c>
      <c r="M22" s="116" t="str">
        <f>IF(SUM(M2:M21)=0,"",SUM(M2:M21))</f>
        <v/>
      </c>
    </row>
    <row r="23" spans="1:25" s="19" customFormat="1" ht="17.25" thickBot="1" x14ac:dyDescent="0.35">
      <c r="A23" s="76"/>
      <c r="B23" s="77"/>
      <c r="C23" s="77"/>
      <c r="D23" s="78" t="s">
        <v>72</v>
      </c>
      <c r="E23" s="79" t="str">
        <f t="shared" ref="E23:K23" si="14">IFERROR(ROUND(AVERAGE(E2:E21),2),"")</f>
        <v/>
      </c>
      <c r="F23" s="79" t="str">
        <f t="shared" si="14"/>
        <v/>
      </c>
      <c r="G23" s="79" t="str">
        <f t="shared" si="14"/>
        <v/>
      </c>
      <c r="H23" s="117" t="str">
        <f t="shared" si="14"/>
        <v/>
      </c>
      <c r="I23" s="117" t="str">
        <f t="shared" si="14"/>
        <v/>
      </c>
      <c r="J23" s="117" t="str">
        <f t="shared" si="14"/>
        <v/>
      </c>
      <c r="K23" s="117" t="str">
        <f t="shared" si="14"/>
        <v/>
      </c>
      <c r="L23" s="117" t="str">
        <f>IF(L22="","",IFERROR(ROUND(AVERAGE($T$26:$T$524),2),""))</f>
        <v/>
      </c>
      <c r="M23" s="118" t="str">
        <f>IFERROR(ROUND(AVERAGE(M2:M21),2),"")</f>
        <v/>
      </c>
    </row>
    <row r="24" spans="1:25" s="19" customFormat="1" x14ac:dyDescent="0.3">
      <c r="E24" s="24"/>
      <c r="G24" s="24"/>
      <c r="H24" s="24"/>
      <c r="U24" s="47" t="s">
        <v>160</v>
      </c>
    </row>
    <row r="25" spans="1:25" s="19" customFormat="1" ht="49.5" x14ac:dyDescent="0.3">
      <c r="A25" s="25" t="s">
        <v>11</v>
      </c>
      <c r="B25" s="16" t="s">
        <v>0</v>
      </c>
      <c r="C25" s="16" t="s">
        <v>12</v>
      </c>
      <c r="D25" s="16" t="s">
        <v>3</v>
      </c>
      <c r="E25" s="25" t="s">
        <v>18</v>
      </c>
      <c r="F25" s="25" t="s">
        <v>19</v>
      </c>
      <c r="G25" s="16" t="s">
        <v>20</v>
      </c>
      <c r="H25" s="26" t="s">
        <v>141</v>
      </c>
      <c r="I25" s="26" t="s">
        <v>142</v>
      </c>
      <c r="J25" s="26" t="s">
        <v>143</v>
      </c>
      <c r="K25" s="28" t="s">
        <v>25</v>
      </c>
      <c r="L25" s="28" t="s">
        <v>144</v>
      </c>
      <c r="M25" s="28" t="s">
        <v>145</v>
      </c>
      <c r="N25" s="29" t="s">
        <v>146</v>
      </c>
      <c r="O25" s="29" t="s">
        <v>147</v>
      </c>
      <c r="P25" s="29" t="s">
        <v>148</v>
      </c>
      <c r="Q25" s="29" t="s">
        <v>149</v>
      </c>
      <c r="R25" s="29" t="s">
        <v>150</v>
      </c>
      <c r="S25" s="107" t="s">
        <v>151</v>
      </c>
      <c r="T25" s="27" t="s">
        <v>152</v>
      </c>
      <c r="U25" s="30" t="s">
        <v>17</v>
      </c>
      <c r="V25" s="22"/>
    </row>
    <row r="26" spans="1:25" s="19" customFormat="1" x14ac:dyDescent="0.3">
      <c r="A26" s="11"/>
      <c r="B26" s="2"/>
      <c r="C26" s="2"/>
      <c r="D26" s="2"/>
      <c r="E26" s="11"/>
      <c r="F26" s="11"/>
      <c r="G26" s="2"/>
      <c r="H26" s="13"/>
      <c r="I26" s="13"/>
      <c r="J26" s="13"/>
      <c r="K26" s="6"/>
      <c r="L26" s="6"/>
      <c r="M26" s="6"/>
      <c r="N26" s="6"/>
      <c r="O26" s="6"/>
      <c r="P26" s="6"/>
      <c r="Q26" s="6"/>
      <c r="R26" s="6"/>
      <c r="S26" s="108"/>
      <c r="T26" s="111"/>
      <c r="U26" s="12"/>
      <c r="V26"/>
      <c r="W26"/>
      <c r="X26"/>
      <c r="Y26"/>
    </row>
    <row r="27" spans="1:25" x14ac:dyDescent="0.3">
      <c r="A27" s="2"/>
      <c r="B27" s="2"/>
      <c r="C27" s="2"/>
      <c r="D27" s="2"/>
      <c r="E27" s="11"/>
      <c r="F27" s="11"/>
      <c r="G27" s="2"/>
      <c r="H27" s="13"/>
      <c r="I27" s="13"/>
      <c r="J27" s="13"/>
      <c r="K27" s="6"/>
      <c r="L27" s="6"/>
      <c r="M27" s="6"/>
      <c r="N27" s="6"/>
      <c r="O27" s="6"/>
      <c r="P27" s="6"/>
      <c r="Q27" s="6"/>
      <c r="R27" s="6"/>
      <c r="S27" s="108"/>
      <c r="T27" s="111"/>
      <c r="U27" s="12"/>
    </row>
    <row r="28" spans="1:25" x14ac:dyDescent="0.3">
      <c r="A28" s="2"/>
      <c r="B28" s="2"/>
      <c r="C28" s="2"/>
      <c r="D28" s="2"/>
      <c r="E28" s="11"/>
      <c r="F28" s="11"/>
      <c r="G28" s="2"/>
      <c r="H28" s="13"/>
      <c r="I28" s="13"/>
      <c r="J28" s="13"/>
      <c r="K28" s="6"/>
      <c r="L28" s="6"/>
      <c r="M28" s="6"/>
      <c r="N28" s="6"/>
      <c r="O28" s="6"/>
      <c r="P28" s="6"/>
      <c r="Q28" s="6"/>
      <c r="R28" s="6"/>
      <c r="S28" s="108"/>
      <c r="T28" s="111"/>
      <c r="U28" s="12"/>
    </row>
    <row r="29" spans="1:25" x14ac:dyDescent="0.3">
      <c r="A29" s="2"/>
      <c r="B29" s="2"/>
      <c r="C29" s="2"/>
      <c r="D29" s="2"/>
      <c r="E29" s="11"/>
      <c r="F29" s="11"/>
      <c r="G29" s="2"/>
      <c r="H29" s="13"/>
      <c r="I29" s="13"/>
      <c r="J29" s="13"/>
      <c r="K29" s="6"/>
      <c r="L29" s="6"/>
      <c r="M29" s="6"/>
      <c r="N29" s="6"/>
      <c r="O29" s="6"/>
      <c r="P29" s="6"/>
      <c r="Q29" s="6"/>
      <c r="R29" s="6"/>
      <c r="S29" s="108"/>
      <c r="T29" s="111"/>
      <c r="U29" s="12"/>
    </row>
    <row r="30" spans="1:25" x14ac:dyDescent="0.3">
      <c r="A30" s="2"/>
      <c r="B30" s="2"/>
      <c r="C30" s="2"/>
      <c r="D30" s="2"/>
      <c r="E30" s="11"/>
      <c r="F30" s="11"/>
      <c r="G30" s="2"/>
      <c r="H30" s="13"/>
      <c r="I30" s="13"/>
      <c r="J30" s="13"/>
      <c r="K30" s="6"/>
      <c r="L30" s="6"/>
      <c r="M30" s="6"/>
      <c r="N30" s="6"/>
      <c r="O30" s="6"/>
      <c r="P30" s="6"/>
      <c r="Q30" s="6"/>
      <c r="R30" s="6"/>
      <c r="S30" s="108"/>
      <c r="T30" s="111"/>
      <c r="U30" s="12"/>
    </row>
    <row r="31" spans="1:25" x14ac:dyDescent="0.3">
      <c r="A31" s="2"/>
      <c r="B31" s="2"/>
      <c r="C31" s="2"/>
      <c r="D31" s="2"/>
      <c r="E31" s="11"/>
      <c r="F31" s="11"/>
      <c r="G31" s="2"/>
      <c r="H31" s="13"/>
      <c r="I31" s="13"/>
      <c r="J31" s="13"/>
      <c r="K31" s="6"/>
      <c r="L31" s="6"/>
      <c r="M31" s="6"/>
      <c r="N31" s="6"/>
      <c r="O31" s="6"/>
      <c r="P31" s="6"/>
      <c r="Q31" s="6"/>
      <c r="R31" s="6"/>
      <c r="S31" s="108"/>
      <c r="T31" s="111"/>
      <c r="U31" s="12"/>
    </row>
    <row r="32" spans="1:25" x14ac:dyDescent="0.3">
      <c r="A32" s="2"/>
      <c r="B32" s="2"/>
      <c r="C32" s="2"/>
      <c r="D32" s="2"/>
      <c r="E32" s="11"/>
      <c r="F32" s="11"/>
      <c r="G32" s="2"/>
      <c r="H32" s="13"/>
      <c r="I32" s="13"/>
      <c r="J32" s="13"/>
      <c r="K32" s="6"/>
      <c r="L32" s="6"/>
      <c r="M32" s="6"/>
      <c r="N32" s="6"/>
      <c r="O32" s="6"/>
      <c r="P32" s="6"/>
      <c r="Q32" s="6"/>
      <c r="R32" s="6"/>
      <c r="S32" s="108"/>
      <c r="T32" s="111"/>
      <c r="U32" s="12"/>
    </row>
    <row r="33" spans="1:21" x14ac:dyDescent="0.3">
      <c r="A33" s="2"/>
      <c r="B33" s="2"/>
      <c r="C33" s="2"/>
      <c r="D33" s="2"/>
      <c r="E33" s="11"/>
      <c r="F33" s="11"/>
      <c r="G33" s="2"/>
      <c r="H33" s="13"/>
      <c r="I33" s="13"/>
      <c r="J33" s="13"/>
      <c r="K33" s="6"/>
      <c r="L33" s="6"/>
      <c r="M33" s="6"/>
      <c r="N33" s="6"/>
      <c r="O33" s="6"/>
      <c r="P33" s="6"/>
      <c r="Q33" s="6"/>
      <c r="R33" s="6"/>
      <c r="S33" s="108"/>
      <c r="T33" s="111"/>
      <c r="U33" s="12"/>
    </row>
    <row r="34" spans="1:21" x14ac:dyDescent="0.3">
      <c r="A34" s="2"/>
      <c r="B34" s="2"/>
      <c r="C34" s="2"/>
      <c r="D34" s="2"/>
      <c r="E34" s="11"/>
      <c r="F34" s="11"/>
      <c r="G34" s="2"/>
      <c r="H34" s="13"/>
      <c r="I34" s="13"/>
      <c r="J34" s="13"/>
      <c r="K34" s="6"/>
      <c r="L34" s="6"/>
      <c r="M34" s="6"/>
      <c r="N34" s="6"/>
      <c r="O34" s="6"/>
      <c r="P34" s="6"/>
      <c r="Q34" s="6"/>
      <c r="R34" s="6"/>
      <c r="S34" s="108"/>
      <c r="T34" s="111"/>
      <c r="U34" s="12"/>
    </row>
    <row r="35" spans="1:21" x14ac:dyDescent="0.3">
      <c r="A35" s="2"/>
      <c r="B35" s="2"/>
      <c r="C35" s="2"/>
      <c r="D35" s="2"/>
      <c r="E35" s="11"/>
      <c r="F35" s="11"/>
      <c r="G35" s="2"/>
      <c r="H35" s="13"/>
      <c r="I35" s="13"/>
      <c r="J35" s="13"/>
      <c r="K35" s="6"/>
      <c r="L35" s="6"/>
      <c r="M35" s="6"/>
      <c r="N35" s="6"/>
      <c r="O35" s="6"/>
      <c r="P35" s="6"/>
      <c r="Q35" s="6"/>
      <c r="R35" s="6"/>
      <c r="S35" s="108"/>
      <c r="T35" s="111"/>
      <c r="U35" s="12"/>
    </row>
    <row r="36" spans="1:21" x14ac:dyDescent="0.3">
      <c r="A36" s="2"/>
      <c r="B36" s="2"/>
      <c r="C36" s="2"/>
      <c r="D36" s="2"/>
      <c r="E36" s="11"/>
      <c r="F36" s="11"/>
      <c r="G36" s="2"/>
      <c r="H36" s="13"/>
      <c r="I36" s="13"/>
      <c r="J36" s="13"/>
      <c r="K36" s="6"/>
      <c r="L36" s="6"/>
      <c r="M36" s="6"/>
      <c r="N36" s="6"/>
      <c r="O36" s="6"/>
      <c r="P36" s="6"/>
      <c r="Q36" s="6"/>
      <c r="R36" s="6"/>
      <c r="S36" s="108"/>
      <c r="T36" s="111"/>
      <c r="U36" s="12"/>
    </row>
    <row r="37" spans="1:21" x14ac:dyDescent="0.3">
      <c r="A37" s="11"/>
      <c r="B37" s="2"/>
      <c r="C37" s="2"/>
      <c r="D37" s="2"/>
      <c r="E37" s="11"/>
      <c r="F37" s="11"/>
      <c r="G37" s="2"/>
      <c r="H37" s="13"/>
      <c r="I37" s="13"/>
      <c r="J37" s="13"/>
      <c r="K37" s="6"/>
      <c r="L37" s="6"/>
      <c r="M37" s="6"/>
      <c r="N37" s="6"/>
      <c r="O37" s="6"/>
      <c r="P37" s="6"/>
      <c r="Q37" s="6"/>
      <c r="R37" s="6"/>
      <c r="S37" s="108"/>
      <c r="T37" s="111"/>
      <c r="U37" s="12"/>
    </row>
    <row r="38" spans="1:21" x14ac:dyDescent="0.3">
      <c r="A38" s="2"/>
      <c r="B38" s="2"/>
      <c r="C38" s="2"/>
      <c r="D38" s="2"/>
      <c r="E38" s="11"/>
      <c r="F38" s="11"/>
      <c r="G38" s="2"/>
      <c r="H38" s="13"/>
      <c r="I38" s="13"/>
      <c r="J38" s="13"/>
      <c r="K38" s="6"/>
      <c r="L38" s="6"/>
      <c r="M38" s="6"/>
      <c r="N38" s="6"/>
      <c r="O38" s="6"/>
      <c r="P38" s="6"/>
      <c r="Q38" s="6"/>
      <c r="R38" s="6"/>
      <c r="S38" s="108"/>
      <c r="T38" s="111"/>
      <c r="U38" s="12"/>
    </row>
    <row r="39" spans="1:21" x14ac:dyDescent="0.3">
      <c r="A39" s="2"/>
      <c r="B39" s="2"/>
      <c r="C39" s="2"/>
      <c r="D39" s="2"/>
      <c r="E39" s="11"/>
      <c r="F39" s="11"/>
      <c r="G39" s="2"/>
      <c r="H39" s="13"/>
      <c r="I39" s="13"/>
      <c r="J39" s="13"/>
      <c r="K39" s="6"/>
      <c r="L39" s="6"/>
      <c r="M39" s="6"/>
      <c r="N39" s="6"/>
      <c r="O39" s="6"/>
      <c r="P39" s="6"/>
      <c r="Q39" s="6"/>
      <c r="R39" s="6"/>
      <c r="S39" s="108"/>
      <c r="T39" s="111"/>
      <c r="U39" s="12"/>
    </row>
    <row r="40" spans="1:21" x14ac:dyDescent="0.3">
      <c r="A40" s="2"/>
      <c r="B40" s="2"/>
      <c r="C40" s="2"/>
      <c r="D40" s="2"/>
      <c r="E40" s="11"/>
      <c r="F40" s="11"/>
      <c r="G40" s="2"/>
      <c r="H40" s="13"/>
      <c r="I40" s="13"/>
      <c r="J40" s="13"/>
      <c r="K40" s="6"/>
      <c r="L40" s="6"/>
      <c r="M40" s="6"/>
      <c r="N40" s="6"/>
      <c r="O40" s="6"/>
      <c r="P40" s="6"/>
      <c r="Q40" s="6"/>
      <c r="R40" s="6"/>
      <c r="S40" s="108"/>
      <c r="T40" s="111"/>
      <c r="U40" s="12"/>
    </row>
    <row r="41" spans="1:21" x14ac:dyDescent="0.3">
      <c r="A41" s="2"/>
      <c r="B41" s="2"/>
      <c r="C41" s="2"/>
      <c r="D41" s="2"/>
      <c r="E41" s="11"/>
      <c r="F41" s="11"/>
      <c r="G41" s="2"/>
      <c r="H41" s="13"/>
      <c r="I41" s="13"/>
      <c r="J41" s="13"/>
      <c r="K41" s="6"/>
      <c r="L41" s="6"/>
      <c r="M41" s="6"/>
      <c r="N41" s="6"/>
      <c r="O41" s="6"/>
      <c r="P41" s="6"/>
      <c r="Q41" s="6"/>
      <c r="R41" s="6"/>
      <c r="S41" s="108"/>
      <c r="T41" s="111"/>
      <c r="U41" s="12"/>
    </row>
    <row r="42" spans="1:21" x14ac:dyDescent="0.3">
      <c r="A42" s="2"/>
      <c r="B42" s="2"/>
      <c r="C42" s="2"/>
      <c r="D42" s="2"/>
      <c r="E42" s="11"/>
      <c r="F42" s="11"/>
      <c r="G42" s="2"/>
      <c r="H42" s="13"/>
      <c r="I42" s="13"/>
      <c r="J42" s="13"/>
      <c r="K42" s="6"/>
      <c r="L42" s="6"/>
      <c r="M42" s="6"/>
      <c r="N42" s="6"/>
      <c r="O42" s="6"/>
      <c r="P42" s="6"/>
      <c r="Q42" s="6"/>
      <c r="R42" s="6"/>
      <c r="S42" s="108"/>
      <c r="T42" s="111"/>
      <c r="U42" s="12"/>
    </row>
    <row r="43" spans="1:21" x14ac:dyDescent="0.3">
      <c r="A43" s="2"/>
      <c r="B43" s="2"/>
      <c r="C43" s="2"/>
      <c r="D43" s="2"/>
      <c r="E43" s="11"/>
      <c r="F43" s="11"/>
      <c r="G43" s="2"/>
      <c r="H43" s="13"/>
      <c r="I43" s="13"/>
      <c r="J43" s="13"/>
      <c r="K43" s="6"/>
      <c r="L43" s="6"/>
      <c r="M43" s="6"/>
      <c r="N43" s="6"/>
      <c r="O43" s="6"/>
      <c r="P43" s="6"/>
      <c r="Q43" s="6"/>
      <c r="R43" s="6"/>
      <c r="S43" s="108"/>
      <c r="T43" s="111"/>
      <c r="U43" s="12"/>
    </row>
    <row r="44" spans="1:21" x14ac:dyDescent="0.3">
      <c r="A44" s="2"/>
      <c r="B44" s="2"/>
      <c r="C44" s="2"/>
      <c r="D44" s="2"/>
      <c r="E44" s="11"/>
      <c r="F44" s="11"/>
      <c r="G44" s="2"/>
      <c r="H44" s="13"/>
      <c r="I44" s="13"/>
      <c r="J44" s="13"/>
      <c r="K44" s="6"/>
      <c r="L44" s="6"/>
      <c r="M44" s="6"/>
      <c r="N44" s="6"/>
      <c r="O44" s="6"/>
      <c r="P44" s="6"/>
      <c r="Q44" s="6"/>
      <c r="R44" s="6"/>
      <c r="S44" s="108"/>
      <c r="T44" s="111"/>
      <c r="U44" s="12"/>
    </row>
    <row r="45" spans="1:21" x14ac:dyDescent="0.3">
      <c r="A45" s="11"/>
      <c r="B45" s="2"/>
      <c r="C45" s="2"/>
      <c r="D45" s="2"/>
      <c r="E45" s="11"/>
      <c r="F45" s="11"/>
      <c r="G45" s="2"/>
      <c r="H45" s="13"/>
      <c r="I45" s="13"/>
      <c r="J45" s="13"/>
      <c r="K45" s="6"/>
      <c r="L45" s="6"/>
      <c r="M45" s="6"/>
      <c r="N45" s="6"/>
      <c r="O45" s="6"/>
      <c r="P45" s="6"/>
      <c r="Q45" s="6"/>
      <c r="R45" s="6"/>
      <c r="S45" s="108"/>
      <c r="T45" s="111"/>
      <c r="U45" s="12"/>
    </row>
    <row r="46" spans="1:21" x14ac:dyDescent="0.3">
      <c r="A46" s="11"/>
      <c r="B46" s="2"/>
      <c r="C46" s="2"/>
      <c r="D46" s="2"/>
      <c r="E46" s="11"/>
      <c r="F46" s="11"/>
      <c r="G46" s="2"/>
      <c r="H46" s="13"/>
      <c r="I46" s="13"/>
      <c r="J46" s="13"/>
      <c r="K46" s="6"/>
      <c r="L46" s="6"/>
      <c r="M46" s="6"/>
      <c r="N46" s="6"/>
      <c r="O46" s="6"/>
      <c r="P46" s="6"/>
      <c r="Q46" s="6"/>
      <c r="R46" s="6"/>
      <c r="S46" s="108"/>
      <c r="T46" s="111"/>
      <c r="U46" s="12"/>
    </row>
    <row r="47" spans="1:21" x14ac:dyDescent="0.3">
      <c r="A47" s="11"/>
      <c r="B47" s="2"/>
      <c r="C47" s="2"/>
      <c r="D47" s="2"/>
      <c r="E47" s="11"/>
      <c r="F47" s="11"/>
      <c r="G47" s="2"/>
      <c r="H47" s="13"/>
      <c r="I47" s="13"/>
      <c r="J47" s="13"/>
      <c r="K47" s="6"/>
      <c r="L47" s="6"/>
      <c r="M47" s="6"/>
      <c r="N47" s="6"/>
      <c r="O47" s="6"/>
      <c r="P47" s="6"/>
      <c r="Q47" s="6"/>
      <c r="R47" s="6"/>
      <c r="S47" s="108"/>
      <c r="T47" s="111"/>
      <c r="U47" s="12"/>
    </row>
    <row r="48" spans="1:21" x14ac:dyDescent="0.3">
      <c r="A48" s="2"/>
      <c r="B48" s="2"/>
      <c r="C48" s="2"/>
      <c r="D48" s="2"/>
      <c r="E48" s="11"/>
      <c r="F48" s="11"/>
      <c r="G48" s="2"/>
      <c r="H48" s="13"/>
      <c r="I48" s="13"/>
      <c r="J48" s="13"/>
      <c r="K48" s="6"/>
      <c r="L48" s="6"/>
      <c r="M48" s="6"/>
      <c r="N48" s="6"/>
      <c r="O48" s="6"/>
      <c r="P48" s="6"/>
      <c r="Q48" s="6"/>
      <c r="R48" s="6"/>
      <c r="S48" s="108"/>
      <c r="T48" s="111"/>
      <c r="U48" s="12"/>
    </row>
    <row r="49" spans="1:21" x14ac:dyDescent="0.3">
      <c r="A49" s="2"/>
      <c r="B49" s="2"/>
      <c r="C49" s="2"/>
      <c r="D49" s="2"/>
      <c r="E49" s="11"/>
      <c r="F49" s="11"/>
      <c r="G49" s="2"/>
      <c r="H49" s="13"/>
      <c r="I49" s="13"/>
      <c r="J49" s="13"/>
      <c r="K49" s="6"/>
      <c r="L49" s="6"/>
      <c r="M49" s="6"/>
      <c r="N49" s="6"/>
      <c r="O49" s="6"/>
      <c r="P49" s="6"/>
      <c r="Q49" s="6"/>
      <c r="R49" s="6"/>
      <c r="S49" s="108"/>
      <c r="T49" s="111"/>
      <c r="U49" s="12"/>
    </row>
    <row r="50" spans="1:21" x14ac:dyDescent="0.3">
      <c r="A50" s="11"/>
      <c r="B50" s="2"/>
      <c r="C50" s="2"/>
      <c r="D50" s="2"/>
      <c r="E50" s="11"/>
      <c r="F50" s="11"/>
      <c r="G50" s="2"/>
      <c r="H50" s="13"/>
      <c r="I50" s="13"/>
      <c r="J50" s="13"/>
      <c r="K50" s="6"/>
      <c r="L50" s="6"/>
      <c r="M50" s="6"/>
      <c r="N50" s="6"/>
      <c r="O50" s="6"/>
      <c r="P50" s="6"/>
      <c r="Q50" s="6"/>
      <c r="R50" s="6"/>
      <c r="S50" s="108"/>
      <c r="T50" s="111"/>
      <c r="U50" s="12"/>
    </row>
    <row r="51" spans="1:21" x14ac:dyDescent="0.3">
      <c r="A51" s="2"/>
      <c r="B51" s="2"/>
      <c r="C51" s="2"/>
      <c r="D51" s="2"/>
      <c r="E51" s="11"/>
      <c r="F51" s="11"/>
      <c r="G51" s="2"/>
      <c r="H51" s="13"/>
      <c r="I51" s="13"/>
      <c r="J51" s="13"/>
      <c r="K51" s="6"/>
      <c r="L51" s="6"/>
      <c r="M51" s="6"/>
      <c r="N51" s="6"/>
      <c r="O51" s="6"/>
      <c r="P51" s="6"/>
      <c r="Q51" s="6"/>
      <c r="R51" s="6"/>
      <c r="S51" s="108"/>
      <c r="T51" s="111"/>
      <c r="U51" s="12"/>
    </row>
    <row r="52" spans="1:21" x14ac:dyDescent="0.3">
      <c r="A52" s="2"/>
      <c r="B52" s="2"/>
      <c r="C52" s="2"/>
      <c r="D52" s="2"/>
      <c r="E52" s="11"/>
      <c r="F52" s="11"/>
      <c r="G52" s="2"/>
      <c r="H52" s="13"/>
      <c r="I52" s="13"/>
      <c r="J52" s="13"/>
      <c r="K52" s="6"/>
      <c r="L52" s="6"/>
      <c r="M52" s="6"/>
      <c r="N52" s="6"/>
      <c r="O52" s="6"/>
      <c r="P52" s="6"/>
      <c r="Q52" s="6"/>
      <c r="R52" s="6"/>
      <c r="S52" s="108"/>
      <c r="T52" s="111"/>
      <c r="U52" s="12"/>
    </row>
    <row r="53" spans="1:21" x14ac:dyDescent="0.3">
      <c r="A53" s="2"/>
      <c r="B53" s="2"/>
      <c r="C53" s="2"/>
      <c r="D53" s="2"/>
      <c r="E53" s="11"/>
      <c r="F53" s="11"/>
      <c r="G53" s="2"/>
      <c r="H53" s="13"/>
      <c r="I53" s="13"/>
      <c r="J53" s="13"/>
      <c r="K53" s="6"/>
      <c r="L53" s="6"/>
      <c r="M53" s="6"/>
      <c r="N53" s="6"/>
      <c r="O53" s="6"/>
      <c r="P53" s="6"/>
      <c r="Q53" s="6"/>
      <c r="R53" s="6"/>
      <c r="S53" s="108"/>
      <c r="T53" s="111"/>
      <c r="U53" s="12"/>
    </row>
    <row r="54" spans="1:21" x14ac:dyDescent="0.3">
      <c r="A54" s="2"/>
      <c r="B54" s="2"/>
      <c r="C54" s="2"/>
      <c r="D54" s="2"/>
      <c r="E54" s="11"/>
      <c r="F54" s="11"/>
      <c r="G54" s="2"/>
      <c r="H54" s="13"/>
      <c r="I54" s="13"/>
      <c r="J54" s="13"/>
      <c r="K54" s="6"/>
      <c r="L54" s="6"/>
      <c r="M54" s="6"/>
      <c r="N54" s="6"/>
      <c r="O54" s="6"/>
      <c r="P54" s="6"/>
      <c r="Q54" s="6"/>
      <c r="R54" s="6"/>
      <c r="S54" s="108"/>
      <c r="T54" s="111"/>
      <c r="U54" s="12"/>
    </row>
    <row r="55" spans="1:21" x14ac:dyDescent="0.3">
      <c r="A55" s="2"/>
      <c r="B55" s="2"/>
      <c r="C55" s="2"/>
      <c r="D55" s="2"/>
      <c r="E55" s="11"/>
      <c r="F55" s="11"/>
      <c r="G55" s="2"/>
      <c r="H55" s="13"/>
      <c r="I55" s="13"/>
      <c r="J55" s="13"/>
      <c r="K55" s="6"/>
      <c r="L55" s="6"/>
      <c r="M55" s="6"/>
      <c r="N55" s="6"/>
      <c r="O55" s="6"/>
      <c r="P55" s="6"/>
      <c r="Q55" s="6"/>
      <c r="R55" s="6"/>
      <c r="S55" s="108"/>
      <c r="T55" s="111"/>
      <c r="U55" s="12"/>
    </row>
    <row r="56" spans="1:21" x14ac:dyDescent="0.3">
      <c r="A56" s="2"/>
      <c r="B56" s="2"/>
      <c r="C56" s="2"/>
      <c r="D56" s="2"/>
      <c r="E56" s="11"/>
      <c r="F56" s="11"/>
      <c r="G56" s="2"/>
      <c r="H56" s="13"/>
      <c r="I56" s="13"/>
      <c r="J56" s="13"/>
      <c r="K56" s="6"/>
      <c r="L56" s="6"/>
      <c r="M56" s="6"/>
      <c r="N56" s="6"/>
      <c r="O56" s="6"/>
      <c r="P56" s="6"/>
      <c r="Q56" s="6"/>
      <c r="R56" s="6"/>
      <c r="S56" s="108"/>
      <c r="T56" s="111"/>
      <c r="U56" s="12"/>
    </row>
    <row r="57" spans="1:21" x14ac:dyDescent="0.3">
      <c r="A57" s="11"/>
      <c r="B57" s="2"/>
      <c r="C57" s="2"/>
      <c r="D57" s="2"/>
      <c r="E57" s="11"/>
      <c r="F57" s="11"/>
      <c r="G57" s="2"/>
      <c r="H57" s="13"/>
      <c r="I57" s="13"/>
      <c r="J57" s="13"/>
      <c r="K57" s="6"/>
      <c r="L57" s="6"/>
      <c r="M57" s="6"/>
      <c r="N57" s="6"/>
      <c r="O57" s="6"/>
      <c r="P57" s="6"/>
      <c r="Q57" s="6"/>
      <c r="R57" s="6"/>
      <c r="S57" s="108"/>
      <c r="T57" s="111"/>
      <c r="U57" s="12"/>
    </row>
    <row r="58" spans="1:21" x14ac:dyDescent="0.3">
      <c r="A58" s="2"/>
      <c r="B58" s="2"/>
      <c r="C58" s="2"/>
      <c r="D58" s="2"/>
      <c r="E58" s="11"/>
      <c r="F58" s="11"/>
      <c r="G58" s="2"/>
      <c r="H58" s="13"/>
      <c r="I58" s="13"/>
      <c r="J58" s="13"/>
      <c r="K58" s="6"/>
      <c r="L58" s="6"/>
      <c r="M58" s="6"/>
      <c r="N58" s="6"/>
      <c r="O58" s="6"/>
      <c r="P58" s="6"/>
      <c r="Q58" s="6"/>
      <c r="R58" s="6"/>
      <c r="S58" s="108"/>
      <c r="T58" s="111"/>
      <c r="U58" s="12"/>
    </row>
    <row r="59" spans="1:21" x14ac:dyDescent="0.3">
      <c r="A59" s="2"/>
      <c r="B59" s="2"/>
      <c r="C59" s="2"/>
      <c r="D59" s="2"/>
      <c r="E59" s="11"/>
      <c r="F59" s="11"/>
      <c r="G59" s="2"/>
      <c r="H59" s="13"/>
      <c r="I59" s="13"/>
      <c r="J59" s="13"/>
      <c r="K59" s="6"/>
      <c r="L59" s="6"/>
      <c r="M59" s="6"/>
      <c r="N59" s="6"/>
      <c r="O59" s="6"/>
      <c r="P59" s="6"/>
      <c r="Q59" s="6"/>
      <c r="R59" s="6"/>
      <c r="S59" s="108"/>
      <c r="T59" s="111"/>
      <c r="U59" s="12"/>
    </row>
    <row r="60" spans="1:21" x14ac:dyDescent="0.3">
      <c r="A60" s="11"/>
      <c r="B60" s="2"/>
      <c r="C60" s="2"/>
      <c r="D60" s="2"/>
      <c r="E60" s="11"/>
      <c r="F60" s="11"/>
      <c r="G60" s="2"/>
      <c r="H60" s="13"/>
      <c r="I60" s="13"/>
      <c r="J60" s="13"/>
      <c r="K60" s="6"/>
      <c r="L60" s="6"/>
      <c r="M60" s="6"/>
      <c r="N60" s="6"/>
      <c r="O60" s="6"/>
      <c r="P60" s="6"/>
      <c r="Q60" s="6"/>
      <c r="R60" s="6"/>
      <c r="S60" s="108"/>
      <c r="T60" s="111"/>
      <c r="U60" s="12"/>
    </row>
    <row r="61" spans="1:21" x14ac:dyDescent="0.3">
      <c r="A61" s="2"/>
      <c r="B61" s="2"/>
      <c r="C61" s="2"/>
      <c r="D61" s="2"/>
      <c r="E61" s="11"/>
      <c r="F61" s="11"/>
      <c r="G61" s="2"/>
      <c r="H61" s="13"/>
      <c r="I61" s="13"/>
      <c r="J61" s="13"/>
      <c r="K61" s="6"/>
      <c r="L61" s="6"/>
      <c r="M61" s="6"/>
      <c r="N61" s="6"/>
      <c r="O61" s="6"/>
      <c r="P61" s="6"/>
      <c r="Q61" s="6"/>
      <c r="R61" s="6"/>
      <c r="S61" s="108"/>
      <c r="T61" s="111"/>
      <c r="U61" s="12"/>
    </row>
    <row r="62" spans="1:21" x14ac:dyDescent="0.3">
      <c r="A62" s="2"/>
      <c r="B62" s="2"/>
      <c r="C62" s="2"/>
      <c r="D62" s="2"/>
      <c r="E62" s="11"/>
      <c r="F62" s="11"/>
      <c r="G62" s="2"/>
      <c r="H62" s="13"/>
      <c r="I62" s="13"/>
      <c r="J62" s="13"/>
      <c r="K62" s="6"/>
      <c r="L62" s="6"/>
      <c r="M62" s="6"/>
      <c r="N62" s="6"/>
      <c r="O62" s="6"/>
      <c r="P62" s="6"/>
      <c r="Q62" s="6"/>
      <c r="R62" s="6"/>
      <c r="S62" s="108"/>
      <c r="T62" s="111"/>
      <c r="U62" s="12"/>
    </row>
    <row r="63" spans="1:21" x14ac:dyDescent="0.3">
      <c r="A63" s="2"/>
      <c r="B63" s="2"/>
      <c r="C63" s="2"/>
      <c r="D63" s="2"/>
      <c r="E63" s="11"/>
      <c r="F63" s="11"/>
      <c r="G63" s="2"/>
      <c r="H63" s="13"/>
      <c r="I63" s="13"/>
      <c r="J63" s="13"/>
      <c r="K63" s="6"/>
      <c r="L63" s="6"/>
      <c r="M63" s="6"/>
      <c r="N63" s="6"/>
      <c r="O63" s="6"/>
      <c r="P63" s="6"/>
      <c r="Q63" s="6"/>
      <c r="R63" s="6"/>
      <c r="S63" s="108"/>
      <c r="T63" s="111"/>
      <c r="U63" s="12"/>
    </row>
    <row r="64" spans="1:21" x14ac:dyDescent="0.3">
      <c r="A64" s="2"/>
      <c r="B64" s="2"/>
      <c r="C64" s="2"/>
      <c r="D64" s="2"/>
      <c r="E64" s="11"/>
      <c r="F64" s="11"/>
      <c r="G64" s="2"/>
      <c r="H64" s="13"/>
      <c r="I64" s="13"/>
      <c r="J64" s="13"/>
      <c r="K64" s="6"/>
      <c r="L64" s="6"/>
      <c r="M64" s="6"/>
      <c r="N64" s="6"/>
      <c r="O64" s="6"/>
      <c r="P64" s="6"/>
      <c r="Q64" s="6"/>
      <c r="R64" s="6"/>
      <c r="S64" s="108"/>
      <c r="T64" s="111"/>
      <c r="U64" s="12"/>
    </row>
    <row r="65" spans="1:21" x14ac:dyDescent="0.3">
      <c r="A65" s="2"/>
      <c r="B65" s="2"/>
      <c r="C65" s="2"/>
      <c r="D65" s="2"/>
      <c r="E65" s="11"/>
      <c r="F65" s="11"/>
      <c r="G65" s="2"/>
      <c r="H65" s="13"/>
      <c r="I65" s="13"/>
      <c r="J65" s="13"/>
      <c r="K65" s="6"/>
      <c r="L65" s="6"/>
      <c r="M65" s="6"/>
      <c r="N65" s="6"/>
      <c r="O65" s="6"/>
      <c r="P65" s="6"/>
      <c r="Q65" s="6"/>
      <c r="R65" s="6"/>
      <c r="S65" s="108"/>
      <c r="T65" s="111"/>
      <c r="U65" s="12"/>
    </row>
    <row r="66" spans="1:21" x14ac:dyDescent="0.3">
      <c r="A66" s="11"/>
      <c r="B66" s="2"/>
      <c r="C66" s="2"/>
      <c r="D66" s="2"/>
      <c r="E66" s="11"/>
      <c r="F66" s="11"/>
      <c r="G66" s="2"/>
      <c r="H66" s="13"/>
      <c r="I66" s="13"/>
      <c r="J66" s="13"/>
      <c r="K66" s="6"/>
      <c r="L66" s="6"/>
      <c r="M66" s="6"/>
      <c r="N66" s="6"/>
      <c r="O66" s="6"/>
      <c r="P66" s="6"/>
      <c r="Q66" s="6"/>
      <c r="R66" s="6"/>
      <c r="S66" s="108"/>
      <c r="T66" s="111"/>
      <c r="U66" s="12"/>
    </row>
    <row r="67" spans="1:21" x14ac:dyDescent="0.3">
      <c r="A67" s="2"/>
      <c r="B67" s="2"/>
      <c r="C67" s="2"/>
      <c r="D67" s="2"/>
      <c r="E67" s="11"/>
      <c r="F67" s="11"/>
      <c r="G67" s="2"/>
      <c r="H67" s="13"/>
      <c r="I67" s="13"/>
      <c r="J67" s="13"/>
      <c r="K67" s="6"/>
      <c r="L67" s="6"/>
      <c r="M67" s="6"/>
      <c r="N67" s="6"/>
      <c r="O67" s="6"/>
      <c r="P67" s="6"/>
      <c r="Q67" s="6"/>
      <c r="R67" s="6"/>
      <c r="S67" s="108"/>
      <c r="T67" s="111"/>
      <c r="U67" s="12"/>
    </row>
    <row r="68" spans="1:21" x14ac:dyDescent="0.3">
      <c r="A68" s="2"/>
      <c r="B68" s="2"/>
      <c r="C68" s="2"/>
      <c r="D68" s="2"/>
      <c r="E68" s="11"/>
      <c r="F68" s="11"/>
      <c r="G68" s="2"/>
      <c r="H68" s="13"/>
      <c r="I68" s="13"/>
      <c r="J68" s="13"/>
      <c r="K68" s="6"/>
      <c r="L68" s="6"/>
      <c r="M68" s="6"/>
      <c r="N68" s="6"/>
      <c r="O68" s="6"/>
      <c r="P68" s="6"/>
      <c r="Q68" s="6"/>
      <c r="R68" s="6"/>
      <c r="S68" s="108"/>
      <c r="T68" s="111"/>
      <c r="U68" s="12"/>
    </row>
    <row r="69" spans="1:21" x14ac:dyDescent="0.3">
      <c r="A69" s="2"/>
      <c r="B69" s="2"/>
      <c r="C69" s="2"/>
      <c r="D69" s="2"/>
      <c r="E69" s="11"/>
      <c r="F69" s="11"/>
      <c r="G69" s="2"/>
      <c r="H69" s="13"/>
      <c r="I69" s="13"/>
      <c r="J69" s="13"/>
      <c r="K69" s="6"/>
      <c r="L69" s="6"/>
      <c r="M69" s="6"/>
      <c r="N69" s="6"/>
      <c r="O69" s="6"/>
      <c r="P69" s="6"/>
      <c r="Q69" s="6"/>
      <c r="R69" s="6"/>
      <c r="S69" s="108"/>
      <c r="T69" s="111"/>
      <c r="U69" s="12"/>
    </row>
    <row r="70" spans="1:21" x14ac:dyDescent="0.3">
      <c r="A70" s="2"/>
      <c r="B70" s="2"/>
      <c r="C70" s="2"/>
      <c r="D70" s="2"/>
      <c r="E70" s="11"/>
      <c r="F70" s="11"/>
      <c r="G70" s="2"/>
      <c r="H70" s="13"/>
      <c r="I70" s="13"/>
      <c r="J70" s="13"/>
      <c r="K70" s="6"/>
      <c r="L70" s="6"/>
      <c r="M70" s="6"/>
      <c r="N70" s="6"/>
      <c r="O70" s="6"/>
      <c r="P70" s="6"/>
      <c r="Q70" s="6"/>
      <c r="R70" s="6"/>
      <c r="S70" s="108"/>
      <c r="T70" s="111"/>
      <c r="U70" s="12"/>
    </row>
    <row r="71" spans="1:21" x14ac:dyDescent="0.3">
      <c r="A71" s="2"/>
      <c r="B71" s="2"/>
      <c r="C71" s="2"/>
      <c r="D71" s="2"/>
      <c r="E71" s="11"/>
      <c r="F71" s="11"/>
      <c r="G71" s="2"/>
      <c r="H71" s="13"/>
      <c r="I71" s="13"/>
      <c r="J71" s="13"/>
      <c r="K71" s="6"/>
      <c r="L71" s="6"/>
      <c r="M71" s="6"/>
      <c r="N71" s="6"/>
      <c r="O71" s="6"/>
      <c r="P71" s="6"/>
      <c r="Q71" s="6"/>
      <c r="R71" s="6"/>
      <c r="S71" s="108"/>
      <c r="T71" s="111"/>
      <c r="U71" s="12"/>
    </row>
    <row r="72" spans="1:21" x14ac:dyDescent="0.3">
      <c r="A72" s="2"/>
      <c r="B72" s="2"/>
      <c r="C72" s="2"/>
      <c r="D72" s="2"/>
      <c r="E72" s="11"/>
      <c r="F72" s="11"/>
      <c r="G72" s="2"/>
      <c r="H72" s="13"/>
      <c r="I72" s="13"/>
      <c r="J72" s="13"/>
      <c r="K72" s="6"/>
      <c r="L72" s="6"/>
      <c r="M72" s="6"/>
      <c r="N72" s="6"/>
      <c r="O72" s="6"/>
      <c r="P72" s="6"/>
      <c r="Q72" s="6"/>
      <c r="R72" s="6"/>
      <c r="S72" s="108"/>
      <c r="T72" s="111"/>
      <c r="U72" s="12"/>
    </row>
    <row r="73" spans="1:21" x14ac:dyDescent="0.3">
      <c r="A73" s="11"/>
      <c r="B73" s="2"/>
      <c r="C73" s="2"/>
      <c r="D73" s="2"/>
      <c r="E73" s="11"/>
      <c r="F73" s="11"/>
      <c r="G73" s="2"/>
      <c r="H73" s="13"/>
      <c r="I73" s="13"/>
      <c r="J73" s="13"/>
      <c r="K73" s="6"/>
      <c r="L73" s="6"/>
      <c r="M73" s="6"/>
      <c r="N73" s="6"/>
      <c r="O73" s="6"/>
      <c r="P73" s="6"/>
      <c r="Q73" s="6"/>
      <c r="R73" s="6"/>
      <c r="S73" s="108"/>
      <c r="T73" s="111"/>
      <c r="U73" s="12"/>
    </row>
    <row r="74" spans="1:21" x14ac:dyDescent="0.3">
      <c r="A74" s="2"/>
      <c r="B74" s="2"/>
      <c r="C74" s="2"/>
      <c r="D74" s="2"/>
      <c r="E74" s="11"/>
      <c r="F74" s="11"/>
      <c r="G74" s="2"/>
      <c r="H74" s="13"/>
      <c r="I74" s="13"/>
      <c r="J74" s="13"/>
      <c r="K74" s="6"/>
      <c r="L74" s="6"/>
      <c r="M74" s="6"/>
      <c r="N74" s="6"/>
      <c r="O74" s="6"/>
      <c r="P74" s="6"/>
      <c r="Q74" s="6"/>
      <c r="R74" s="6"/>
      <c r="S74" s="108"/>
      <c r="T74" s="111"/>
      <c r="U74" s="12"/>
    </row>
    <row r="75" spans="1:21" x14ac:dyDescent="0.3">
      <c r="A75" s="2"/>
      <c r="B75" s="2"/>
      <c r="C75" s="2"/>
      <c r="D75" s="2"/>
      <c r="E75" s="11"/>
      <c r="F75" s="11"/>
      <c r="G75" s="2"/>
      <c r="H75" s="13"/>
      <c r="I75" s="13"/>
      <c r="J75" s="13"/>
      <c r="K75" s="6"/>
      <c r="L75" s="6"/>
      <c r="M75" s="6"/>
      <c r="N75" s="6"/>
      <c r="O75" s="6"/>
      <c r="P75" s="6"/>
      <c r="Q75" s="6"/>
      <c r="R75" s="6"/>
      <c r="S75" s="108"/>
      <c r="T75" s="111"/>
      <c r="U75" s="12"/>
    </row>
    <row r="76" spans="1:21" x14ac:dyDescent="0.3">
      <c r="A76" s="2"/>
      <c r="B76" s="2"/>
      <c r="C76" s="2"/>
      <c r="D76" s="2"/>
      <c r="E76" s="11"/>
      <c r="F76" s="11"/>
      <c r="G76" s="2"/>
      <c r="H76" s="13"/>
      <c r="I76" s="13"/>
      <c r="J76" s="13"/>
      <c r="K76" s="6"/>
      <c r="L76" s="6"/>
      <c r="M76" s="6"/>
      <c r="N76" s="6"/>
      <c r="O76" s="6"/>
      <c r="P76" s="6"/>
      <c r="Q76" s="6"/>
      <c r="R76" s="6"/>
      <c r="S76" s="108"/>
      <c r="T76" s="111"/>
      <c r="U76" s="12"/>
    </row>
    <row r="77" spans="1:21" x14ac:dyDescent="0.3">
      <c r="A77" s="2"/>
      <c r="B77" s="2"/>
      <c r="C77" s="2"/>
      <c r="D77" s="2"/>
      <c r="E77" s="11"/>
      <c r="F77" s="11"/>
      <c r="G77" s="2"/>
      <c r="H77" s="13"/>
      <c r="I77" s="13"/>
      <c r="J77" s="13"/>
      <c r="K77" s="6"/>
      <c r="L77" s="6"/>
      <c r="M77" s="6"/>
      <c r="N77" s="6"/>
      <c r="O77" s="6"/>
      <c r="P77" s="6"/>
      <c r="Q77" s="6"/>
      <c r="R77" s="6"/>
      <c r="S77" s="108"/>
      <c r="T77" s="111"/>
      <c r="U77" s="12"/>
    </row>
    <row r="78" spans="1:21" x14ac:dyDescent="0.3">
      <c r="A78" s="2"/>
      <c r="B78" s="2"/>
      <c r="C78" s="2"/>
      <c r="D78" s="2"/>
      <c r="E78" s="11"/>
      <c r="F78" s="11"/>
      <c r="G78" s="2"/>
      <c r="H78" s="13"/>
      <c r="I78" s="13"/>
      <c r="J78" s="13"/>
      <c r="K78" s="6"/>
      <c r="L78" s="6"/>
      <c r="M78" s="6"/>
      <c r="N78" s="6"/>
      <c r="O78" s="6"/>
      <c r="P78" s="6"/>
      <c r="Q78" s="6"/>
      <c r="R78" s="6"/>
      <c r="S78" s="108"/>
      <c r="T78" s="111"/>
      <c r="U78" s="12"/>
    </row>
    <row r="79" spans="1:21" x14ac:dyDescent="0.3">
      <c r="A79" s="2"/>
      <c r="B79" s="2"/>
      <c r="C79" s="2"/>
      <c r="D79" s="2"/>
      <c r="E79" s="11"/>
      <c r="F79" s="11"/>
      <c r="G79" s="2"/>
      <c r="H79" s="13"/>
      <c r="I79" s="13"/>
      <c r="J79" s="13"/>
      <c r="K79" s="6"/>
      <c r="L79" s="6"/>
      <c r="M79" s="6"/>
      <c r="N79" s="6"/>
      <c r="O79" s="6"/>
      <c r="P79" s="6"/>
      <c r="Q79" s="6"/>
      <c r="R79" s="6"/>
      <c r="S79" s="108"/>
      <c r="T79" s="111"/>
      <c r="U79" s="12"/>
    </row>
    <row r="80" spans="1:21" x14ac:dyDescent="0.3">
      <c r="A80" s="2"/>
      <c r="B80" s="2"/>
      <c r="C80" s="2"/>
      <c r="D80" s="2"/>
      <c r="E80" s="11"/>
      <c r="F80" s="11"/>
      <c r="G80" s="2"/>
      <c r="H80" s="13"/>
      <c r="I80" s="13"/>
      <c r="J80" s="13"/>
      <c r="K80" s="6"/>
      <c r="L80" s="6"/>
      <c r="M80" s="6"/>
      <c r="N80" s="6"/>
      <c r="O80" s="6"/>
      <c r="P80" s="6"/>
      <c r="Q80" s="6"/>
      <c r="R80" s="6"/>
      <c r="S80" s="108"/>
      <c r="T80" s="111"/>
      <c r="U80" s="12"/>
    </row>
    <row r="81" spans="1:21" x14ac:dyDescent="0.3">
      <c r="A81" s="11"/>
      <c r="B81" s="2"/>
      <c r="C81" s="2"/>
      <c r="D81" s="2"/>
      <c r="E81" s="11"/>
      <c r="F81" s="11"/>
      <c r="G81" s="2"/>
      <c r="H81" s="13"/>
      <c r="I81" s="13"/>
      <c r="J81" s="13"/>
      <c r="K81" s="6"/>
      <c r="L81" s="6"/>
      <c r="M81" s="6"/>
      <c r="N81" s="6"/>
      <c r="O81" s="6"/>
      <c r="P81" s="6"/>
      <c r="Q81" s="6"/>
      <c r="R81" s="6"/>
      <c r="S81" s="108"/>
      <c r="T81" s="111"/>
      <c r="U81" s="12"/>
    </row>
    <row r="82" spans="1:21" x14ac:dyDescent="0.3">
      <c r="A82" s="2"/>
      <c r="B82" s="2"/>
      <c r="C82" s="2"/>
      <c r="D82" s="2"/>
      <c r="E82" s="11"/>
      <c r="F82" s="11"/>
      <c r="G82" s="2"/>
      <c r="H82" s="13"/>
      <c r="I82" s="13"/>
      <c r="J82" s="13"/>
      <c r="K82" s="6"/>
      <c r="L82" s="6"/>
      <c r="M82" s="6"/>
      <c r="N82" s="6"/>
      <c r="O82" s="6"/>
      <c r="P82" s="6"/>
      <c r="Q82" s="6"/>
      <c r="R82" s="6"/>
      <c r="S82" s="108"/>
      <c r="T82" s="111"/>
      <c r="U82" s="12"/>
    </row>
    <row r="83" spans="1:21" x14ac:dyDescent="0.3">
      <c r="A83" s="2"/>
      <c r="B83" s="2"/>
      <c r="C83" s="2"/>
      <c r="D83" s="2"/>
      <c r="E83" s="11"/>
      <c r="F83" s="11"/>
      <c r="G83" s="2"/>
      <c r="H83" s="13"/>
      <c r="I83" s="13"/>
      <c r="J83" s="13"/>
      <c r="K83" s="6"/>
      <c r="L83" s="6"/>
      <c r="M83" s="6"/>
      <c r="N83" s="6"/>
      <c r="O83" s="6"/>
      <c r="P83" s="6"/>
      <c r="Q83" s="6"/>
      <c r="R83" s="6"/>
      <c r="S83" s="108"/>
      <c r="T83" s="111"/>
      <c r="U83" s="12"/>
    </row>
    <row r="84" spans="1:21" x14ac:dyDescent="0.3">
      <c r="A84" s="2"/>
      <c r="B84" s="2"/>
      <c r="C84" s="2"/>
      <c r="D84" s="2"/>
      <c r="E84" s="11"/>
      <c r="F84" s="11"/>
      <c r="G84" s="2"/>
      <c r="H84" s="13"/>
      <c r="I84" s="13"/>
      <c r="J84" s="13"/>
      <c r="K84" s="6"/>
      <c r="L84" s="6"/>
      <c r="M84" s="6"/>
      <c r="N84" s="6"/>
      <c r="O84" s="6"/>
      <c r="P84" s="6"/>
      <c r="Q84" s="6"/>
      <c r="R84" s="6"/>
      <c r="S84" s="108"/>
      <c r="T84" s="111"/>
      <c r="U84" s="12"/>
    </row>
    <row r="85" spans="1:21" x14ac:dyDescent="0.3">
      <c r="A85" s="2"/>
      <c r="B85" s="2"/>
      <c r="C85" s="2"/>
      <c r="D85" s="2"/>
      <c r="E85" s="11"/>
      <c r="F85" s="11"/>
      <c r="G85" s="2"/>
      <c r="H85" s="13"/>
      <c r="I85" s="13"/>
      <c r="J85" s="13"/>
      <c r="K85" s="6"/>
      <c r="L85" s="6"/>
      <c r="M85" s="6"/>
      <c r="N85" s="6"/>
      <c r="O85" s="6"/>
      <c r="P85" s="6"/>
      <c r="Q85" s="6"/>
      <c r="R85" s="6"/>
      <c r="S85" s="108"/>
      <c r="T85" s="111"/>
      <c r="U85" s="12"/>
    </row>
    <row r="86" spans="1:21" x14ac:dyDescent="0.3">
      <c r="A86" s="2"/>
      <c r="B86" s="2"/>
      <c r="C86" s="2"/>
      <c r="D86" s="2"/>
      <c r="E86" s="11"/>
      <c r="F86" s="11"/>
      <c r="G86" s="2"/>
      <c r="H86" s="13"/>
      <c r="I86" s="13"/>
      <c r="J86" s="13"/>
      <c r="K86" s="6"/>
      <c r="L86" s="6"/>
      <c r="M86" s="6"/>
      <c r="N86" s="6"/>
      <c r="O86" s="6"/>
      <c r="P86" s="6"/>
      <c r="Q86" s="6"/>
      <c r="R86" s="6"/>
      <c r="S86" s="108"/>
      <c r="T86" s="111"/>
      <c r="U86" s="12"/>
    </row>
    <row r="87" spans="1:21" x14ac:dyDescent="0.3">
      <c r="A87" s="2"/>
      <c r="B87" s="2"/>
      <c r="C87" s="2"/>
      <c r="D87" s="2"/>
      <c r="E87" s="11"/>
      <c r="F87" s="11"/>
      <c r="G87" s="2"/>
      <c r="H87" s="13"/>
      <c r="I87" s="13"/>
      <c r="J87" s="13"/>
      <c r="K87" s="6"/>
      <c r="L87" s="6"/>
      <c r="M87" s="6"/>
      <c r="N87" s="6"/>
      <c r="O87" s="6"/>
      <c r="P87" s="6"/>
      <c r="Q87" s="6"/>
      <c r="R87" s="6"/>
      <c r="S87" s="108"/>
      <c r="T87" s="111"/>
      <c r="U87" s="12"/>
    </row>
    <row r="88" spans="1:21" x14ac:dyDescent="0.3">
      <c r="A88" s="11"/>
      <c r="B88" s="2"/>
      <c r="C88" s="2"/>
      <c r="D88" s="2"/>
      <c r="E88" s="11"/>
      <c r="F88" s="11"/>
      <c r="G88" s="2"/>
      <c r="H88" s="13"/>
      <c r="I88" s="13"/>
      <c r="J88" s="13"/>
      <c r="K88" s="6"/>
      <c r="L88" s="6"/>
      <c r="M88" s="6"/>
      <c r="N88" s="6"/>
      <c r="O88" s="6"/>
      <c r="P88" s="6"/>
      <c r="Q88" s="6"/>
      <c r="R88" s="6"/>
      <c r="S88" s="108"/>
      <c r="T88" s="111"/>
      <c r="U88" s="12"/>
    </row>
    <row r="89" spans="1:21" x14ac:dyDescent="0.3">
      <c r="A89" s="11"/>
      <c r="B89" s="2"/>
      <c r="C89" s="2"/>
      <c r="D89" s="2"/>
      <c r="E89" s="11"/>
      <c r="F89" s="11"/>
      <c r="G89" s="2"/>
      <c r="H89" s="13"/>
      <c r="I89" s="13"/>
      <c r="J89" s="13"/>
      <c r="K89" s="6"/>
      <c r="L89" s="6"/>
      <c r="M89" s="6"/>
      <c r="N89" s="6"/>
      <c r="O89" s="6"/>
      <c r="P89" s="6"/>
      <c r="Q89" s="6"/>
      <c r="R89" s="6"/>
      <c r="S89" s="108"/>
      <c r="T89" s="111"/>
      <c r="U89" s="12"/>
    </row>
    <row r="90" spans="1:21" x14ac:dyDescent="0.3">
      <c r="A90" s="2"/>
      <c r="B90" s="2"/>
      <c r="C90" s="2"/>
      <c r="D90" s="2"/>
      <c r="E90" s="11"/>
      <c r="F90" s="11"/>
      <c r="G90" s="2"/>
      <c r="H90" s="13"/>
      <c r="I90" s="13"/>
      <c r="J90" s="13"/>
      <c r="K90" s="6"/>
      <c r="L90" s="6"/>
      <c r="M90" s="6"/>
      <c r="N90" s="6"/>
      <c r="O90" s="6"/>
      <c r="P90" s="6"/>
      <c r="Q90" s="6"/>
      <c r="R90" s="6"/>
      <c r="S90" s="108"/>
      <c r="T90" s="111"/>
      <c r="U90" s="12"/>
    </row>
    <row r="91" spans="1:21" x14ac:dyDescent="0.3">
      <c r="A91" s="11"/>
      <c r="B91" s="2"/>
      <c r="C91" s="2"/>
      <c r="D91" s="2"/>
      <c r="E91" s="11"/>
      <c r="F91" s="11"/>
      <c r="G91" s="2"/>
      <c r="H91" s="13"/>
      <c r="I91" s="13"/>
      <c r="J91" s="13"/>
      <c r="K91" s="6"/>
      <c r="L91" s="6"/>
      <c r="M91" s="6"/>
      <c r="N91" s="6"/>
      <c r="O91" s="6"/>
      <c r="P91" s="6"/>
      <c r="Q91" s="6"/>
      <c r="R91" s="6"/>
      <c r="S91" s="108"/>
      <c r="T91" s="111"/>
      <c r="U91" s="12"/>
    </row>
    <row r="92" spans="1:21" x14ac:dyDescent="0.3">
      <c r="A92" s="2"/>
      <c r="B92" s="2"/>
      <c r="C92" s="2"/>
      <c r="D92" s="2"/>
      <c r="E92" s="11"/>
      <c r="F92" s="11"/>
      <c r="G92" s="2"/>
      <c r="H92" s="13"/>
      <c r="I92" s="13"/>
      <c r="J92" s="13"/>
      <c r="K92" s="6"/>
      <c r="L92" s="6"/>
      <c r="M92" s="6"/>
      <c r="N92" s="6"/>
      <c r="O92" s="6"/>
      <c r="P92" s="6"/>
      <c r="Q92" s="6"/>
      <c r="R92" s="6"/>
      <c r="S92" s="108"/>
      <c r="T92" s="111"/>
      <c r="U92" s="12"/>
    </row>
    <row r="93" spans="1:21" x14ac:dyDescent="0.3">
      <c r="A93" s="2"/>
      <c r="B93" s="2"/>
      <c r="C93" s="2"/>
      <c r="D93" s="2"/>
      <c r="E93" s="11"/>
      <c r="F93" s="11"/>
      <c r="G93" s="2"/>
      <c r="H93" s="13"/>
      <c r="I93" s="13"/>
      <c r="J93" s="13"/>
      <c r="K93" s="6"/>
      <c r="L93" s="6"/>
      <c r="M93" s="6"/>
      <c r="N93" s="6"/>
      <c r="O93" s="6"/>
      <c r="P93" s="6"/>
      <c r="Q93" s="6"/>
      <c r="R93" s="6"/>
      <c r="S93" s="108"/>
      <c r="T93" s="111"/>
      <c r="U93" s="12"/>
    </row>
    <row r="94" spans="1:21" x14ac:dyDescent="0.3">
      <c r="A94" s="2"/>
      <c r="B94" s="2"/>
      <c r="C94" s="2"/>
      <c r="D94" s="2"/>
      <c r="E94" s="11"/>
      <c r="F94" s="11"/>
      <c r="G94" s="2"/>
      <c r="H94" s="13"/>
      <c r="I94" s="13"/>
      <c r="J94" s="13"/>
      <c r="K94" s="6"/>
      <c r="L94" s="6"/>
      <c r="M94" s="6"/>
      <c r="N94" s="6"/>
      <c r="O94" s="6"/>
      <c r="P94" s="6"/>
      <c r="Q94" s="6"/>
      <c r="R94" s="6"/>
      <c r="S94" s="108"/>
      <c r="T94" s="111"/>
      <c r="U94" s="12"/>
    </row>
    <row r="95" spans="1:21" x14ac:dyDescent="0.3">
      <c r="A95" s="2"/>
      <c r="B95" s="2"/>
      <c r="C95" s="2"/>
      <c r="D95" s="2"/>
      <c r="E95" s="11"/>
      <c r="F95" s="11"/>
      <c r="G95" s="2"/>
      <c r="H95" s="13"/>
      <c r="I95" s="13"/>
      <c r="J95" s="13"/>
      <c r="K95" s="6"/>
      <c r="L95" s="6"/>
      <c r="M95" s="6"/>
      <c r="N95" s="6"/>
      <c r="O95" s="6"/>
      <c r="P95" s="6"/>
      <c r="Q95" s="6"/>
      <c r="R95" s="6"/>
      <c r="S95" s="108"/>
      <c r="T95" s="111"/>
      <c r="U95" s="12"/>
    </row>
    <row r="96" spans="1:21" x14ac:dyDescent="0.3">
      <c r="A96" s="2"/>
      <c r="B96" s="2"/>
      <c r="C96" s="2"/>
      <c r="D96" s="2"/>
      <c r="E96" s="11"/>
      <c r="F96" s="11"/>
      <c r="G96" s="2"/>
      <c r="H96" s="13"/>
      <c r="I96" s="13"/>
      <c r="J96" s="13"/>
      <c r="K96" s="6"/>
      <c r="L96" s="6"/>
      <c r="M96" s="6"/>
      <c r="N96" s="6"/>
      <c r="O96" s="6"/>
      <c r="P96" s="6"/>
      <c r="Q96" s="6"/>
      <c r="R96" s="6"/>
      <c r="S96" s="108"/>
      <c r="T96" s="111"/>
      <c r="U96" s="12"/>
    </row>
    <row r="97" spans="1:21" x14ac:dyDescent="0.3">
      <c r="A97" s="2"/>
      <c r="B97" s="2"/>
      <c r="C97" s="2"/>
      <c r="D97" s="2"/>
      <c r="E97" s="11"/>
      <c r="F97" s="11"/>
      <c r="G97" s="2"/>
      <c r="H97" s="13"/>
      <c r="I97" s="13"/>
      <c r="J97" s="13"/>
      <c r="K97" s="6"/>
      <c r="L97" s="6"/>
      <c r="M97" s="6"/>
      <c r="N97" s="6"/>
      <c r="O97" s="6"/>
      <c r="P97" s="6"/>
      <c r="Q97" s="6"/>
      <c r="R97" s="6"/>
      <c r="S97" s="108"/>
      <c r="T97" s="111"/>
      <c r="U97" s="12"/>
    </row>
    <row r="98" spans="1:21" x14ac:dyDescent="0.3">
      <c r="A98" s="2"/>
      <c r="B98" s="2"/>
      <c r="C98" s="2"/>
      <c r="D98" s="2"/>
      <c r="E98" s="11"/>
      <c r="F98" s="11"/>
      <c r="G98" s="2"/>
      <c r="H98" s="13"/>
      <c r="I98" s="13"/>
      <c r="J98" s="13"/>
      <c r="K98" s="6"/>
      <c r="L98" s="6"/>
      <c r="M98" s="6"/>
      <c r="N98" s="6"/>
      <c r="O98" s="6"/>
      <c r="P98" s="6"/>
      <c r="Q98" s="6"/>
      <c r="R98" s="6"/>
      <c r="S98" s="108"/>
      <c r="T98" s="111"/>
      <c r="U98" s="12"/>
    </row>
    <row r="99" spans="1:21" x14ac:dyDescent="0.3">
      <c r="A99" s="2"/>
      <c r="B99" s="2"/>
      <c r="C99" s="2"/>
      <c r="D99" s="2"/>
      <c r="E99" s="11"/>
      <c r="F99" s="11"/>
      <c r="G99" s="2"/>
      <c r="H99" s="13"/>
      <c r="I99" s="13"/>
      <c r="J99" s="13"/>
      <c r="K99" s="6"/>
      <c r="L99" s="6"/>
      <c r="M99" s="6"/>
      <c r="N99" s="6"/>
      <c r="O99" s="6"/>
      <c r="P99" s="6"/>
      <c r="Q99" s="6"/>
      <c r="R99" s="6"/>
      <c r="S99" s="108"/>
      <c r="T99" s="111"/>
      <c r="U99" s="12"/>
    </row>
    <row r="100" spans="1:21" x14ac:dyDescent="0.3">
      <c r="A100" s="2"/>
      <c r="B100" s="2"/>
      <c r="C100" s="2"/>
      <c r="D100" s="2"/>
      <c r="E100" s="11"/>
      <c r="F100" s="11"/>
      <c r="G100" s="2"/>
      <c r="H100" s="13"/>
      <c r="I100" s="13"/>
      <c r="J100" s="13"/>
      <c r="K100" s="6"/>
      <c r="L100" s="6"/>
      <c r="M100" s="6"/>
      <c r="N100" s="6"/>
      <c r="O100" s="6"/>
      <c r="P100" s="6"/>
      <c r="Q100" s="6"/>
      <c r="R100" s="6"/>
      <c r="S100" s="108"/>
      <c r="T100" s="111"/>
      <c r="U100" s="12"/>
    </row>
    <row r="101" spans="1:21" x14ac:dyDescent="0.3">
      <c r="A101" s="11"/>
      <c r="B101" s="2"/>
      <c r="C101" s="2"/>
      <c r="D101" s="2"/>
      <c r="E101" s="11"/>
      <c r="F101" s="11"/>
      <c r="G101" s="2"/>
      <c r="H101" s="13"/>
      <c r="I101" s="13"/>
      <c r="J101" s="13"/>
      <c r="K101" s="6"/>
      <c r="L101" s="6"/>
      <c r="M101" s="6"/>
      <c r="N101" s="6"/>
      <c r="O101" s="6"/>
      <c r="P101" s="6"/>
      <c r="Q101" s="6"/>
      <c r="R101" s="6"/>
      <c r="S101" s="108"/>
      <c r="T101" s="111"/>
      <c r="U101" s="12"/>
    </row>
    <row r="102" spans="1:21" x14ac:dyDescent="0.3">
      <c r="A102" s="2"/>
      <c r="B102" s="2"/>
      <c r="C102" s="2"/>
      <c r="D102" s="2"/>
      <c r="E102" s="11"/>
      <c r="F102" s="11"/>
      <c r="G102" s="2"/>
      <c r="H102" s="13"/>
      <c r="I102" s="13"/>
      <c r="J102" s="13"/>
      <c r="K102" s="6"/>
      <c r="L102" s="6"/>
      <c r="M102" s="6"/>
      <c r="N102" s="6"/>
      <c r="O102" s="6"/>
      <c r="P102" s="6"/>
      <c r="Q102" s="6"/>
      <c r="R102" s="6"/>
      <c r="S102" s="108"/>
      <c r="T102" s="111"/>
      <c r="U102" s="12"/>
    </row>
    <row r="103" spans="1:21" x14ac:dyDescent="0.3">
      <c r="A103" s="2"/>
      <c r="B103" s="2"/>
      <c r="C103" s="2"/>
      <c r="D103" s="2"/>
      <c r="E103" s="11"/>
      <c r="F103" s="11"/>
      <c r="G103" s="2"/>
      <c r="H103" s="13"/>
      <c r="I103" s="13"/>
      <c r="J103" s="13"/>
      <c r="K103" s="6"/>
      <c r="L103" s="6"/>
      <c r="M103" s="6"/>
      <c r="N103" s="6"/>
      <c r="O103" s="6"/>
      <c r="P103" s="6"/>
      <c r="Q103" s="6"/>
      <c r="R103" s="6"/>
      <c r="S103" s="108"/>
      <c r="T103" s="111"/>
      <c r="U103" s="12"/>
    </row>
    <row r="104" spans="1:21" x14ac:dyDescent="0.3">
      <c r="A104" s="2"/>
      <c r="B104" s="2"/>
      <c r="C104" s="2"/>
      <c r="D104" s="2"/>
      <c r="E104" s="11"/>
      <c r="F104" s="11"/>
      <c r="G104" s="2"/>
      <c r="H104" s="13"/>
      <c r="I104" s="13"/>
      <c r="J104" s="13"/>
      <c r="K104" s="6"/>
      <c r="L104" s="6"/>
      <c r="M104" s="6"/>
      <c r="N104" s="6"/>
      <c r="O104" s="6"/>
      <c r="P104" s="6"/>
      <c r="Q104" s="6"/>
      <c r="R104" s="6"/>
      <c r="S104" s="108"/>
      <c r="T104" s="111"/>
      <c r="U104" s="12"/>
    </row>
    <row r="105" spans="1:21" x14ac:dyDescent="0.3">
      <c r="A105" s="2"/>
      <c r="B105" s="2"/>
      <c r="C105" s="2"/>
      <c r="D105" s="2"/>
      <c r="E105" s="11"/>
      <c r="F105" s="11"/>
      <c r="G105" s="2"/>
      <c r="H105" s="13"/>
      <c r="I105" s="13"/>
      <c r="J105" s="13"/>
      <c r="K105" s="6"/>
      <c r="L105" s="6"/>
      <c r="M105" s="6"/>
      <c r="N105" s="6"/>
      <c r="O105" s="6"/>
      <c r="P105" s="6"/>
      <c r="Q105" s="6"/>
      <c r="R105" s="6"/>
      <c r="S105" s="108"/>
      <c r="T105" s="111"/>
      <c r="U105" s="12"/>
    </row>
    <row r="106" spans="1:21" x14ac:dyDescent="0.3">
      <c r="A106" s="2"/>
      <c r="B106" s="2"/>
      <c r="C106" s="2"/>
      <c r="D106" s="2"/>
      <c r="E106" s="11"/>
      <c r="F106" s="11"/>
      <c r="G106" s="2"/>
      <c r="H106" s="13"/>
      <c r="I106" s="13"/>
      <c r="J106" s="13"/>
      <c r="K106" s="6"/>
      <c r="L106" s="6"/>
      <c r="M106" s="6"/>
      <c r="N106" s="6"/>
      <c r="O106" s="6"/>
      <c r="P106" s="6"/>
      <c r="Q106" s="6"/>
      <c r="R106" s="6"/>
      <c r="S106" s="108"/>
      <c r="T106" s="111"/>
      <c r="U106" s="12"/>
    </row>
    <row r="107" spans="1:21" x14ac:dyDescent="0.3">
      <c r="A107" s="2"/>
      <c r="B107" s="2"/>
      <c r="C107" s="2"/>
      <c r="D107" s="2"/>
      <c r="E107" s="11"/>
      <c r="F107" s="11"/>
      <c r="G107" s="2"/>
      <c r="H107" s="13"/>
      <c r="I107" s="13"/>
      <c r="J107" s="13"/>
      <c r="K107" s="6"/>
      <c r="L107" s="6"/>
      <c r="M107" s="6"/>
      <c r="N107" s="6"/>
      <c r="O107" s="6"/>
      <c r="P107" s="6"/>
      <c r="Q107" s="6"/>
      <c r="R107" s="6"/>
      <c r="S107" s="108"/>
      <c r="T107" s="111"/>
      <c r="U107" s="12"/>
    </row>
    <row r="108" spans="1:21" x14ac:dyDescent="0.3">
      <c r="A108" s="2"/>
      <c r="B108" s="2"/>
      <c r="C108" s="2"/>
      <c r="D108" s="2"/>
      <c r="E108" s="11"/>
      <c r="F108" s="11"/>
      <c r="G108" s="2"/>
      <c r="H108" s="13"/>
      <c r="I108" s="13"/>
      <c r="J108" s="13"/>
      <c r="K108" s="6"/>
      <c r="L108" s="6"/>
      <c r="M108" s="6"/>
      <c r="N108" s="6"/>
      <c r="O108" s="6"/>
      <c r="P108" s="6"/>
      <c r="Q108" s="6"/>
      <c r="R108" s="6"/>
      <c r="S108" s="108"/>
      <c r="T108" s="111"/>
      <c r="U108" s="12"/>
    </row>
    <row r="109" spans="1:21" x14ac:dyDescent="0.3">
      <c r="A109" s="2"/>
      <c r="B109" s="2"/>
      <c r="C109" s="2"/>
      <c r="D109" s="2"/>
      <c r="E109" s="11"/>
      <c r="F109" s="11"/>
      <c r="G109" s="2"/>
      <c r="H109" s="13"/>
      <c r="I109" s="13"/>
      <c r="J109" s="13"/>
      <c r="K109" s="6"/>
      <c r="L109" s="6"/>
      <c r="M109" s="6"/>
      <c r="N109" s="6"/>
      <c r="O109" s="6"/>
      <c r="P109" s="6"/>
      <c r="Q109" s="6"/>
      <c r="R109" s="6"/>
      <c r="S109" s="108"/>
      <c r="T109" s="111"/>
      <c r="U109" s="12"/>
    </row>
    <row r="110" spans="1:21" x14ac:dyDescent="0.3">
      <c r="A110" s="2"/>
      <c r="B110" s="2"/>
      <c r="C110" s="2"/>
      <c r="D110" s="2"/>
      <c r="E110" s="11"/>
      <c r="F110" s="11"/>
      <c r="G110" s="2"/>
      <c r="H110" s="13"/>
      <c r="I110" s="13"/>
      <c r="J110" s="13"/>
      <c r="K110" s="6"/>
      <c r="L110" s="6"/>
      <c r="M110" s="6"/>
      <c r="N110" s="6"/>
      <c r="O110" s="6"/>
      <c r="P110" s="6"/>
      <c r="Q110" s="6"/>
      <c r="R110" s="6"/>
      <c r="S110" s="108"/>
      <c r="T110" s="111"/>
      <c r="U110" s="12"/>
    </row>
    <row r="111" spans="1:21" x14ac:dyDescent="0.3">
      <c r="A111" s="11"/>
      <c r="B111" s="2"/>
      <c r="C111" s="2"/>
      <c r="D111" s="2"/>
      <c r="E111" s="11"/>
      <c r="F111" s="11"/>
      <c r="G111" s="2"/>
      <c r="H111" s="13"/>
      <c r="I111" s="13"/>
      <c r="J111" s="13"/>
      <c r="K111" s="6"/>
      <c r="L111" s="6"/>
      <c r="M111" s="6"/>
      <c r="N111" s="6"/>
      <c r="O111" s="6"/>
      <c r="P111" s="6"/>
      <c r="Q111" s="6"/>
      <c r="R111" s="6"/>
      <c r="S111" s="108"/>
      <c r="T111" s="111"/>
      <c r="U111" s="12"/>
    </row>
    <row r="112" spans="1:21" x14ac:dyDescent="0.3">
      <c r="A112" s="2"/>
      <c r="B112" s="2"/>
      <c r="C112" s="2"/>
      <c r="D112" s="2"/>
      <c r="E112" s="11"/>
      <c r="F112" s="11"/>
      <c r="G112" s="2"/>
      <c r="H112" s="13"/>
      <c r="I112" s="13"/>
      <c r="J112" s="13"/>
      <c r="K112" s="6"/>
      <c r="L112" s="6"/>
      <c r="M112" s="6"/>
      <c r="N112" s="6"/>
      <c r="O112" s="6"/>
      <c r="P112" s="6"/>
      <c r="Q112" s="6"/>
      <c r="R112" s="6"/>
      <c r="S112" s="108"/>
      <c r="T112" s="111"/>
      <c r="U112" s="12"/>
    </row>
    <row r="113" spans="1:21" x14ac:dyDescent="0.3">
      <c r="A113" s="2"/>
      <c r="B113" s="2"/>
      <c r="C113" s="2"/>
      <c r="D113" s="2"/>
      <c r="E113" s="11"/>
      <c r="F113" s="11"/>
      <c r="G113" s="2"/>
      <c r="H113" s="13"/>
      <c r="I113" s="13"/>
      <c r="J113" s="13"/>
      <c r="K113" s="6"/>
      <c r="L113" s="6"/>
      <c r="M113" s="6"/>
      <c r="N113" s="6"/>
      <c r="O113" s="6"/>
      <c r="P113" s="6"/>
      <c r="Q113" s="6"/>
      <c r="R113" s="6"/>
      <c r="S113" s="108"/>
      <c r="T113" s="111"/>
      <c r="U113" s="12"/>
    </row>
    <row r="114" spans="1:21" x14ac:dyDescent="0.3">
      <c r="A114" s="2"/>
      <c r="B114" s="2"/>
      <c r="C114" s="2"/>
      <c r="D114" s="2"/>
      <c r="E114" s="11"/>
      <c r="F114" s="11"/>
      <c r="G114" s="2"/>
      <c r="H114" s="13"/>
      <c r="I114" s="13"/>
      <c r="J114" s="13"/>
      <c r="K114" s="6"/>
      <c r="L114" s="6"/>
      <c r="M114" s="6"/>
      <c r="N114" s="6"/>
      <c r="O114" s="6"/>
      <c r="P114" s="6"/>
      <c r="Q114" s="6"/>
      <c r="R114" s="6"/>
      <c r="S114" s="108"/>
      <c r="T114" s="111"/>
      <c r="U114" s="12"/>
    </row>
    <row r="115" spans="1:21" x14ac:dyDescent="0.3">
      <c r="A115" s="2"/>
      <c r="B115" s="2"/>
      <c r="C115" s="2"/>
      <c r="D115" s="2"/>
      <c r="E115" s="11"/>
      <c r="F115" s="11"/>
      <c r="G115" s="2"/>
      <c r="H115" s="13"/>
      <c r="I115" s="13"/>
      <c r="J115" s="13"/>
      <c r="K115" s="6"/>
      <c r="L115" s="6"/>
      <c r="M115" s="6"/>
      <c r="N115" s="6"/>
      <c r="O115" s="6"/>
      <c r="P115" s="6"/>
      <c r="Q115" s="6"/>
      <c r="R115" s="6"/>
      <c r="S115" s="108"/>
      <c r="T115" s="111"/>
      <c r="U115" s="12"/>
    </row>
    <row r="116" spans="1:21" x14ac:dyDescent="0.3">
      <c r="A116" s="11"/>
      <c r="B116" s="2"/>
      <c r="C116" s="2"/>
      <c r="D116" s="2"/>
      <c r="E116" s="11"/>
      <c r="F116" s="11"/>
      <c r="G116" s="2"/>
      <c r="H116" s="13"/>
      <c r="I116" s="13"/>
      <c r="J116" s="13"/>
      <c r="K116" s="6"/>
      <c r="L116" s="6"/>
      <c r="M116" s="6"/>
      <c r="N116" s="6"/>
      <c r="O116" s="6"/>
      <c r="P116" s="6"/>
      <c r="Q116" s="6"/>
      <c r="R116" s="6"/>
      <c r="S116" s="108"/>
      <c r="T116" s="111"/>
      <c r="U116" s="12"/>
    </row>
    <row r="117" spans="1:21" x14ac:dyDescent="0.3">
      <c r="A117" s="2"/>
      <c r="B117" s="2"/>
      <c r="C117" s="2"/>
      <c r="D117" s="2"/>
      <c r="E117" s="11"/>
      <c r="F117" s="11"/>
      <c r="G117" s="2"/>
      <c r="H117" s="13"/>
      <c r="I117" s="13"/>
      <c r="J117" s="13"/>
      <c r="K117" s="6"/>
      <c r="L117" s="6"/>
      <c r="M117" s="6"/>
      <c r="N117" s="6"/>
      <c r="O117" s="6"/>
      <c r="P117" s="6"/>
      <c r="Q117" s="6"/>
      <c r="R117" s="6"/>
      <c r="S117" s="108"/>
      <c r="T117" s="111"/>
      <c r="U117" s="12"/>
    </row>
    <row r="118" spans="1:21" x14ac:dyDescent="0.3">
      <c r="A118" s="2"/>
      <c r="B118" s="2"/>
      <c r="C118" s="2"/>
      <c r="D118" s="2"/>
      <c r="E118" s="11"/>
      <c r="F118" s="11"/>
      <c r="G118" s="2"/>
      <c r="H118" s="13"/>
      <c r="I118" s="13"/>
      <c r="J118" s="13"/>
      <c r="K118" s="6"/>
      <c r="L118" s="6"/>
      <c r="M118" s="6"/>
      <c r="N118" s="6"/>
      <c r="O118" s="6"/>
      <c r="P118" s="6"/>
      <c r="Q118" s="6"/>
      <c r="R118" s="6"/>
      <c r="S118" s="108"/>
      <c r="T118" s="111"/>
      <c r="U118" s="12"/>
    </row>
    <row r="119" spans="1:21" x14ac:dyDescent="0.3">
      <c r="A119" s="2"/>
      <c r="B119" s="2"/>
      <c r="C119" s="2"/>
      <c r="D119" s="2"/>
      <c r="E119" s="11"/>
      <c r="F119" s="11"/>
      <c r="G119" s="2"/>
      <c r="H119" s="13"/>
      <c r="I119" s="13"/>
      <c r="J119" s="13"/>
      <c r="K119" s="6"/>
      <c r="L119" s="6"/>
      <c r="M119" s="6"/>
      <c r="N119" s="6"/>
      <c r="O119" s="6"/>
      <c r="P119" s="6"/>
      <c r="Q119" s="6"/>
      <c r="R119" s="6"/>
      <c r="S119" s="108"/>
      <c r="T119" s="111"/>
      <c r="U119" s="12"/>
    </row>
    <row r="120" spans="1:21" x14ac:dyDescent="0.3">
      <c r="A120" s="2"/>
      <c r="B120" s="2"/>
      <c r="C120" s="2"/>
      <c r="D120" s="2"/>
      <c r="E120" s="11"/>
      <c r="F120" s="11"/>
      <c r="G120" s="2"/>
      <c r="H120" s="13"/>
      <c r="I120" s="13"/>
      <c r="J120" s="13"/>
      <c r="K120" s="6"/>
      <c r="L120" s="6"/>
      <c r="M120" s="6"/>
      <c r="N120" s="6"/>
      <c r="O120" s="6"/>
      <c r="P120" s="6"/>
      <c r="Q120" s="6"/>
      <c r="R120" s="6"/>
      <c r="S120" s="108"/>
      <c r="T120" s="111"/>
      <c r="U120" s="12"/>
    </row>
    <row r="121" spans="1:21" x14ac:dyDescent="0.3">
      <c r="A121" s="2"/>
      <c r="B121" s="2"/>
      <c r="C121" s="2"/>
      <c r="D121" s="2"/>
      <c r="E121" s="11"/>
      <c r="F121" s="11"/>
      <c r="G121" s="2"/>
      <c r="H121" s="13"/>
      <c r="I121" s="13"/>
      <c r="J121" s="13"/>
      <c r="K121" s="6"/>
      <c r="L121" s="6"/>
      <c r="M121" s="6"/>
      <c r="N121" s="6"/>
      <c r="O121" s="6"/>
      <c r="P121" s="6"/>
      <c r="Q121" s="6"/>
      <c r="R121" s="6"/>
      <c r="S121" s="108"/>
      <c r="T121" s="111"/>
      <c r="U121" s="12"/>
    </row>
    <row r="122" spans="1:21" x14ac:dyDescent="0.3">
      <c r="A122" s="11"/>
      <c r="B122" s="2"/>
      <c r="C122" s="2"/>
      <c r="D122" s="2"/>
      <c r="E122" s="11"/>
      <c r="F122" s="11"/>
      <c r="G122" s="2"/>
      <c r="H122" s="13"/>
      <c r="I122" s="13"/>
      <c r="J122" s="13"/>
      <c r="K122" s="6"/>
      <c r="L122" s="6"/>
      <c r="M122" s="6"/>
      <c r="N122" s="6"/>
      <c r="O122" s="6"/>
      <c r="P122" s="6"/>
      <c r="Q122" s="6"/>
      <c r="R122" s="6"/>
      <c r="S122" s="108"/>
      <c r="T122" s="111"/>
      <c r="U122" s="12"/>
    </row>
    <row r="123" spans="1:21" x14ac:dyDescent="0.3">
      <c r="A123" s="2"/>
      <c r="B123" s="2"/>
      <c r="C123" s="2"/>
      <c r="D123" s="2"/>
      <c r="E123" s="11"/>
      <c r="F123" s="11"/>
      <c r="G123" s="2"/>
      <c r="H123" s="13"/>
      <c r="I123" s="13"/>
      <c r="J123" s="13"/>
      <c r="K123" s="6"/>
      <c r="L123" s="6"/>
      <c r="M123" s="6"/>
      <c r="N123" s="6"/>
      <c r="O123" s="6"/>
      <c r="P123" s="6"/>
      <c r="Q123" s="6"/>
      <c r="R123" s="6"/>
      <c r="S123" s="108"/>
      <c r="T123" s="111"/>
      <c r="U123" s="12"/>
    </row>
    <row r="124" spans="1:21" x14ac:dyDescent="0.3">
      <c r="A124" s="2"/>
      <c r="B124" s="2"/>
      <c r="C124" s="2"/>
      <c r="D124" s="2"/>
      <c r="E124" s="11"/>
      <c r="F124" s="11"/>
      <c r="G124" s="2"/>
      <c r="H124" s="13"/>
      <c r="I124" s="13"/>
      <c r="J124" s="13"/>
      <c r="K124" s="6"/>
      <c r="L124" s="6"/>
      <c r="M124" s="6"/>
      <c r="N124" s="6"/>
      <c r="O124" s="6"/>
      <c r="P124" s="6"/>
      <c r="Q124" s="6"/>
      <c r="R124" s="6"/>
      <c r="S124" s="108"/>
      <c r="T124" s="111"/>
      <c r="U124" s="12"/>
    </row>
    <row r="125" spans="1:21" x14ac:dyDescent="0.3">
      <c r="A125" s="2"/>
      <c r="B125" s="2"/>
      <c r="C125" s="2"/>
      <c r="D125" s="2"/>
      <c r="E125" s="11"/>
      <c r="F125" s="11"/>
      <c r="G125" s="2"/>
      <c r="H125" s="13"/>
      <c r="I125" s="13"/>
      <c r="J125" s="13"/>
      <c r="K125" s="6"/>
      <c r="L125" s="6"/>
      <c r="M125" s="6"/>
      <c r="N125" s="6"/>
      <c r="O125" s="6"/>
      <c r="P125" s="6"/>
      <c r="Q125" s="6"/>
      <c r="R125" s="6"/>
      <c r="S125" s="108"/>
      <c r="T125" s="111"/>
      <c r="U125" s="12"/>
    </row>
    <row r="126" spans="1:21" x14ac:dyDescent="0.3">
      <c r="A126" s="2"/>
      <c r="B126" s="2"/>
      <c r="C126" s="2"/>
      <c r="D126" s="2"/>
      <c r="E126" s="11"/>
      <c r="F126" s="11"/>
      <c r="G126" s="2"/>
      <c r="H126" s="13"/>
      <c r="I126" s="13"/>
      <c r="J126" s="13"/>
      <c r="K126" s="6"/>
      <c r="L126" s="6"/>
      <c r="M126" s="6"/>
      <c r="N126" s="6"/>
      <c r="O126" s="6"/>
      <c r="P126" s="6"/>
      <c r="Q126" s="6"/>
      <c r="R126" s="6"/>
      <c r="S126" s="108"/>
      <c r="T126" s="111"/>
      <c r="U126" s="12"/>
    </row>
    <row r="127" spans="1:21" x14ac:dyDescent="0.3">
      <c r="A127" s="2"/>
      <c r="B127" s="2"/>
      <c r="C127" s="2"/>
      <c r="D127" s="2"/>
      <c r="E127" s="11"/>
      <c r="F127" s="11"/>
      <c r="G127" s="2"/>
      <c r="H127" s="13"/>
      <c r="I127" s="13"/>
      <c r="J127" s="13"/>
      <c r="K127" s="6"/>
      <c r="L127" s="6"/>
      <c r="M127" s="6"/>
      <c r="N127" s="6"/>
      <c r="O127" s="6"/>
      <c r="P127" s="6"/>
      <c r="Q127" s="6"/>
      <c r="R127" s="6"/>
      <c r="S127" s="108"/>
      <c r="T127" s="111"/>
      <c r="U127" s="12"/>
    </row>
    <row r="128" spans="1:21" x14ac:dyDescent="0.3">
      <c r="A128" s="11"/>
      <c r="B128" s="2"/>
      <c r="C128" s="2"/>
      <c r="D128" s="2"/>
      <c r="E128" s="11"/>
      <c r="F128" s="11"/>
      <c r="G128" s="2"/>
      <c r="H128" s="13"/>
      <c r="I128" s="13"/>
      <c r="J128" s="13"/>
      <c r="K128" s="6"/>
      <c r="L128" s="6"/>
      <c r="M128" s="6"/>
      <c r="N128" s="6"/>
      <c r="O128" s="6"/>
      <c r="P128" s="6"/>
      <c r="Q128" s="6"/>
      <c r="R128" s="6"/>
      <c r="S128" s="108"/>
      <c r="T128" s="111"/>
      <c r="U128" s="12"/>
    </row>
    <row r="129" spans="1:25" x14ac:dyDescent="0.3">
      <c r="A129" s="11"/>
      <c r="B129" s="2"/>
      <c r="C129" s="2"/>
      <c r="D129" s="2"/>
      <c r="E129" s="11"/>
      <c r="F129" s="11"/>
      <c r="G129" s="2"/>
      <c r="H129" s="13"/>
      <c r="I129" s="13"/>
      <c r="J129" s="13"/>
      <c r="K129" s="6"/>
      <c r="L129" s="6"/>
      <c r="M129" s="6"/>
      <c r="N129" s="6"/>
      <c r="O129" s="6"/>
      <c r="P129" s="6"/>
      <c r="Q129" s="6"/>
      <c r="R129" s="6"/>
      <c r="S129" s="108"/>
      <c r="T129" s="111"/>
      <c r="U129" s="12"/>
    </row>
    <row r="130" spans="1:25" x14ac:dyDescent="0.3">
      <c r="A130" s="2"/>
      <c r="B130" s="2"/>
      <c r="C130" s="2"/>
      <c r="D130" s="2"/>
      <c r="E130" s="11"/>
      <c r="F130" s="11"/>
      <c r="G130" s="2"/>
      <c r="H130" s="13"/>
      <c r="I130" s="13"/>
      <c r="J130" s="13"/>
      <c r="K130" s="6"/>
      <c r="L130" s="6"/>
      <c r="M130" s="6"/>
      <c r="N130" s="6"/>
      <c r="O130" s="6"/>
      <c r="P130" s="6"/>
      <c r="Q130" s="6"/>
      <c r="R130" s="6"/>
      <c r="S130" s="108"/>
      <c r="T130" s="111"/>
      <c r="U130" s="12"/>
    </row>
    <row r="131" spans="1:25" x14ac:dyDescent="0.3">
      <c r="A131" s="11"/>
      <c r="B131" s="2"/>
      <c r="C131" s="2"/>
      <c r="D131" s="2"/>
      <c r="E131" s="11"/>
      <c r="F131" s="11"/>
      <c r="G131" s="2"/>
      <c r="H131" s="13"/>
      <c r="I131" s="13"/>
      <c r="J131" s="13"/>
      <c r="K131" s="6"/>
      <c r="L131" s="6"/>
      <c r="M131" s="6"/>
      <c r="N131" s="6"/>
      <c r="O131" s="6"/>
      <c r="P131" s="6"/>
      <c r="Q131" s="6"/>
      <c r="R131" s="6"/>
      <c r="S131" s="108"/>
      <c r="T131" s="111"/>
      <c r="U131" s="12"/>
    </row>
    <row r="132" spans="1:25" x14ac:dyDescent="0.3">
      <c r="A132" s="2"/>
      <c r="B132" s="2"/>
      <c r="C132" s="2"/>
      <c r="D132" s="2"/>
      <c r="E132" s="11"/>
      <c r="F132" s="11"/>
      <c r="G132" s="2"/>
      <c r="H132" s="13"/>
      <c r="I132" s="13"/>
      <c r="J132" s="13"/>
      <c r="K132" s="6"/>
      <c r="L132" s="6"/>
      <c r="M132" s="6"/>
      <c r="N132" s="6"/>
      <c r="O132" s="6"/>
      <c r="P132" s="6"/>
      <c r="Q132" s="6"/>
      <c r="R132" s="6"/>
      <c r="S132" s="108"/>
      <c r="T132" s="111"/>
      <c r="U132" s="12"/>
    </row>
    <row r="133" spans="1:25" x14ac:dyDescent="0.3">
      <c r="A133" s="2"/>
      <c r="B133" s="2"/>
      <c r="C133" s="2"/>
      <c r="D133" s="2"/>
      <c r="E133" s="11"/>
      <c r="F133" s="11"/>
      <c r="G133" s="2"/>
      <c r="H133" s="13"/>
      <c r="I133" s="13"/>
      <c r="J133" s="13"/>
      <c r="K133" s="6"/>
      <c r="L133" s="6"/>
      <c r="M133" s="6"/>
      <c r="N133" s="6"/>
      <c r="O133" s="6"/>
      <c r="P133" s="6"/>
      <c r="Q133" s="6"/>
      <c r="R133" s="6"/>
      <c r="S133" s="108"/>
      <c r="T133" s="111"/>
      <c r="U133" s="12"/>
    </row>
    <row r="134" spans="1:25" x14ac:dyDescent="0.3">
      <c r="A134" s="2"/>
      <c r="B134" s="2"/>
      <c r="C134" s="2"/>
      <c r="D134" s="2"/>
      <c r="E134" s="11"/>
      <c r="F134" s="11"/>
      <c r="G134" s="2"/>
      <c r="H134" s="13"/>
      <c r="I134" s="13"/>
      <c r="J134" s="13"/>
      <c r="K134" s="6"/>
      <c r="L134" s="6"/>
      <c r="M134" s="6"/>
      <c r="N134" s="6"/>
      <c r="O134" s="6"/>
      <c r="P134" s="6"/>
      <c r="Q134" s="6"/>
      <c r="R134" s="6"/>
      <c r="S134" s="108"/>
      <c r="T134" s="111"/>
      <c r="U134" s="12"/>
    </row>
    <row r="135" spans="1:25" x14ac:dyDescent="0.3">
      <c r="A135" s="11"/>
      <c r="B135" s="2"/>
      <c r="C135" s="2"/>
      <c r="D135" s="2"/>
      <c r="E135" s="11"/>
      <c r="F135" s="11"/>
      <c r="G135" s="2"/>
      <c r="H135" s="13"/>
      <c r="I135" s="13"/>
      <c r="J135" s="13"/>
      <c r="K135" s="6"/>
      <c r="L135" s="6"/>
      <c r="M135" s="6"/>
      <c r="N135" s="6"/>
      <c r="O135" s="6"/>
      <c r="P135" s="6"/>
      <c r="Q135" s="6"/>
      <c r="R135" s="6"/>
      <c r="S135" s="108"/>
      <c r="T135" s="111"/>
      <c r="U135" s="12"/>
    </row>
    <row r="136" spans="1:25" x14ac:dyDescent="0.3">
      <c r="A136" s="2"/>
      <c r="B136" s="2"/>
      <c r="C136" s="2"/>
      <c r="D136" s="2"/>
      <c r="E136" s="11"/>
      <c r="F136" s="11"/>
      <c r="G136" s="2"/>
      <c r="H136" s="13"/>
      <c r="I136" s="13"/>
      <c r="J136" s="13"/>
      <c r="K136" s="6"/>
      <c r="L136" s="6"/>
      <c r="M136" s="6"/>
      <c r="N136" s="6"/>
      <c r="O136" s="6"/>
      <c r="P136" s="6"/>
      <c r="Q136" s="6"/>
      <c r="R136" s="6"/>
      <c r="S136" s="108"/>
      <c r="T136" s="111"/>
      <c r="U136" s="12"/>
    </row>
    <row r="137" spans="1:25" x14ac:dyDescent="0.3">
      <c r="A137" s="2"/>
      <c r="B137" s="2"/>
      <c r="C137" s="2"/>
      <c r="D137" s="2"/>
      <c r="E137" s="11"/>
      <c r="F137" s="11"/>
      <c r="G137" s="2"/>
      <c r="H137" s="13"/>
      <c r="I137" s="13"/>
      <c r="J137" s="13"/>
      <c r="K137" s="6"/>
      <c r="L137" s="6"/>
      <c r="M137" s="6"/>
      <c r="N137" s="6"/>
      <c r="O137" s="6"/>
      <c r="P137" s="6"/>
      <c r="Q137" s="6"/>
      <c r="R137" s="6"/>
      <c r="S137" s="108"/>
      <c r="T137" s="111"/>
      <c r="U137" s="12"/>
    </row>
    <row r="138" spans="1:25" x14ac:dyDescent="0.3">
      <c r="A138" s="11"/>
      <c r="B138" s="2"/>
      <c r="C138" s="2"/>
      <c r="D138" s="2"/>
      <c r="E138" s="11"/>
      <c r="F138" s="11"/>
      <c r="G138" s="2"/>
      <c r="H138" s="13"/>
      <c r="I138" s="13"/>
      <c r="J138" s="13"/>
      <c r="K138" s="6"/>
      <c r="L138" s="6"/>
      <c r="M138" s="6"/>
      <c r="N138" s="6"/>
      <c r="O138" s="6"/>
      <c r="P138" s="6"/>
      <c r="Q138" s="6"/>
      <c r="R138" s="6"/>
      <c r="S138" s="108"/>
      <c r="T138" s="111"/>
      <c r="U138" s="12"/>
    </row>
    <row r="139" spans="1:25" x14ac:dyDescent="0.3">
      <c r="A139" s="2"/>
      <c r="B139" s="2"/>
      <c r="C139" s="2"/>
      <c r="D139" s="2"/>
      <c r="E139" s="11"/>
      <c r="F139" s="11"/>
      <c r="G139" s="2"/>
      <c r="H139" s="13"/>
      <c r="I139" s="13"/>
      <c r="J139" s="13"/>
      <c r="K139" s="6"/>
      <c r="L139" s="6"/>
      <c r="M139" s="6"/>
      <c r="N139" s="6"/>
      <c r="O139" s="6"/>
      <c r="P139" s="6"/>
      <c r="Q139" s="6"/>
      <c r="R139" s="6"/>
      <c r="S139" s="108"/>
      <c r="T139" s="111"/>
      <c r="U139" s="12"/>
    </row>
    <row r="140" spans="1:25" x14ac:dyDescent="0.3">
      <c r="A140" s="2"/>
      <c r="B140" s="2"/>
      <c r="C140" s="2"/>
      <c r="D140" s="2"/>
      <c r="E140" s="11"/>
      <c r="F140" s="11"/>
      <c r="G140" s="2"/>
      <c r="H140" s="13"/>
      <c r="I140" s="13"/>
      <c r="J140" s="13"/>
      <c r="K140" s="6"/>
      <c r="L140" s="6"/>
      <c r="M140" s="6"/>
      <c r="N140" s="6"/>
      <c r="O140" s="6"/>
      <c r="P140" s="6"/>
      <c r="Q140" s="6"/>
      <c r="R140" s="6"/>
      <c r="S140" s="108"/>
      <c r="T140" s="111"/>
      <c r="U140" s="12"/>
      <c r="X140" s="14"/>
      <c r="Y140" s="15"/>
    </row>
    <row r="141" spans="1:25" x14ac:dyDescent="0.3">
      <c r="A141" s="2"/>
      <c r="B141" s="2"/>
      <c r="C141" s="2"/>
      <c r="D141" s="2"/>
      <c r="E141" s="11"/>
      <c r="F141" s="11"/>
      <c r="G141" s="2"/>
      <c r="H141" s="13"/>
      <c r="I141" s="13"/>
      <c r="J141" s="13"/>
      <c r="K141" s="6"/>
      <c r="L141" s="6"/>
      <c r="M141" s="6"/>
      <c r="N141" s="6"/>
      <c r="O141" s="6"/>
      <c r="P141" s="6"/>
      <c r="Q141" s="6"/>
      <c r="R141" s="6"/>
      <c r="S141" s="108"/>
      <c r="T141" s="111"/>
      <c r="U141" s="12"/>
      <c r="X141" s="14"/>
      <c r="Y141" s="15"/>
    </row>
    <row r="142" spans="1:25" x14ac:dyDescent="0.3">
      <c r="A142" s="2"/>
      <c r="B142" s="2"/>
      <c r="C142" s="2"/>
      <c r="D142" s="2"/>
      <c r="E142" s="11"/>
      <c r="F142" s="11"/>
      <c r="G142" s="2"/>
      <c r="H142" s="13"/>
      <c r="I142" s="13"/>
      <c r="J142" s="13"/>
      <c r="K142" s="6"/>
      <c r="L142" s="6"/>
      <c r="M142" s="6"/>
      <c r="N142" s="6"/>
      <c r="O142" s="6"/>
      <c r="P142" s="6"/>
      <c r="Q142" s="6"/>
      <c r="R142" s="6"/>
      <c r="S142" s="108"/>
      <c r="T142" s="111"/>
      <c r="U142" s="12"/>
      <c r="X142" s="14"/>
      <c r="Y142" s="15"/>
    </row>
    <row r="143" spans="1:25" x14ac:dyDescent="0.3">
      <c r="A143" s="11"/>
      <c r="B143" s="2"/>
      <c r="C143" s="2"/>
      <c r="D143" s="2"/>
      <c r="E143" s="11"/>
      <c r="F143" s="11"/>
      <c r="G143" s="2"/>
      <c r="H143" s="13"/>
      <c r="I143" s="13"/>
      <c r="J143" s="13"/>
      <c r="K143" s="6"/>
      <c r="L143" s="6"/>
      <c r="M143" s="6"/>
      <c r="N143" s="6"/>
      <c r="O143" s="6"/>
      <c r="P143" s="6"/>
      <c r="Q143" s="6"/>
      <c r="R143" s="6"/>
      <c r="S143" s="108"/>
      <c r="T143" s="111"/>
      <c r="U143" s="12"/>
      <c r="X143" s="14"/>
      <c r="Y143" s="15"/>
    </row>
    <row r="144" spans="1:25" x14ac:dyDescent="0.3">
      <c r="A144" s="2"/>
      <c r="B144" s="2"/>
      <c r="C144" s="2"/>
      <c r="D144" s="2"/>
      <c r="E144" s="11"/>
      <c r="F144" s="11"/>
      <c r="G144" s="2"/>
      <c r="H144" s="13"/>
      <c r="I144" s="13"/>
      <c r="J144" s="13"/>
      <c r="K144" s="6"/>
      <c r="L144" s="6"/>
      <c r="M144" s="6"/>
      <c r="N144" s="6"/>
      <c r="O144" s="6"/>
      <c r="P144" s="6"/>
      <c r="Q144" s="6"/>
      <c r="R144" s="6"/>
      <c r="S144" s="108"/>
      <c r="T144" s="111"/>
      <c r="U144" s="12"/>
    </row>
    <row r="145" spans="1:21" x14ac:dyDescent="0.3">
      <c r="A145" s="2"/>
      <c r="B145" s="2"/>
      <c r="C145" s="2"/>
      <c r="D145" s="2"/>
      <c r="E145" s="11"/>
      <c r="F145" s="11"/>
      <c r="G145" s="2"/>
      <c r="H145" s="13"/>
      <c r="I145" s="13"/>
      <c r="J145" s="13"/>
      <c r="K145" s="6"/>
      <c r="L145" s="6"/>
      <c r="M145" s="6"/>
      <c r="N145" s="6"/>
      <c r="O145" s="6"/>
      <c r="P145" s="6"/>
      <c r="Q145" s="6"/>
      <c r="R145" s="6"/>
      <c r="S145" s="108"/>
      <c r="T145" s="111"/>
      <c r="U145" s="12"/>
    </row>
    <row r="146" spans="1:21" x14ac:dyDescent="0.3">
      <c r="A146" s="2"/>
      <c r="B146" s="2"/>
      <c r="C146" s="2"/>
      <c r="D146" s="2"/>
      <c r="E146" s="11"/>
      <c r="F146" s="11"/>
      <c r="G146" s="2"/>
      <c r="H146" s="13"/>
      <c r="I146" s="13"/>
      <c r="J146" s="13"/>
      <c r="K146" s="6"/>
      <c r="L146" s="6"/>
      <c r="M146" s="6"/>
      <c r="N146" s="6"/>
      <c r="O146" s="6"/>
      <c r="P146" s="6"/>
      <c r="Q146" s="6"/>
      <c r="R146" s="6"/>
      <c r="S146" s="108"/>
      <c r="T146" s="111"/>
      <c r="U146" s="12"/>
    </row>
    <row r="147" spans="1:21" x14ac:dyDescent="0.3">
      <c r="A147" s="2"/>
      <c r="B147" s="2"/>
      <c r="C147" s="2"/>
      <c r="D147" s="2"/>
      <c r="E147" s="11"/>
      <c r="F147" s="11"/>
      <c r="G147" s="2"/>
      <c r="H147" s="13"/>
      <c r="I147" s="13"/>
      <c r="J147" s="13"/>
      <c r="K147" s="6"/>
      <c r="L147" s="6"/>
      <c r="M147" s="6"/>
      <c r="N147" s="6"/>
      <c r="O147" s="6"/>
      <c r="P147" s="6"/>
      <c r="Q147" s="6"/>
      <c r="R147" s="6"/>
      <c r="S147" s="108"/>
      <c r="T147" s="111"/>
      <c r="U147" s="12"/>
    </row>
    <row r="148" spans="1:21" x14ac:dyDescent="0.3">
      <c r="A148" s="2"/>
      <c r="B148" s="2"/>
      <c r="C148" s="2"/>
      <c r="D148" s="2"/>
      <c r="E148" s="11"/>
      <c r="F148" s="11"/>
      <c r="G148" s="2"/>
      <c r="H148" s="13"/>
      <c r="I148" s="13"/>
      <c r="J148" s="13"/>
      <c r="K148" s="6"/>
      <c r="L148" s="6"/>
      <c r="M148" s="6"/>
      <c r="N148" s="6"/>
      <c r="O148" s="6"/>
      <c r="P148" s="6"/>
      <c r="Q148" s="6"/>
      <c r="R148" s="6"/>
      <c r="S148" s="108"/>
      <c r="T148" s="111"/>
      <c r="U148" s="12"/>
    </row>
    <row r="149" spans="1:21" x14ac:dyDescent="0.3">
      <c r="A149" s="2"/>
      <c r="B149" s="2"/>
      <c r="C149" s="2"/>
      <c r="D149" s="2"/>
      <c r="E149" s="11"/>
      <c r="F149" s="11"/>
      <c r="G149" s="2"/>
      <c r="H149" s="13"/>
      <c r="I149" s="13"/>
      <c r="J149" s="13"/>
      <c r="K149" s="6"/>
      <c r="L149" s="6"/>
      <c r="M149" s="6"/>
      <c r="N149" s="6"/>
      <c r="O149" s="6"/>
      <c r="P149" s="6"/>
      <c r="Q149" s="6"/>
      <c r="R149" s="6"/>
      <c r="S149" s="108"/>
      <c r="T149" s="111"/>
      <c r="U149" s="12"/>
    </row>
    <row r="150" spans="1:21" x14ac:dyDescent="0.3">
      <c r="A150" s="2"/>
      <c r="B150" s="2"/>
      <c r="C150" s="2"/>
      <c r="D150" s="2"/>
      <c r="E150" s="11"/>
      <c r="F150" s="11"/>
      <c r="G150" s="2"/>
      <c r="H150" s="13"/>
      <c r="I150" s="13"/>
      <c r="J150" s="13"/>
      <c r="K150" s="6"/>
      <c r="L150" s="6"/>
      <c r="M150" s="6"/>
      <c r="N150" s="6"/>
      <c r="O150" s="6"/>
      <c r="P150" s="6"/>
      <c r="Q150" s="6"/>
      <c r="R150" s="6"/>
      <c r="S150" s="108"/>
      <c r="T150" s="111"/>
      <c r="U150" s="12"/>
    </row>
    <row r="151" spans="1:21" x14ac:dyDescent="0.3">
      <c r="A151" s="2"/>
      <c r="B151" s="2"/>
      <c r="C151" s="2"/>
      <c r="D151" s="2"/>
      <c r="E151" s="11"/>
      <c r="F151" s="11"/>
      <c r="G151" s="2"/>
      <c r="H151" s="13"/>
      <c r="I151" s="13"/>
      <c r="J151" s="13"/>
      <c r="K151" s="6"/>
      <c r="L151" s="6"/>
      <c r="M151" s="6"/>
      <c r="N151" s="6"/>
      <c r="O151" s="6"/>
      <c r="P151" s="6"/>
      <c r="Q151" s="6"/>
      <c r="R151" s="6"/>
      <c r="S151" s="108"/>
      <c r="T151" s="111"/>
      <c r="U151" s="12"/>
    </row>
    <row r="152" spans="1:21" x14ac:dyDescent="0.3">
      <c r="A152" s="2"/>
      <c r="B152" s="2"/>
      <c r="C152" s="2"/>
      <c r="D152" s="2"/>
      <c r="E152" s="11"/>
      <c r="F152" s="11"/>
      <c r="G152" s="2"/>
      <c r="H152" s="13"/>
      <c r="I152" s="13"/>
      <c r="J152" s="13"/>
      <c r="K152" s="6"/>
      <c r="L152" s="6"/>
      <c r="M152" s="6"/>
      <c r="N152" s="6"/>
      <c r="O152" s="6"/>
      <c r="P152" s="6"/>
      <c r="Q152" s="6"/>
      <c r="R152" s="6"/>
      <c r="S152" s="108"/>
      <c r="T152" s="111"/>
      <c r="U152" s="12"/>
    </row>
    <row r="153" spans="1:21" x14ac:dyDescent="0.3">
      <c r="A153" s="11"/>
      <c r="B153" s="2"/>
      <c r="C153" s="2"/>
      <c r="D153" s="2"/>
      <c r="E153" s="11"/>
      <c r="F153" s="11"/>
      <c r="G153" s="2"/>
      <c r="H153" s="13"/>
      <c r="I153" s="13"/>
      <c r="J153" s="13"/>
      <c r="K153" s="6"/>
      <c r="L153" s="6"/>
      <c r="M153" s="6"/>
      <c r="N153" s="6"/>
      <c r="O153" s="6"/>
      <c r="P153" s="6"/>
      <c r="Q153" s="6"/>
      <c r="R153" s="6"/>
      <c r="S153" s="108"/>
      <c r="T153" s="111"/>
      <c r="U153" s="12"/>
    </row>
    <row r="154" spans="1:21" x14ac:dyDescent="0.3">
      <c r="A154" s="2"/>
      <c r="B154" s="2"/>
      <c r="C154" s="2"/>
      <c r="D154" s="2"/>
      <c r="E154" s="11"/>
      <c r="F154" s="11"/>
      <c r="G154" s="2"/>
      <c r="H154" s="13"/>
      <c r="I154" s="13"/>
      <c r="J154" s="13"/>
      <c r="K154" s="6"/>
      <c r="L154" s="6"/>
      <c r="M154" s="6"/>
      <c r="N154" s="6"/>
      <c r="O154" s="6"/>
      <c r="P154" s="6"/>
      <c r="Q154" s="6"/>
      <c r="R154" s="6"/>
      <c r="S154" s="108"/>
      <c r="T154" s="111"/>
      <c r="U154" s="12"/>
    </row>
    <row r="155" spans="1:21" x14ac:dyDescent="0.3">
      <c r="A155" s="2"/>
      <c r="B155" s="2"/>
      <c r="C155" s="2"/>
      <c r="D155" s="2"/>
      <c r="E155" s="11"/>
      <c r="F155" s="11"/>
      <c r="G155" s="2"/>
      <c r="H155" s="13"/>
      <c r="I155" s="13"/>
      <c r="J155" s="13"/>
      <c r="K155" s="6"/>
      <c r="L155" s="6"/>
      <c r="M155" s="6"/>
      <c r="N155" s="6"/>
      <c r="O155" s="6"/>
      <c r="P155" s="6"/>
      <c r="Q155" s="6"/>
      <c r="R155" s="6"/>
      <c r="S155" s="108"/>
      <c r="T155" s="111"/>
      <c r="U155" s="12"/>
    </row>
    <row r="156" spans="1:21" x14ac:dyDescent="0.3">
      <c r="A156" s="2"/>
      <c r="B156" s="2"/>
      <c r="C156" s="2"/>
      <c r="D156" s="2"/>
      <c r="E156" s="11"/>
      <c r="F156" s="11"/>
      <c r="G156" s="2"/>
      <c r="H156" s="13"/>
      <c r="I156" s="13"/>
      <c r="J156" s="13"/>
      <c r="K156" s="6"/>
      <c r="L156" s="6"/>
      <c r="M156" s="6"/>
      <c r="N156" s="6"/>
      <c r="O156" s="6"/>
      <c r="P156" s="6"/>
      <c r="Q156" s="6"/>
      <c r="R156" s="6"/>
      <c r="S156" s="108"/>
      <c r="T156" s="111"/>
      <c r="U156" s="12"/>
    </row>
    <row r="157" spans="1:21" x14ac:dyDescent="0.3">
      <c r="A157" s="2"/>
      <c r="B157" s="2"/>
      <c r="C157" s="2"/>
      <c r="D157" s="2"/>
      <c r="E157" s="11"/>
      <c r="F157" s="11"/>
      <c r="G157" s="2"/>
      <c r="H157" s="13"/>
      <c r="I157" s="13"/>
      <c r="J157" s="13"/>
      <c r="K157" s="6"/>
      <c r="L157" s="6"/>
      <c r="M157" s="6"/>
      <c r="N157" s="6"/>
      <c r="O157" s="6"/>
      <c r="P157" s="6"/>
      <c r="Q157" s="6"/>
      <c r="R157" s="6"/>
      <c r="S157" s="108"/>
      <c r="T157" s="111"/>
      <c r="U157" s="12"/>
    </row>
    <row r="158" spans="1:21" x14ac:dyDescent="0.3">
      <c r="A158" s="2"/>
      <c r="B158" s="2"/>
      <c r="C158" s="2"/>
      <c r="D158" s="2"/>
      <c r="E158" s="11"/>
      <c r="F158" s="11"/>
      <c r="G158" s="2"/>
      <c r="H158" s="13"/>
      <c r="I158" s="13"/>
      <c r="J158" s="13"/>
      <c r="K158" s="6"/>
      <c r="L158" s="6"/>
      <c r="M158" s="6"/>
      <c r="N158" s="6"/>
      <c r="O158" s="6"/>
      <c r="P158" s="6"/>
      <c r="Q158" s="6"/>
      <c r="R158" s="6"/>
      <c r="S158" s="108"/>
      <c r="T158" s="111"/>
      <c r="U158" s="12"/>
    </row>
    <row r="159" spans="1:21" x14ac:dyDescent="0.3">
      <c r="A159" s="2"/>
      <c r="B159" s="2"/>
      <c r="C159" s="2"/>
      <c r="D159" s="2"/>
      <c r="E159" s="11"/>
      <c r="F159" s="11"/>
      <c r="G159" s="2"/>
      <c r="H159" s="13"/>
      <c r="I159" s="13"/>
      <c r="J159" s="13"/>
      <c r="K159" s="6"/>
      <c r="L159" s="6"/>
      <c r="M159" s="6"/>
      <c r="N159" s="6"/>
      <c r="O159" s="6"/>
      <c r="P159" s="6"/>
      <c r="Q159" s="6"/>
      <c r="R159" s="6"/>
      <c r="S159" s="108"/>
      <c r="T159" s="111"/>
      <c r="U159" s="12"/>
    </row>
    <row r="160" spans="1:21" x14ac:dyDescent="0.3">
      <c r="A160" s="2"/>
      <c r="B160" s="2"/>
      <c r="C160" s="2"/>
      <c r="D160" s="2"/>
      <c r="E160" s="11"/>
      <c r="F160" s="11"/>
      <c r="G160" s="2"/>
      <c r="H160" s="13"/>
      <c r="I160" s="13"/>
      <c r="J160" s="13"/>
      <c r="K160" s="6"/>
      <c r="L160" s="6"/>
      <c r="M160" s="6"/>
      <c r="N160" s="6"/>
      <c r="O160" s="6"/>
      <c r="P160" s="6"/>
      <c r="Q160" s="6"/>
      <c r="R160" s="6"/>
      <c r="S160" s="108"/>
      <c r="T160" s="111"/>
      <c r="U160" s="12"/>
    </row>
    <row r="161" spans="1:25" x14ac:dyDescent="0.3">
      <c r="A161" s="2"/>
      <c r="B161" s="2"/>
      <c r="C161" s="2"/>
      <c r="D161" s="2"/>
      <c r="E161" s="11"/>
      <c r="F161" s="11"/>
      <c r="G161" s="2"/>
      <c r="H161" s="13"/>
      <c r="I161" s="13"/>
      <c r="J161" s="13"/>
      <c r="K161" s="6"/>
      <c r="L161" s="6"/>
      <c r="M161" s="6"/>
      <c r="N161" s="6"/>
      <c r="O161" s="6"/>
      <c r="P161" s="6"/>
      <c r="Q161" s="6"/>
      <c r="R161" s="6"/>
      <c r="S161" s="108"/>
      <c r="T161" s="111"/>
      <c r="U161" s="12"/>
    </row>
    <row r="162" spans="1:25" x14ac:dyDescent="0.3">
      <c r="A162" s="2"/>
      <c r="B162" s="2"/>
      <c r="C162" s="2"/>
      <c r="D162" s="2"/>
      <c r="E162" s="11"/>
      <c r="F162" s="11"/>
      <c r="G162" s="2"/>
      <c r="H162" s="13"/>
      <c r="I162" s="13"/>
      <c r="J162" s="13"/>
      <c r="K162" s="6"/>
      <c r="L162" s="6"/>
      <c r="M162" s="6"/>
      <c r="N162" s="6"/>
      <c r="O162" s="6"/>
      <c r="P162" s="6"/>
      <c r="Q162" s="6"/>
      <c r="R162" s="6"/>
      <c r="S162" s="108"/>
      <c r="T162" s="111"/>
      <c r="U162" s="12"/>
    </row>
    <row r="163" spans="1:25" x14ac:dyDescent="0.3">
      <c r="A163" s="2"/>
      <c r="B163" s="2"/>
      <c r="C163" s="2"/>
      <c r="D163" s="2"/>
      <c r="E163" s="11"/>
      <c r="F163" s="11"/>
      <c r="G163" s="2"/>
      <c r="H163" s="13"/>
      <c r="I163" s="13"/>
      <c r="J163" s="13"/>
      <c r="K163" s="6"/>
      <c r="L163" s="6"/>
      <c r="M163" s="6"/>
      <c r="N163" s="6"/>
      <c r="O163" s="6"/>
      <c r="P163" s="6"/>
      <c r="Q163" s="6"/>
      <c r="R163" s="6"/>
      <c r="S163" s="108"/>
      <c r="T163" s="111"/>
      <c r="U163" s="12"/>
    </row>
    <row r="164" spans="1:25" x14ac:dyDescent="0.3">
      <c r="A164" s="2"/>
      <c r="B164" s="2"/>
      <c r="C164" s="2"/>
      <c r="D164" s="2"/>
      <c r="E164" s="11"/>
      <c r="F164" s="11"/>
      <c r="G164" s="2"/>
      <c r="H164" s="13"/>
      <c r="I164" s="13"/>
      <c r="J164" s="13"/>
      <c r="K164" s="6"/>
      <c r="L164" s="6"/>
      <c r="M164" s="6"/>
      <c r="N164" s="6"/>
      <c r="O164" s="6"/>
      <c r="P164" s="6"/>
      <c r="Q164" s="6"/>
      <c r="R164" s="6"/>
      <c r="S164" s="108"/>
      <c r="T164" s="111"/>
      <c r="U164" s="12"/>
    </row>
    <row r="165" spans="1:25" x14ac:dyDescent="0.3">
      <c r="A165" s="2"/>
      <c r="B165" s="2"/>
      <c r="C165" s="2"/>
      <c r="D165" s="2"/>
      <c r="E165" s="11"/>
      <c r="F165" s="11"/>
      <c r="G165" s="2"/>
      <c r="H165" s="13"/>
      <c r="I165" s="13"/>
      <c r="J165" s="13"/>
      <c r="K165" s="6"/>
      <c r="L165" s="6"/>
      <c r="M165" s="6"/>
      <c r="N165" s="6"/>
      <c r="O165" s="6"/>
      <c r="P165" s="6"/>
      <c r="Q165" s="6"/>
      <c r="R165" s="6"/>
      <c r="S165" s="108"/>
      <c r="T165" s="111"/>
      <c r="U165" s="12"/>
    </row>
    <row r="166" spans="1:25" x14ac:dyDescent="0.3">
      <c r="A166" s="2"/>
      <c r="B166" s="2"/>
      <c r="C166" s="2"/>
      <c r="D166" s="2"/>
      <c r="E166" s="11"/>
      <c r="F166" s="11"/>
      <c r="G166" s="2"/>
      <c r="H166" s="13"/>
      <c r="I166" s="13"/>
      <c r="J166" s="13"/>
      <c r="K166" s="6"/>
      <c r="L166" s="6"/>
      <c r="M166" s="6"/>
      <c r="N166" s="6"/>
      <c r="O166" s="6"/>
      <c r="P166" s="6"/>
      <c r="Q166" s="6"/>
      <c r="R166" s="6"/>
      <c r="S166" s="108"/>
      <c r="T166" s="111"/>
      <c r="U166" s="12"/>
    </row>
    <row r="167" spans="1:25" x14ac:dyDescent="0.3">
      <c r="A167" s="11"/>
      <c r="B167" s="2"/>
      <c r="C167" s="2"/>
      <c r="D167" s="2"/>
      <c r="E167" s="11"/>
      <c r="F167" s="11"/>
      <c r="G167" s="2"/>
      <c r="H167" s="13"/>
      <c r="I167" s="13"/>
      <c r="J167" s="13"/>
      <c r="K167" s="6"/>
      <c r="L167" s="6"/>
      <c r="M167" s="6"/>
      <c r="N167" s="6"/>
      <c r="O167" s="6"/>
      <c r="P167" s="6"/>
      <c r="Q167" s="6"/>
      <c r="R167" s="6"/>
      <c r="S167" s="108"/>
      <c r="T167" s="111"/>
      <c r="U167" s="12"/>
    </row>
    <row r="168" spans="1:25" x14ac:dyDescent="0.3">
      <c r="A168" s="2"/>
      <c r="B168" s="2"/>
      <c r="C168" s="2"/>
      <c r="D168" s="2"/>
      <c r="E168" s="11"/>
      <c r="F168" s="11"/>
      <c r="G168" s="2"/>
      <c r="H168" s="13"/>
      <c r="I168" s="13"/>
      <c r="J168" s="13"/>
      <c r="K168" s="6"/>
      <c r="L168" s="6"/>
      <c r="M168" s="6"/>
      <c r="N168" s="6"/>
      <c r="O168" s="6"/>
      <c r="P168" s="6"/>
      <c r="Q168" s="6"/>
      <c r="R168" s="6"/>
      <c r="S168" s="108"/>
      <c r="T168" s="111"/>
      <c r="U168" s="12"/>
    </row>
    <row r="169" spans="1:25" x14ac:dyDescent="0.3">
      <c r="A169" s="2"/>
      <c r="B169" s="2"/>
      <c r="C169" s="2"/>
      <c r="D169" s="2"/>
      <c r="E169" s="11"/>
      <c r="F169" s="11"/>
      <c r="G169" s="2"/>
      <c r="H169" s="13"/>
      <c r="I169" s="13"/>
      <c r="J169" s="13"/>
      <c r="K169" s="6"/>
      <c r="L169" s="6"/>
      <c r="M169" s="6"/>
      <c r="N169" s="6"/>
      <c r="O169" s="6"/>
      <c r="P169" s="6"/>
      <c r="Q169" s="6"/>
      <c r="R169" s="6"/>
      <c r="S169" s="108"/>
      <c r="T169" s="111"/>
      <c r="U169" s="12"/>
      <c r="V169" s="19"/>
      <c r="W169" s="19"/>
      <c r="X169" s="19"/>
      <c r="Y169" s="19"/>
    </row>
    <row r="170" spans="1:25" x14ac:dyDescent="0.3">
      <c r="A170" s="2"/>
      <c r="B170" s="2"/>
      <c r="C170" s="2"/>
      <c r="D170" s="2"/>
      <c r="E170" s="11"/>
      <c r="F170" s="11"/>
      <c r="G170" s="2"/>
      <c r="H170" s="13"/>
      <c r="I170" s="13"/>
      <c r="J170" s="13"/>
      <c r="K170" s="6"/>
      <c r="L170" s="6"/>
      <c r="M170" s="6"/>
      <c r="N170" s="6"/>
      <c r="O170" s="6"/>
      <c r="P170" s="6"/>
      <c r="Q170" s="6"/>
      <c r="R170" s="6"/>
      <c r="S170" s="108"/>
      <c r="T170" s="111"/>
      <c r="U170" s="12"/>
    </row>
    <row r="171" spans="1:25" x14ac:dyDescent="0.3">
      <c r="A171" s="2"/>
      <c r="B171" s="2"/>
      <c r="C171" s="2"/>
      <c r="D171" s="2"/>
      <c r="E171" s="11"/>
      <c r="F171" s="11"/>
      <c r="G171" s="2"/>
      <c r="H171" s="13"/>
      <c r="I171" s="13"/>
      <c r="J171" s="13"/>
      <c r="K171" s="6"/>
      <c r="L171" s="6"/>
      <c r="M171" s="6"/>
      <c r="N171" s="6"/>
      <c r="O171" s="6"/>
      <c r="P171" s="6"/>
      <c r="Q171" s="6"/>
      <c r="R171" s="6"/>
      <c r="S171" s="108"/>
      <c r="T171" s="111"/>
      <c r="U171" s="12"/>
    </row>
    <row r="172" spans="1:25" x14ac:dyDescent="0.3">
      <c r="A172" s="2"/>
      <c r="B172" s="2"/>
      <c r="C172" s="2"/>
      <c r="D172" s="2"/>
      <c r="E172" s="11"/>
      <c r="F172" s="11"/>
      <c r="G172" s="2"/>
      <c r="H172" s="13"/>
      <c r="I172" s="13"/>
      <c r="J172" s="13"/>
      <c r="K172" s="6"/>
      <c r="L172" s="6"/>
      <c r="M172" s="6"/>
      <c r="N172" s="6"/>
      <c r="O172" s="6"/>
      <c r="P172" s="6"/>
      <c r="Q172" s="6"/>
      <c r="R172" s="6"/>
      <c r="S172" s="108"/>
      <c r="T172" s="111"/>
      <c r="U172" s="12"/>
    </row>
    <row r="173" spans="1:25" x14ac:dyDescent="0.3">
      <c r="A173" s="11"/>
      <c r="B173" s="2"/>
      <c r="C173" s="2"/>
      <c r="D173" s="2"/>
      <c r="E173" s="11"/>
      <c r="F173" s="11"/>
      <c r="G173" s="2"/>
      <c r="H173" s="13"/>
      <c r="I173" s="13"/>
      <c r="J173" s="13"/>
      <c r="K173" s="6"/>
      <c r="L173" s="6"/>
      <c r="M173" s="6"/>
      <c r="N173" s="6"/>
      <c r="O173" s="6"/>
      <c r="P173" s="6"/>
      <c r="Q173" s="6"/>
      <c r="R173" s="6"/>
      <c r="S173" s="108"/>
      <c r="T173" s="111"/>
      <c r="U173" s="12"/>
    </row>
    <row r="174" spans="1:25" x14ac:dyDescent="0.3">
      <c r="A174" s="2"/>
      <c r="B174" s="2"/>
      <c r="C174" s="2"/>
      <c r="D174" s="2"/>
      <c r="E174" s="11"/>
      <c r="F174" s="11"/>
      <c r="G174" s="2"/>
      <c r="H174" s="13"/>
      <c r="I174" s="13"/>
      <c r="J174" s="13"/>
      <c r="K174" s="6"/>
      <c r="L174" s="6"/>
      <c r="M174" s="6"/>
      <c r="N174" s="6"/>
      <c r="O174" s="6"/>
      <c r="P174" s="6"/>
      <c r="Q174" s="6"/>
      <c r="R174" s="6"/>
      <c r="S174" s="108"/>
      <c r="T174" s="111"/>
      <c r="U174" s="12"/>
    </row>
    <row r="175" spans="1:25" x14ac:dyDescent="0.3">
      <c r="A175" s="11"/>
      <c r="B175" s="2"/>
      <c r="C175" s="2"/>
      <c r="D175" s="2"/>
      <c r="E175" s="11"/>
      <c r="F175" s="11"/>
      <c r="G175" s="2"/>
      <c r="H175" s="13"/>
      <c r="I175" s="13"/>
      <c r="J175" s="13"/>
      <c r="K175" s="6"/>
      <c r="L175" s="6"/>
      <c r="M175" s="6"/>
      <c r="N175" s="6"/>
      <c r="O175" s="6"/>
      <c r="P175" s="6"/>
      <c r="Q175" s="6"/>
      <c r="R175" s="6"/>
      <c r="S175" s="108"/>
      <c r="T175" s="111"/>
      <c r="U175" s="12"/>
    </row>
    <row r="176" spans="1:25" x14ac:dyDescent="0.3">
      <c r="A176" s="2"/>
      <c r="B176" s="2"/>
      <c r="C176" s="2"/>
      <c r="D176" s="2"/>
      <c r="E176" s="11"/>
      <c r="F176" s="11"/>
      <c r="G176" s="2"/>
      <c r="H176" s="13"/>
      <c r="I176" s="13"/>
      <c r="J176" s="13"/>
      <c r="K176" s="6"/>
      <c r="L176" s="6"/>
      <c r="M176" s="6"/>
      <c r="N176" s="6"/>
      <c r="O176" s="6"/>
      <c r="P176" s="6"/>
      <c r="Q176" s="6"/>
      <c r="R176" s="6"/>
      <c r="S176" s="108"/>
      <c r="T176" s="111"/>
      <c r="U176" s="12"/>
    </row>
    <row r="177" spans="1:21" x14ac:dyDescent="0.3">
      <c r="A177" s="2"/>
      <c r="B177" s="2"/>
      <c r="C177" s="2"/>
      <c r="D177" s="2"/>
      <c r="E177" s="11"/>
      <c r="F177" s="11"/>
      <c r="G177" s="2"/>
      <c r="H177" s="13"/>
      <c r="I177" s="13"/>
      <c r="J177" s="13"/>
      <c r="K177" s="6"/>
      <c r="L177" s="6"/>
      <c r="M177" s="6"/>
      <c r="N177" s="6"/>
      <c r="O177" s="6"/>
      <c r="P177" s="6"/>
      <c r="Q177" s="6"/>
      <c r="R177" s="6"/>
      <c r="S177" s="108"/>
      <c r="T177" s="111"/>
      <c r="U177" s="12"/>
    </row>
    <row r="178" spans="1:21" x14ac:dyDescent="0.3">
      <c r="A178" s="11"/>
      <c r="B178" s="2"/>
      <c r="C178" s="2"/>
      <c r="D178" s="2"/>
      <c r="E178" s="11"/>
      <c r="F178" s="11"/>
      <c r="G178" s="2"/>
      <c r="H178" s="13"/>
      <c r="I178" s="13"/>
      <c r="J178" s="13"/>
      <c r="K178" s="6"/>
      <c r="L178" s="6"/>
      <c r="M178" s="6"/>
      <c r="N178" s="6"/>
      <c r="O178" s="6"/>
      <c r="P178" s="6"/>
      <c r="Q178" s="6"/>
      <c r="R178" s="6"/>
      <c r="S178" s="108"/>
      <c r="T178" s="111"/>
      <c r="U178" s="12"/>
    </row>
    <row r="179" spans="1:21" x14ac:dyDescent="0.3">
      <c r="A179" s="2"/>
      <c r="B179" s="2"/>
      <c r="C179" s="2"/>
      <c r="D179" s="2"/>
      <c r="E179" s="11"/>
      <c r="F179" s="11"/>
      <c r="G179" s="2"/>
      <c r="H179" s="13"/>
      <c r="I179" s="13"/>
      <c r="J179" s="13"/>
      <c r="K179" s="6"/>
      <c r="L179" s="6"/>
      <c r="M179" s="6"/>
      <c r="N179" s="6"/>
      <c r="O179" s="6"/>
      <c r="P179" s="6"/>
      <c r="Q179" s="6"/>
      <c r="R179" s="6"/>
      <c r="S179" s="108"/>
      <c r="T179" s="111"/>
      <c r="U179" s="12"/>
    </row>
    <row r="180" spans="1:21" x14ac:dyDescent="0.3">
      <c r="A180" s="2"/>
      <c r="B180" s="2"/>
      <c r="C180" s="2"/>
      <c r="D180" s="2"/>
      <c r="E180" s="11"/>
      <c r="F180" s="11"/>
      <c r="G180" s="2"/>
      <c r="H180" s="13"/>
      <c r="I180" s="13"/>
      <c r="J180" s="13"/>
      <c r="K180" s="6"/>
      <c r="L180" s="6"/>
      <c r="M180" s="6"/>
      <c r="N180" s="6"/>
      <c r="O180" s="6"/>
      <c r="P180" s="6"/>
      <c r="Q180" s="6"/>
      <c r="R180" s="6"/>
      <c r="S180" s="108"/>
      <c r="T180" s="111"/>
      <c r="U180" s="12"/>
    </row>
    <row r="181" spans="1:21" x14ac:dyDescent="0.3">
      <c r="A181" s="2"/>
      <c r="B181" s="2"/>
      <c r="C181" s="2"/>
      <c r="D181" s="2"/>
      <c r="E181" s="11"/>
      <c r="F181" s="11"/>
      <c r="G181" s="2"/>
      <c r="H181" s="13"/>
      <c r="I181" s="13"/>
      <c r="J181" s="13"/>
      <c r="K181" s="6"/>
      <c r="L181" s="6"/>
      <c r="M181" s="6"/>
      <c r="N181" s="6"/>
      <c r="O181" s="6"/>
      <c r="P181" s="6"/>
      <c r="Q181" s="6"/>
      <c r="R181" s="6"/>
      <c r="S181" s="108"/>
      <c r="T181" s="111"/>
      <c r="U181" s="12"/>
    </row>
    <row r="182" spans="1:21" x14ac:dyDescent="0.3">
      <c r="A182" s="11"/>
      <c r="B182" s="2"/>
      <c r="C182" s="2"/>
      <c r="D182" s="2"/>
      <c r="E182" s="11"/>
      <c r="F182" s="11"/>
      <c r="G182" s="2"/>
      <c r="H182" s="13"/>
      <c r="I182" s="13"/>
      <c r="J182" s="13"/>
      <c r="K182" s="6"/>
      <c r="L182" s="6"/>
      <c r="M182" s="6"/>
      <c r="N182" s="6"/>
      <c r="O182" s="6"/>
      <c r="P182" s="6"/>
      <c r="Q182" s="6"/>
      <c r="R182" s="6"/>
      <c r="S182" s="108"/>
      <c r="T182" s="111"/>
      <c r="U182" s="12"/>
    </row>
    <row r="183" spans="1:21" x14ac:dyDescent="0.3">
      <c r="A183" s="2"/>
      <c r="B183" s="2"/>
      <c r="C183" s="2"/>
      <c r="D183" s="2"/>
      <c r="E183" s="11"/>
      <c r="F183" s="11"/>
      <c r="G183" s="2"/>
      <c r="H183" s="13"/>
      <c r="I183" s="13"/>
      <c r="J183" s="13"/>
      <c r="K183" s="6"/>
      <c r="L183" s="6"/>
      <c r="M183" s="6"/>
      <c r="N183" s="6"/>
      <c r="O183" s="6"/>
      <c r="P183" s="6"/>
      <c r="Q183" s="6"/>
      <c r="R183" s="6"/>
      <c r="S183" s="108"/>
      <c r="T183" s="111"/>
      <c r="U183" s="12"/>
    </row>
    <row r="184" spans="1:21" x14ac:dyDescent="0.3">
      <c r="A184" s="2"/>
      <c r="B184" s="2"/>
      <c r="C184" s="2"/>
      <c r="D184" s="2"/>
      <c r="E184" s="11"/>
      <c r="F184" s="11"/>
      <c r="G184" s="2"/>
      <c r="H184" s="13"/>
      <c r="I184" s="13"/>
      <c r="J184" s="13"/>
      <c r="K184" s="6"/>
      <c r="L184" s="6"/>
      <c r="M184" s="6"/>
      <c r="N184" s="6"/>
      <c r="O184" s="6"/>
      <c r="P184" s="6"/>
      <c r="Q184" s="6"/>
      <c r="R184" s="6"/>
      <c r="S184" s="108"/>
      <c r="T184" s="111"/>
      <c r="U184" s="12"/>
    </row>
    <row r="185" spans="1:21" x14ac:dyDescent="0.3">
      <c r="A185" s="2"/>
      <c r="B185" s="2"/>
      <c r="C185" s="2"/>
      <c r="D185" s="2"/>
      <c r="E185" s="11"/>
      <c r="F185" s="11"/>
      <c r="G185" s="2"/>
      <c r="H185" s="13"/>
      <c r="I185" s="13"/>
      <c r="J185" s="13"/>
      <c r="K185" s="6"/>
      <c r="L185" s="6"/>
      <c r="M185" s="6"/>
      <c r="N185" s="6"/>
      <c r="O185" s="6"/>
      <c r="P185" s="6"/>
      <c r="Q185" s="6"/>
      <c r="R185" s="6"/>
      <c r="S185" s="108"/>
      <c r="T185" s="111"/>
      <c r="U185" s="12"/>
    </row>
    <row r="186" spans="1:21" x14ac:dyDescent="0.3">
      <c r="A186" s="11"/>
      <c r="B186" s="2"/>
      <c r="C186" s="2"/>
      <c r="D186" s="2"/>
      <c r="E186" s="11"/>
      <c r="F186" s="11"/>
      <c r="G186" s="2"/>
      <c r="H186" s="13"/>
      <c r="I186" s="13"/>
      <c r="J186" s="13"/>
      <c r="K186" s="6"/>
      <c r="L186" s="6"/>
      <c r="M186" s="6"/>
      <c r="N186" s="6"/>
      <c r="O186" s="6"/>
      <c r="P186" s="6"/>
      <c r="Q186" s="6"/>
      <c r="R186" s="6"/>
      <c r="S186" s="108"/>
      <c r="T186" s="111"/>
      <c r="U186" s="12"/>
    </row>
    <row r="187" spans="1:21" x14ac:dyDescent="0.3">
      <c r="A187" s="2"/>
      <c r="B187" s="2"/>
      <c r="C187" s="2"/>
      <c r="D187" s="2"/>
      <c r="E187" s="11"/>
      <c r="F187" s="11"/>
      <c r="G187" s="2"/>
      <c r="H187" s="13"/>
      <c r="I187" s="13"/>
      <c r="J187" s="13"/>
      <c r="K187" s="6"/>
      <c r="L187" s="6"/>
      <c r="M187" s="6"/>
      <c r="N187" s="6"/>
      <c r="O187" s="6"/>
      <c r="P187" s="6"/>
      <c r="Q187" s="6"/>
      <c r="R187" s="6"/>
      <c r="S187" s="108"/>
      <c r="T187" s="111"/>
      <c r="U187" s="12"/>
    </row>
    <row r="188" spans="1:21" x14ac:dyDescent="0.3">
      <c r="A188" s="2"/>
      <c r="B188" s="2"/>
      <c r="C188" s="2"/>
      <c r="D188" s="2"/>
      <c r="E188" s="11"/>
      <c r="F188" s="11"/>
      <c r="G188" s="2"/>
      <c r="H188" s="13"/>
      <c r="I188" s="13"/>
      <c r="J188" s="13"/>
      <c r="K188" s="6"/>
      <c r="L188" s="6"/>
      <c r="M188" s="6"/>
      <c r="N188" s="6"/>
      <c r="O188" s="6"/>
      <c r="P188" s="6"/>
      <c r="Q188" s="6"/>
      <c r="R188" s="6"/>
      <c r="S188" s="108"/>
      <c r="T188" s="111"/>
      <c r="U188" s="12"/>
    </row>
    <row r="189" spans="1:21" x14ac:dyDescent="0.3">
      <c r="A189" s="2"/>
      <c r="B189" s="2"/>
      <c r="C189" s="2"/>
      <c r="D189" s="2"/>
      <c r="E189" s="11"/>
      <c r="F189" s="11"/>
      <c r="G189" s="2"/>
      <c r="H189" s="13"/>
      <c r="I189" s="13"/>
      <c r="J189" s="13"/>
      <c r="K189" s="6"/>
      <c r="L189" s="6"/>
      <c r="M189" s="6"/>
      <c r="N189" s="6"/>
      <c r="O189" s="6"/>
      <c r="P189" s="6"/>
      <c r="Q189" s="6"/>
      <c r="R189" s="6"/>
      <c r="S189" s="108"/>
      <c r="T189" s="111"/>
      <c r="U189" s="12"/>
    </row>
    <row r="190" spans="1:21" x14ac:dyDescent="0.3">
      <c r="A190" s="11"/>
      <c r="B190" s="2"/>
      <c r="C190" s="2"/>
      <c r="D190" s="2"/>
      <c r="E190" s="11"/>
      <c r="F190" s="11"/>
      <c r="G190" s="2"/>
      <c r="H190" s="13"/>
      <c r="I190" s="13"/>
      <c r="J190" s="13"/>
      <c r="K190" s="6"/>
      <c r="L190" s="6"/>
      <c r="M190" s="6"/>
      <c r="N190" s="6"/>
      <c r="O190" s="6"/>
      <c r="P190" s="6"/>
      <c r="Q190" s="6"/>
      <c r="R190" s="6"/>
      <c r="S190" s="108"/>
      <c r="T190" s="111"/>
      <c r="U190" s="12"/>
    </row>
    <row r="191" spans="1:21" x14ac:dyDescent="0.3">
      <c r="A191" s="2"/>
      <c r="B191" s="2"/>
      <c r="C191" s="2"/>
      <c r="D191" s="2"/>
      <c r="E191" s="11"/>
      <c r="F191" s="11"/>
      <c r="G191" s="2"/>
      <c r="H191" s="13"/>
      <c r="I191" s="13"/>
      <c r="J191" s="13"/>
      <c r="K191" s="6"/>
      <c r="L191" s="6"/>
      <c r="M191" s="6"/>
      <c r="N191" s="6"/>
      <c r="O191" s="6"/>
      <c r="P191" s="6"/>
      <c r="Q191" s="6"/>
      <c r="R191" s="6"/>
      <c r="S191" s="108"/>
      <c r="T191" s="111"/>
      <c r="U191" s="12"/>
    </row>
    <row r="192" spans="1:21" x14ac:dyDescent="0.3">
      <c r="A192" s="2"/>
      <c r="B192" s="2"/>
      <c r="C192" s="2"/>
      <c r="D192" s="2"/>
      <c r="E192" s="11"/>
      <c r="F192" s="11"/>
      <c r="G192" s="2"/>
      <c r="H192" s="13"/>
      <c r="I192" s="13"/>
      <c r="J192" s="13"/>
      <c r="K192" s="6"/>
      <c r="L192" s="6"/>
      <c r="M192" s="6"/>
      <c r="N192" s="6"/>
      <c r="O192" s="6"/>
      <c r="P192" s="6"/>
      <c r="Q192" s="6"/>
      <c r="R192" s="6"/>
      <c r="S192" s="108"/>
      <c r="T192" s="111"/>
      <c r="U192" s="12"/>
    </row>
    <row r="193" spans="1:21" x14ac:dyDescent="0.3">
      <c r="A193" s="2"/>
      <c r="B193" s="2"/>
      <c r="C193" s="2"/>
      <c r="D193" s="2"/>
      <c r="E193" s="11"/>
      <c r="F193" s="11"/>
      <c r="G193" s="2"/>
      <c r="H193" s="13"/>
      <c r="I193" s="13"/>
      <c r="J193" s="13"/>
      <c r="K193" s="6"/>
      <c r="L193" s="6"/>
      <c r="M193" s="6"/>
      <c r="N193" s="6"/>
      <c r="O193" s="6"/>
      <c r="P193" s="6"/>
      <c r="Q193" s="6"/>
      <c r="R193" s="6"/>
      <c r="S193" s="108"/>
      <c r="T193" s="111"/>
      <c r="U193" s="12"/>
    </row>
    <row r="194" spans="1:21" x14ac:dyDescent="0.3">
      <c r="A194" s="11"/>
      <c r="B194" s="2"/>
      <c r="C194" s="2"/>
      <c r="D194" s="2"/>
      <c r="E194" s="11"/>
      <c r="F194" s="11"/>
      <c r="G194" s="2"/>
      <c r="H194" s="13"/>
      <c r="I194" s="13"/>
      <c r="J194" s="13"/>
      <c r="K194" s="6"/>
      <c r="L194" s="6"/>
      <c r="M194" s="6"/>
      <c r="N194" s="6"/>
      <c r="O194" s="6"/>
      <c r="P194" s="6"/>
      <c r="Q194" s="6"/>
      <c r="R194" s="6"/>
      <c r="S194" s="108"/>
      <c r="T194" s="111"/>
      <c r="U194" s="12"/>
    </row>
    <row r="195" spans="1:21" x14ac:dyDescent="0.3">
      <c r="A195" s="2"/>
      <c r="B195" s="2"/>
      <c r="C195" s="2"/>
      <c r="D195" s="2"/>
      <c r="E195" s="11"/>
      <c r="F195" s="11"/>
      <c r="G195" s="2"/>
      <c r="H195" s="13"/>
      <c r="I195" s="13"/>
      <c r="J195" s="13"/>
      <c r="K195" s="6"/>
      <c r="L195" s="6"/>
      <c r="M195" s="6"/>
      <c r="N195" s="6"/>
      <c r="O195" s="6"/>
      <c r="P195" s="6"/>
      <c r="Q195" s="6"/>
      <c r="R195" s="6"/>
      <c r="S195" s="108"/>
      <c r="T195" s="111"/>
      <c r="U195" s="12"/>
    </row>
    <row r="196" spans="1:21" x14ac:dyDescent="0.3">
      <c r="A196" s="2"/>
      <c r="B196" s="2"/>
      <c r="C196" s="2"/>
      <c r="D196" s="2"/>
      <c r="E196" s="11"/>
      <c r="F196" s="11"/>
      <c r="G196" s="2"/>
      <c r="H196" s="13"/>
      <c r="I196" s="13"/>
      <c r="J196" s="13"/>
      <c r="K196" s="6"/>
      <c r="L196" s="6"/>
      <c r="M196" s="6"/>
      <c r="N196" s="6"/>
      <c r="O196" s="6"/>
      <c r="P196" s="6"/>
      <c r="Q196" s="6"/>
      <c r="R196" s="6"/>
      <c r="S196" s="108"/>
      <c r="T196" s="111"/>
      <c r="U196" s="12"/>
    </row>
    <row r="197" spans="1:21" x14ac:dyDescent="0.3">
      <c r="A197" s="2"/>
      <c r="B197" s="2"/>
      <c r="C197" s="2"/>
      <c r="D197" s="2"/>
      <c r="E197" s="11"/>
      <c r="F197" s="11"/>
      <c r="G197" s="2"/>
      <c r="H197" s="13"/>
      <c r="I197" s="13"/>
      <c r="J197" s="13"/>
      <c r="K197" s="6"/>
      <c r="L197" s="6"/>
      <c r="M197" s="6"/>
      <c r="N197" s="6"/>
      <c r="O197" s="6"/>
      <c r="P197" s="6"/>
      <c r="Q197" s="6"/>
      <c r="R197" s="6"/>
      <c r="S197" s="108"/>
      <c r="T197" s="111"/>
      <c r="U197" s="12"/>
    </row>
    <row r="198" spans="1:21" x14ac:dyDescent="0.3">
      <c r="A198" s="2"/>
      <c r="B198" s="2"/>
      <c r="C198" s="2"/>
      <c r="D198" s="2"/>
      <c r="E198" s="11"/>
      <c r="F198" s="11"/>
      <c r="G198" s="2"/>
      <c r="H198" s="13"/>
      <c r="I198" s="13"/>
      <c r="J198" s="13"/>
      <c r="K198" s="6"/>
      <c r="L198" s="6"/>
      <c r="M198" s="6"/>
      <c r="N198" s="6"/>
      <c r="O198" s="6"/>
      <c r="P198" s="6"/>
      <c r="Q198" s="6"/>
      <c r="R198" s="6"/>
      <c r="S198" s="108"/>
      <c r="T198" s="111"/>
      <c r="U198" s="12"/>
    </row>
    <row r="199" spans="1:21" x14ac:dyDescent="0.3">
      <c r="A199" s="2"/>
      <c r="B199" s="2"/>
      <c r="C199" s="2"/>
      <c r="D199" s="2"/>
      <c r="E199" s="11"/>
      <c r="F199" s="11"/>
      <c r="G199" s="2"/>
      <c r="H199" s="13"/>
      <c r="I199" s="13"/>
      <c r="J199" s="13"/>
      <c r="K199" s="6"/>
      <c r="L199" s="6"/>
      <c r="M199" s="6"/>
      <c r="N199" s="6"/>
      <c r="O199" s="6"/>
      <c r="P199" s="6"/>
      <c r="Q199" s="6"/>
      <c r="R199" s="6"/>
      <c r="S199" s="108"/>
      <c r="T199" s="111"/>
      <c r="U199" s="12"/>
    </row>
    <row r="200" spans="1:21" x14ac:dyDescent="0.3">
      <c r="A200" s="2"/>
      <c r="B200" s="2"/>
      <c r="C200" s="2"/>
      <c r="D200" s="2"/>
      <c r="E200" s="11"/>
      <c r="F200" s="11"/>
      <c r="G200" s="2"/>
      <c r="H200" s="13"/>
      <c r="I200" s="13"/>
      <c r="J200" s="13"/>
      <c r="K200" s="6"/>
      <c r="L200" s="6"/>
      <c r="M200" s="6"/>
      <c r="N200" s="6"/>
      <c r="O200" s="6"/>
      <c r="P200" s="6"/>
      <c r="Q200" s="6"/>
      <c r="R200" s="6"/>
      <c r="S200" s="108"/>
      <c r="T200" s="111"/>
      <c r="U200" s="12"/>
    </row>
    <row r="201" spans="1:21" x14ac:dyDescent="0.3">
      <c r="A201" s="2"/>
      <c r="B201" s="2"/>
      <c r="C201" s="2"/>
      <c r="D201" s="2"/>
      <c r="E201" s="11"/>
      <c r="F201" s="11"/>
      <c r="G201" s="2"/>
      <c r="H201" s="13"/>
      <c r="I201" s="13"/>
      <c r="J201" s="13"/>
      <c r="K201" s="6"/>
      <c r="L201" s="6"/>
      <c r="M201" s="6"/>
      <c r="N201" s="6"/>
      <c r="O201" s="6"/>
      <c r="P201" s="6"/>
      <c r="Q201" s="6"/>
      <c r="R201" s="6"/>
      <c r="S201" s="108"/>
      <c r="T201" s="111"/>
      <c r="U201" s="12"/>
    </row>
    <row r="202" spans="1:21" x14ac:dyDescent="0.3">
      <c r="A202" s="2"/>
      <c r="B202" s="2"/>
      <c r="C202" s="2"/>
      <c r="D202" s="2"/>
      <c r="E202" s="11"/>
      <c r="F202" s="11"/>
      <c r="G202" s="2"/>
      <c r="H202" s="13"/>
      <c r="I202" s="13"/>
      <c r="J202" s="13"/>
      <c r="K202" s="6"/>
      <c r="L202" s="6"/>
      <c r="M202" s="6"/>
      <c r="N202" s="6"/>
      <c r="O202" s="6"/>
      <c r="P202" s="6"/>
      <c r="Q202" s="6"/>
      <c r="R202" s="6"/>
      <c r="S202" s="108"/>
      <c r="T202" s="111"/>
      <c r="U202" s="12"/>
    </row>
    <row r="203" spans="1:21" x14ac:dyDescent="0.3">
      <c r="A203" s="2"/>
      <c r="B203" s="2"/>
      <c r="C203" s="2"/>
      <c r="D203" s="2"/>
      <c r="E203" s="11"/>
      <c r="F203" s="11"/>
      <c r="G203" s="2"/>
      <c r="H203" s="13"/>
      <c r="I203" s="13"/>
      <c r="J203" s="13"/>
      <c r="K203" s="6"/>
      <c r="L203" s="6"/>
      <c r="M203" s="6"/>
      <c r="N203" s="6"/>
      <c r="O203" s="6"/>
      <c r="P203" s="6"/>
      <c r="Q203" s="6"/>
      <c r="R203" s="6"/>
      <c r="S203" s="108"/>
      <c r="T203" s="111"/>
      <c r="U203" s="12"/>
    </row>
    <row r="204" spans="1:21" x14ac:dyDescent="0.3">
      <c r="A204" s="11"/>
      <c r="B204" s="2"/>
      <c r="C204" s="2"/>
      <c r="D204" s="2"/>
      <c r="E204" s="11"/>
      <c r="F204" s="11"/>
      <c r="G204" s="2"/>
      <c r="H204" s="13"/>
      <c r="I204" s="13"/>
      <c r="J204" s="13"/>
      <c r="K204" s="6"/>
      <c r="L204" s="6"/>
      <c r="M204" s="6"/>
      <c r="N204" s="6"/>
      <c r="O204" s="6"/>
      <c r="P204" s="6"/>
      <c r="Q204" s="6"/>
      <c r="R204" s="6"/>
      <c r="S204" s="108"/>
      <c r="T204" s="111"/>
      <c r="U204" s="12"/>
    </row>
    <row r="205" spans="1:21" x14ac:dyDescent="0.3">
      <c r="A205" s="2"/>
      <c r="B205" s="2"/>
      <c r="C205" s="2"/>
      <c r="D205" s="2"/>
      <c r="E205" s="11"/>
      <c r="F205" s="11"/>
      <c r="G205" s="2"/>
      <c r="H205" s="13"/>
      <c r="I205" s="13"/>
      <c r="J205" s="13"/>
      <c r="K205" s="6"/>
      <c r="L205" s="6"/>
      <c r="M205" s="6"/>
      <c r="N205" s="6"/>
      <c r="O205" s="6"/>
      <c r="P205" s="6"/>
      <c r="Q205" s="6"/>
      <c r="R205" s="6"/>
      <c r="S205" s="108"/>
      <c r="T205" s="111"/>
      <c r="U205" s="12"/>
    </row>
    <row r="206" spans="1:21" x14ac:dyDescent="0.3">
      <c r="A206" s="2"/>
      <c r="B206" s="2"/>
      <c r="C206" s="2"/>
      <c r="D206" s="2"/>
      <c r="E206" s="11"/>
      <c r="F206" s="11"/>
      <c r="G206" s="2"/>
      <c r="H206" s="13"/>
      <c r="I206" s="13"/>
      <c r="J206" s="13"/>
      <c r="K206" s="6"/>
      <c r="L206" s="6"/>
      <c r="M206" s="6"/>
      <c r="N206" s="6"/>
      <c r="O206" s="6"/>
      <c r="P206" s="6"/>
      <c r="Q206" s="6"/>
      <c r="R206" s="6"/>
      <c r="S206" s="108"/>
      <c r="T206" s="111"/>
      <c r="U206" s="12"/>
    </row>
    <row r="207" spans="1:21" x14ac:dyDescent="0.3">
      <c r="A207" s="2"/>
      <c r="B207" s="2"/>
      <c r="C207" s="2"/>
      <c r="D207" s="2"/>
      <c r="E207" s="11"/>
      <c r="F207" s="11"/>
      <c r="G207" s="2"/>
      <c r="H207" s="13"/>
      <c r="I207" s="13"/>
      <c r="J207" s="13"/>
      <c r="K207" s="6"/>
      <c r="L207" s="6"/>
      <c r="M207" s="6"/>
      <c r="N207" s="6"/>
      <c r="O207" s="6"/>
      <c r="P207" s="6"/>
      <c r="Q207" s="6"/>
      <c r="R207" s="6"/>
      <c r="S207" s="108"/>
      <c r="T207" s="111"/>
      <c r="U207" s="12"/>
    </row>
    <row r="208" spans="1:21" x14ac:dyDescent="0.3">
      <c r="A208" s="2"/>
      <c r="B208" s="2"/>
      <c r="C208" s="2"/>
      <c r="D208" s="2"/>
      <c r="E208" s="11"/>
      <c r="F208" s="11"/>
      <c r="G208" s="2"/>
      <c r="H208" s="13"/>
      <c r="I208" s="13"/>
      <c r="J208" s="13"/>
      <c r="K208" s="6"/>
      <c r="L208" s="6"/>
      <c r="M208" s="6"/>
      <c r="N208" s="6"/>
      <c r="O208" s="6"/>
      <c r="P208" s="6"/>
      <c r="Q208" s="6"/>
      <c r="R208" s="6"/>
      <c r="S208" s="108"/>
      <c r="T208" s="111"/>
      <c r="U208" s="12"/>
    </row>
    <row r="209" spans="1:21" x14ac:dyDescent="0.3">
      <c r="A209" s="2"/>
      <c r="B209" s="2"/>
      <c r="C209" s="2"/>
      <c r="D209" s="2"/>
      <c r="E209" s="11"/>
      <c r="F209" s="11"/>
      <c r="G209" s="2"/>
      <c r="H209" s="13"/>
      <c r="I209" s="13"/>
      <c r="J209" s="13"/>
      <c r="K209" s="6"/>
      <c r="L209" s="6"/>
      <c r="M209" s="6"/>
      <c r="N209" s="6"/>
      <c r="O209" s="6"/>
      <c r="P209" s="6"/>
      <c r="Q209" s="6"/>
      <c r="R209" s="6"/>
      <c r="S209" s="108"/>
      <c r="T209" s="111"/>
      <c r="U209" s="12"/>
    </row>
    <row r="210" spans="1:21" x14ac:dyDescent="0.3">
      <c r="A210" s="2"/>
      <c r="B210" s="2"/>
      <c r="C210" s="2"/>
      <c r="D210" s="2"/>
      <c r="E210" s="11"/>
      <c r="F210" s="11"/>
      <c r="G210" s="2"/>
      <c r="H210" s="13"/>
      <c r="I210" s="13"/>
      <c r="J210" s="13"/>
      <c r="K210" s="6"/>
      <c r="L210" s="6"/>
      <c r="M210" s="6"/>
      <c r="N210" s="6"/>
      <c r="O210" s="6"/>
      <c r="P210" s="6"/>
      <c r="Q210" s="6"/>
      <c r="R210" s="6"/>
      <c r="S210" s="108"/>
      <c r="T210" s="111"/>
      <c r="U210" s="12"/>
    </row>
    <row r="211" spans="1:21" x14ac:dyDescent="0.3">
      <c r="A211" s="2"/>
      <c r="B211" s="2"/>
      <c r="C211" s="2"/>
      <c r="D211" s="2"/>
      <c r="E211" s="11"/>
      <c r="F211" s="11"/>
      <c r="G211" s="2"/>
      <c r="H211" s="13"/>
      <c r="I211" s="13"/>
      <c r="J211" s="13"/>
      <c r="K211" s="6"/>
      <c r="L211" s="6"/>
      <c r="M211" s="6"/>
      <c r="N211" s="6"/>
      <c r="O211" s="6"/>
      <c r="P211" s="6"/>
      <c r="Q211" s="6"/>
      <c r="R211" s="6"/>
      <c r="S211" s="108"/>
      <c r="T211" s="111"/>
      <c r="U211" s="12"/>
    </row>
    <row r="212" spans="1:21" x14ac:dyDescent="0.3">
      <c r="A212" s="2"/>
      <c r="B212" s="2"/>
      <c r="C212" s="2"/>
      <c r="D212" s="2"/>
      <c r="E212" s="11"/>
      <c r="F212" s="11"/>
      <c r="G212" s="2"/>
      <c r="H212" s="13"/>
      <c r="I212" s="13"/>
      <c r="J212" s="13"/>
      <c r="K212" s="6"/>
      <c r="L212" s="6"/>
      <c r="M212" s="6"/>
      <c r="N212" s="6"/>
      <c r="O212" s="6"/>
      <c r="P212" s="6"/>
      <c r="Q212" s="6"/>
      <c r="R212" s="6"/>
      <c r="S212" s="108"/>
      <c r="T212" s="111"/>
      <c r="U212" s="12"/>
    </row>
    <row r="213" spans="1:21" x14ac:dyDescent="0.3">
      <c r="A213" s="2"/>
      <c r="B213" s="2"/>
      <c r="C213" s="2"/>
      <c r="D213" s="2"/>
      <c r="E213" s="11"/>
      <c r="F213" s="11"/>
      <c r="G213" s="2"/>
      <c r="H213" s="13"/>
      <c r="I213" s="13"/>
      <c r="J213" s="13"/>
      <c r="K213" s="6"/>
      <c r="L213" s="6"/>
      <c r="M213" s="6"/>
      <c r="N213" s="6"/>
      <c r="O213" s="6"/>
      <c r="P213" s="6"/>
      <c r="Q213" s="6"/>
      <c r="R213" s="6"/>
      <c r="S213" s="108"/>
      <c r="T213" s="111"/>
      <c r="U213" s="12"/>
    </row>
    <row r="214" spans="1:21" x14ac:dyDescent="0.3">
      <c r="A214" s="2"/>
      <c r="B214" s="2"/>
      <c r="C214" s="2"/>
      <c r="D214" s="2"/>
      <c r="E214" s="11"/>
      <c r="F214" s="11"/>
      <c r="G214" s="2"/>
      <c r="H214" s="13"/>
      <c r="I214" s="13"/>
      <c r="J214" s="13"/>
      <c r="K214" s="6"/>
      <c r="L214" s="6"/>
      <c r="M214" s="6"/>
      <c r="N214" s="6"/>
      <c r="O214" s="6"/>
      <c r="P214" s="6"/>
      <c r="Q214" s="6"/>
      <c r="R214" s="6"/>
      <c r="S214" s="108"/>
      <c r="T214" s="111"/>
      <c r="U214" s="12"/>
    </row>
    <row r="215" spans="1:21" x14ac:dyDescent="0.3">
      <c r="A215" s="2"/>
      <c r="B215" s="2"/>
      <c r="C215" s="2"/>
      <c r="D215" s="2"/>
      <c r="E215" s="11"/>
      <c r="F215" s="11"/>
      <c r="G215" s="2"/>
      <c r="H215" s="13"/>
      <c r="I215" s="13"/>
      <c r="J215" s="13"/>
      <c r="K215" s="6"/>
      <c r="L215" s="6"/>
      <c r="M215" s="6"/>
      <c r="N215" s="6"/>
      <c r="O215" s="6"/>
      <c r="P215" s="6"/>
      <c r="Q215" s="6"/>
      <c r="R215" s="6"/>
      <c r="S215" s="108"/>
      <c r="T215" s="111"/>
      <c r="U215" s="12"/>
    </row>
    <row r="216" spans="1:21" x14ac:dyDescent="0.3">
      <c r="A216" s="2"/>
      <c r="B216" s="2"/>
      <c r="C216" s="2"/>
      <c r="D216" s="2"/>
      <c r="E216" s="11"/>
      <c r="F216" s="11"/>
      <c r="G216" s="2"/>
      <c r="H216" s="13"/>
      <c r="I216" s="13"/>
      <c r="J216" s="13"/>
      <c r="K216" s="6"/>
      <c r="L216" s="6"/>
      <c r="M216" s="6"/>
      <c r="N216" s="6"/>
      <c r="O216" s="6"/>
      <c r="P216" s="6"/>
      <c r="Q216" s="6"/>
      <c r="R216" s="6"/>
      <c r="S216" s="108"/>
      <c r="T216" s="111"/>
      <c r="U216" s="12"/>
    </row>
    <row r="217" spans="1:21" x14ac:dyDescent="0.3">
      <c r="A217" s="2"/>
      <c r="B217" s="2"/>
      <c r="C217" s="2"/>
      <c r="D217" s="2"/>
      <c r="E217" s="11"/>
      <c r="F217" s="11"/>
      <c r="G217" s="2"/>
      <c r="H217" s="13"/>
      <c r="I217" s="13"/>
      <c r="J217" s="13"/>
      <c r="K217" s="6"/>
      <c r="L217" s="6"/>
      <c r="M217" s="6"/>
      <c r="N217" s="6"/>
      <c r="O217" s="6"/>
      <c r="P217" s="6"/>
      <c r="Q217" s="6"/>
      <c r="R217" s="6"/>
      <c r="S217" s="108"/>
      <c r="T217" s="111"/>
      <c r="U217" s="12"/>
    </row>
    <row r="218" spans="1:21" x14ac:dyDescent="0.3">
      <c r="A218" s="2"/>
      <c r="B218" s="2"/>
      <c r="C218" s="2"/>
      <c r="D218" s="2"/>
      <c r="E218" s="11"/>
      <c r="F218" s="11"/>
      <c r="G218" s="2"/>
      <c r="H218" s="13"/>
      <c r="I218" s="13"/>
      <c r="J218" s="13"/>
      <c r="K218" s="6"/>
      <c r="L218" s="6"/>
      <c r="M218" s="6"/>
      <c r="N218" s="6"/>
      <c r="O218" s="6"/>
      <c r="P218" s="6"/>
      <c r="Q218" s="6"/>
      <c r="R218" s="6"/>
      <c r="S218" s="108"/>
      <c r="T218" s="111"/>
      <c r="U218" s="12"/>
    </row>
    <row r="219" spans="1:21" x14ac:dyDescent="0.3">
      <c r="A219" s="2"/>
      <c r="B219" s="2"/>
      <c r="C219" s="2"/>
      <c r="D219" s="2"/>
      <c r="E219" s="11"/>
      <c r="F219" s="11"/>
      <c r="G219" s="2"/>
      <c r="H219" s="13"/>
      <c r="I219" s="13"/>
      <c r="J219" s="13"/>
      <c r="K219" s="6"/>
      <c r="L219" s="6"/>
      <c r="M219" s="6"/>
      <c r="N219" s="6"/>
      <c r="O219" s="6"/>
      <c r="P219" s="6"/>
      <c r="Q219" s="6"/>
      <c r="R219" s="6"/>
      <c r="S219" s="108"/>
      <c r="T219" s="111"/>
      <c r="U219" s="12"/>
    </row>
    <row r="220" spans="1:21" x14ac:dyDescent="0.3">
      <c r="A220" s="2"/>
      <c r="B220" s="2"/>
      <c r="C220" s="2"/>
      <c r="D220" s="2"/>
      <c r="E220" s="11"/>
      <c r="F220" s="11"/>
      <c r="G220" s="2"/>
      <c r="H220" s="13"/>
      <c r="I220" s="13"/>
      <c r="J220" s="13"/>
      <c r="K220" s="6"/>
      <c r="L220" s="6"/>
      <c r="M220" s="6"/>
      <c r="N220" s="6"/>
      <c r="O220" s="6"/>
      <c r="P220" s="6"/>
      <c r="Q220" s="6"/>
      <c r="R220" s="6"/>
      <c r="S220" s="108"/>
      <c r="T220" s="111"/>
      <c r="U220" s="12"/>
    </row>
    <row r="221" spans="1:21" x14ac:dyDescent="0.3">
      <c r="A221" s="2"/>
      <c r="B221" s="2"/>
      <c r="C221" s="2"/>
      <c r="D221" s="2"/>
      <c r="E221" s="11"/>
      <c r="F221" s="11"/>
      <c r="G221" s="2"/>
      <c r="H221" s="13"/>
      <c r="I221" s="13"/>
      <c r="J221" s="13"/>
      <c r="K221" s="6"/>
      <c r="L221" s="6"/>
      <c r="M221" s="6"/>
      <c r="N221" s="6"/>
      <c r="O221" s="6"/>
      <c r="P221" s="6"/>
      <c r="Q221" s="6"/>
      <c r="R221" s="6"/>
      <c r="S221" s="108"/>
      <c r="T221" s="111"/>
      <c r="U221" s="12"/>
    </row>
    <row r="222" spans="1:21" x14ac:dyDescent="0.3">
      <c r="A222" s="2"/>
      <c r="B222" s="2"/>
      <c r="C222" s="2"/>
      <c r="D222" s="2"/>
      <c r="E222" s="11"/>
      <c r="F222" s="11"/>
      <c r="G222" s="2"/>
      <c r="H222" s="13"/>
      <c r="I222" s="13"/>
      <c r="J222" s="13"/>
      <c r="K222" s="6"/>
      <c r="L222" s="6"/>
      <c r="M222" s="6"/>
      <c r="N222" s="6"/>
      <c r="O222" s="6"/>
      <c r="P222" s="6"/>
      <c r="Q222" s="6"/>
      <c r="R222" s="6"/>
      <c r="S222" s="108"/>
      <c r="T222" s="111"/>
      <c r="U222" s="12"/>
    </row>
    <row r="223" spans="1:21" x14ac:dyDescent="0.3">
      <c r="A223" s="11"/>
      <c r="B223" s="2"/>
      <c r="C223" s="2"/>
      <c r="D223" s="2"/>
      <c r="E223" s="11"/>
      <c r="F223" s="11"/>
      <c r="G223" s="2"/>
      <c r="H223" s="13"/>
      <c r="I223" s="13"/>
      <c r="J223" s="13"/>
      <c r="K223" s="6"/>
      <c r="L223" s="6"/>
      <c r="M223" s="6"/>
      <c r="N223" s="6"/>
      <c r="O223" s="6"/>
      <c r="P223" s="6"/>
      <c r="Q223" s="6"/>
      <c r="R223" s="6"/>
      <c r="S223" s="108"/>
      <c r="T223" s="111"/>
      <c r="U223" s="12"/>
    </row>
    <row r="224" spans="1:21" x14ac:dyDescent="0.3">
      <c r="A224" s="2"/>
      <c r="B224" s="2"/>
      <c r="C224" s="2"/>
      <c r="D224" s="2"/>
      <c r="E224" s="11"/>
      <c r="F224" s="11"/>
      <c r="G224" s="2"/>
      <c r="H224" s="13"/>
      <c r="I224" s="13"/>
      <c r="J224" s="13"/>
      <c r="K224" s="6"/>
      <c r="L224" s="6"/>
      <c r="M224" s="6"/>
      <c r="N224" s="6"/>
      <c r="O224" s="6"/>
      <c r="P224" s="6"/>
      <c r="Q224" s="6"/>
      <c r="R224" s="6"/>
      <c r="S224" s="108"/>
      <c r="T224" s="111"/>
      <c r="U224" s="12"/>
    </row>
    <row r="225" spans="1:21" x14ac:dyDescent="0.3">
      <c r="A225" s="2"/>
      <c r="B225" s="2"/>
      <c r="C225" s="2"/>
      <c r="D225" s="2"/>
      <c r="E225" s="11"/>
      <c r="F225" s="11"/>
      <c r="G225" s="2"/>
      <c r="H225" s="13"/>
      <c r="I225" s="13"/>
      <c r="J225" s="13"/>
      <c r="K225" s="6"/>
      <c r="L225" s="6"/>
      <c r="M225" s="6"/>
      <c r="N225" s="6"/>
      <c r="O225" s="6"/>
      <c r="P225" s="6"/>
      <c r="Q225" s="6"/>
      <c r="R225" s="6"/>
      <c r="S225" s="108"/>
      <c r="T225" s="111"/>
      <c r="U225" s="12"/>
    </row>
    <row r="226" spans="1:21" x14ac:dyDescent="0.3">
      <c r="A226" s="2"/>
      <c r="B226" s="2"/>
      <c r="C226" s="2"/>
      <c r="D226" s="2"/>
      <c r="E226" s="11"/>
      <c r="F226" s="11"/>
      <c r="G226" s="2"/>
      <c r="H226" s="13"/>
      <c r="I226" s="13"/>
      <c r="J226" s="13"/>
      <c r="K226" s="6"/>
      <c r="L226" s="6"/>
      <c r="M226" s="6"/>
      <c r="N226" s="6"/>
      <c r="O226" s="6"/>
      <c r="P226" s="6"/>
      <c r="Q226" s="6"/>
      <c r="R226" s="6"/>
      <c r="S226" s="108"/>
      <c r="T226" s="111"/>
      <c r="U226" s="12"/>
    </row>
    <row r="227" spans="1:21" x14ac:dyDescent="0.3">
      <c r="A227" s="2"/>
      <c r="B227" s="2"/>
      <c r="C227" s="2"/>
      <c r="D227" s="2"/>
      <c r="E227" s="11"/>
      <c r="F227" s="11"/>
      <c r="G227" s="2"/>
      <c r="H227" s="13"/>
      <c r="I227" s="13"/>
      <c r="J227" s="13"/>
      <c r="K227" s="6"/>
      <c r="L227" s="6"/>
      <c r="M227" s="6"/>
      <c r="N227" s="6"/>
      <c r="O227" s="6"/>
      <c r="P227" s="6"/>
      <c r="Q227" s="6"/>
      <c r="R227" s="6"/>
      <c r="S227" s="108"/>
      <c r="T227" s="111"/>
      <c r="U227" s="12"/>
    </row>
    <row r="228" spans="1:21" x14ac:dyDescent="0.3">
      <c r="A228" s="2"/>
      <c r="B228" s="2"/>
      <c r="C228" s="2"/>
      <c r="D228" s="2"/>
      <c r="E228" s="11"/>
      <c r="F228" s="11"/>
      <c r="G228" s="2"/>
      <c r="H228" s="13"/>
      <c r="I228" s="13"/>
      <c r="J228" s="13"/>
      <c r="K228" s="6"/>
      <c r="L228" s="6"/>
      <c r="M228" s="6"/>
      <c r="N228" s="6"/>
      <c r="O228" s="6"/>
      <c r="P228" s="6"/>
      <c r="Q228" s="6"/>
      <c r="R228" s="6"/>
      <c r="S228" s="108"/>
      <c r="T228" s="111"/>
      <c r="U228" s="12"/>
    </row>
    <row r="229" spans="1:21" x14ac:dyDescent="0.3">
      <c r="A229" s="2"/>
      <c r="B229" s="2"/>
      <c r="C229" s="2"/>
      <c r="D229" s="2"/>
      <c r="E229" s="11"/>
      <c r="F229" s="11"/>
      <c r="G229" s="2"/>
      <c r="H229" s="13"/>
      <c r="I229" s="13"/>
      <c r="J229" s="13"/>
      <c r="K229" s="6"/>
      <c r="L229" s="6"/>
      <c r="M229" s="6"/>
      <c r="N229" s="6"/>
      <c r="O229" s="6"/>
      <c r="P229" s="6"/>
      <c r="Q229" s="6"/>
      <c r="R229" s="6"/>
      <c r="S229" s="108"/>
      <c r="T229" s="111"/>
      <c r="U229" s="12"/>
    </row>
    <row r="230" spans="1:21" x14ac:dyDescent="0.3">
      <c r="A230" s="2"/>
      <c r="B230" s="2"/>
      <c r="C230" s="2"/>
      <c r="D230" s="2"/>
      <c r="E230" s="11"/>
      <c r="F230" s="11"/>
      <c r="G230" s="2"/>
      <c r="H230" s="13"/>
      <c r="I230" s="13"/>
      <c r="J230" s="13"/>
      <c r="K230" s="6"/>
      <c r="L230" s="6"/>
      <c r="M230" s="6"/>
      <c r="N230" s="6"/>
      <c r="O230" s="6"/>
      <c r="P230" s="6"/>
      <c r="Q230" s="6"/>
      <c r="R230" s="6"/>
      <c r="S230" s="108"/>
      <c r="T230" s="111"/>
      <c r="U230" s="12"/>
    </row>
    <row r="231" spans="1:21" x14ac:dyDescent="0.3">
      <c r="A231" s="2"/>
      <c r="B231" s="2"/>
      <c r="C231" s="2"/>
      <c r="D231" s="2"/>
      <c r="E231" s="11"/>
      <c r="F231" s="11"/>
      <c r="G231" s="2"/>
      <c r="H231" s="13"/>
      <c r="I231" s="13"/>
      <c r="J231" s="13"/>
      <c r="K231" s="6"/>
      <c r="L231" s="6"/>
      <c r="M231" s="6"/>
      <c r="N231" s="6"/>
      <c r="O231" s="6"/>
      <c r="P231" s="6"/>
      <c r="Q231" s="6"/>
      <c r="R231" s="6"/>
      <c r="S231" s="108"/>
      <c r="T231" s="111"/>
      <c r="U231" s="12"/>
    </row>
    <row r="232" spans="1:21" x14ac:dyDescent="0.3">
      <c r="A232" s="2"/>
      <c r="B232" s="2"/>
      <c r="C232" s="2"/>
      <c r="D232" s="2"/>
      <c r="E232" s="11"/>
      <c r="F232" s="11"/>
      <c r="G232" s="2"/>
      <c r="H232" s="13"/>
      <c r="I232" s="13"/>
      <c r="J232" s="13"/>
      <c r="K232" s="6"/>
      <c r="L232" s="6"/>
      <c r="M232" s="6"/>
      <c r="N232" s="6"/>
      <c r="O232" s="6"/>
      <c r="P232" s="6"/>
      <c r="Q232" s="6"/>
      <c r="R232" s="6"/>
      <c r="S232" s="108"/>
      <c r="T232" s="111"/>
      <c r="U232" s="12"/>
    </row>
    <row r="233" spans="1:21" x14ac:dyDescent="0.3">
      <c r="A233" s="2"/>
      <c r="B233" s="2"/>
      <c r="C233" s="2"/>
      <c r="D233" s="2"/>
      <c r="E233" s="11"/>
      <c r="F233" s="11"/>
      <c r="G233" s="2"/>
      <c r="H233" s="13"/>
      <c r="I233" s="13"/>
      <c r="J233" s="13"/>
      <c r="K233" s="6"/>
      <c r="L233" s="6"/>
      <c r="M233" s="6"/>
      <c r="N233" s="6"/>
      <c r="O233" s="6"/>
      <c r="P233" s="6"/>
      <c r="Q233" s="6"/>
      <c r="R233" s="6"/>
      <c r="S233" s="108"/>
      <c r="T233" s="111"/>
      <c r="U233" s="12"/>
    </row>
    <row r="234" spans="1:21" x14ac:dyDescent="0.3">
      <c r="A234" s="2"/>
      <c r="B234" s="2"/>
      <c r="C234" s="2"/>
      <c r="D234" s="2"/>
      <c r="E234" s="11"/>
      <c r="F234" s="11"/>
      <c r="G234" s="2"/>
      <c r="H234" s="13"/>
      <c r="I234" s="13"/>
      <c r="J234" s="13"/>
      <c r="K234" s="6"/>
      <c r="L234" s="6"/>
      <c r="M234" s="6"/>
      <c r="N234" s="6"/>
      <c r="O234" s="6"/>
      <c r="P234" s="6"/>
      <c r="Q234" s="6"/>
      <c r="R234" s="6"/>
      <c r="S234" s="108"/>
      <c r="T234" s="111"/>
      <c r="U234" s="12"/>
    </row>
    <row r="235" spans="1:21" x14ac:dyDescent="0.3">
      <c r="A235" s="2"/>
      <c r="B235" s="2"/>
      <c r="C235" s="2"/>
      <c r="D235" s="2"/>
      <c r="E235" s="11"/>
      <c r="F235" s="11"/>
      <c r="G235" s="2"/>
      <c r="H235" s="13"/>
      <c r="I235" s="13"/>
      <c r="J235" s="13"/>
      <c r="K235" s="6"/>
      <c r="L235" s="6"/>
      <c r="M235" s="6"/>
      <c r="N235" s="6"/>
      <c r="O235" s="6"/>
      <c r="P235" s="6"/>
      <c r="Q235" s="6"/>
      <c r="R235" s="6"/>
      <c r="S235" s="108"/>
      <c r="T235" s="111"/>
      <c r="U235" s="12"/>
    </row>
    <row r="236" spans="1:21" x14ac:dyDescent="0.3">
      <c r="A236" s="2"/>
      <c r="B236" s="2"/>
      <c r="C236" s="2"/>
      <c r="D236" s="2"/>
      <c r="E236" s="11"/>
      <c r="F236" s="11"/>
      <c r="G236" s="2"/>
      <c r="H236" s="13"/>
      <c r="I236" s="13"/>
      <c r="J236" s="13"/>
      <c r="K236" s="6"/>
      <c r="L236" s="6"/>
      <c r="M236" s="6"/>
      <c r="N236" s="6"/>
      <c r="O236" s="6"/>
      <c r="P236" s="6"/>
      <c r="Q236" s="6"/>
      <c r="R236" s="6"/>
      <c r="S236" s="108"/>
      <c r="T236" s="111"/>
      <c r="U236" s="12"/>
    </row>
    <row r="237" spans="1:21" x14ac:dyDescent="0.3">
      <c r="A237" s="2"/>
      <c r="B237" s="2"/>
      <c r="C237" s="2"/>
      <c r="D237" s="2"/>
      <c r="E237" s="11"/>
      <c r="F237" s="11"/>
      <c r="G237" s="2"/>
      <c r="H237" s="13"/>
      <c r="I237" s="13"/>
      <c r="J237" s="13"/>
      <c r="K237" s="6"/>
      <c r="L237" s="6"/>
      <c r="M237" s="6"/>
      <c r="N237" s="6"/>
      <c r="O237" s="6"/>
      <c r="P237" s="6"/>
      <c r="Q237" s="6"/>
      <c r="R237" s="6"/>
      <c r="S237" s="108"/>
      <c r="T237" s="111"/>
      <c r="U237" s="12"/>
    </row>
    <row r="238" spans="1:21" x14ac:dyDescent="0.3">
      <c r="A238" s="2"/>
      <c r="B238" s="2"/>
      <c r="C238" s="2"/>
      <c r="D238" s="2"/>
      <c r="E238" s="11"/>
      <c r="F238" s="11"/>
      <c r="G238" s="2"/>
      <c r="H238" s="13"/>
      <c r="I238" s="13"/>
      <c r="J238" s="13"/>
      <c r="K238" s="6"/>
      <c r="L238" s="6"/>
      <c r="M238" s="6"/>
      <c r="N238" s="6"/>
      <c r="O238" s="6"/>
      <c r="P238" s="6"/>
      <c r="Q238" s="6"/>
      <c r="R238" s="6"/>
      <c r="S238" s="108"/>
      <c r="T238" s="111"/>
      <c r="U238" s="12"/>
    </row>
    <row r="239" spans="1:21" x14ac:dyDescent="0.3">
      <c r="A239" s="2"/>
      <c r="B239" s="2"/>
      <c r="C239" s="2"/>
      <c r="D239" s="2"/>
      <c r="E239" s="11"/>
      <c r="F239" s="11"/>
      <c r="G239" s="2"/>
      <c r="H239" s="13"/>
      <c r="I239" s="13"/>
      <c r="J239" s="13"/>
      <c r="K239" s="6"/>
      <c r="L239" s="6"/>
      <c r="M239" s="6"/>
      <c r="N239" s="6"/>
      <c r="O239" s="6"/>
      <c r="P239" s="6"/>
      <c r="Q239" s="6"/>
      <c r="R239" s="6"/>
      <c r="S239" s="108"/>
      <c r="T239" s="111"/>
      <c r="U239" s="12"/>
    </row>
    <row r="240" spans="1:21" x14ac:dyDescent="0.3">
      <c r="A240" s="2"/>
      <c r="B240" s="2"/>
      <c r="C240" s="2"/>
      <c r="D240" s="2"/>
      <c r="E240" s="11"/>
      <c r="F240" s="11"/>
      <c r="G240" s="2"/>
      <c r="H240" s="13"/>
      <c r="I240" s="13"/>
      <c r="J240" s="13"/>
      <c r="K240" s="6"/>
      <c r="L240" s="6"/>
      <c r="M240" s="6"/>
      <c r="N240" s="6"/>
      <c r="O240" s="6"/>
      <c r="P240" s="6"/>
      <c r="Q240" s="6"/>
      <c r="R240" s="6"/>
      <c r="S240" s="108"/>
      <c r="T240" s="111"/>
      <c r="U240" s="12"/>
    </row>
    <row r="241" spans="1:21" x14ac:dyDescent="0.3">
      <c r="A241" s="2"/>
      <c r="B241" s="2"/>
      <c r="C241" s="2"/>
      <c r="D241" s="2"/>
      <c r="E241" s="11"/>
      <c r="F241" s="11"/>
      <c r="G241" s="2"/>
      <c r="H241" s="13"/>
      <c r="I241" s="13"/>
      <c r="J241" s="13"/>
      <c r="K241" s="6"/>
      <c r="L241" s="6"/>
      <c r="M241" s="6"/>
      <c r="N241" s="6"/>
      <c r="O241" s="6"/>
      <c r="P241" s="6"/>
      <c r="Q241" s="6"/>
      <c r="R241" s="6"/>
      <c r="S241" s="108"/>
      <c r="T241" s="111"/>
      <c r="U241" s="12"/>
    </row>
    <row r="242" spans="1:21" x14ac:dyDescent="0.3">
      <c r="A242" s="11"/>
      <c r="B242" s="2"/>
      <c r="C242" s="2"/>
      <c r="D242" s="2"/>
      <c r="E242" s="11"/>
      <c r="F242" s="11"/>
      <c r="G242" s="2"/>
      <c r="H242" s="13"/>
      <c r="I242" s="13"/>
      <c r="J242" s="13"/>
      <c r="K242" s="6"/>
      <c r="L242" s="6"/>
      <c r="M242" s="6"/>
      <c r="N242" s="6"/>
      <c r="O242" s="6"/>
      <c r="P242" s="6"/>
      <c r="Q242" s="6"/>
      <c r="R242" s="6"/>
      <c r="S242" s="108"/>
      <c r="T242" s="111"/>
      <c r="U242" s="12"/>
    </row>
    <row r="243" spans="1:21" x14ac:dyDescent="0.3">
      <c r="A243" s="2"/>
      <c r="B243" s="2"/>
      <c r="C243" s="2"/>
      <c r="D243" s="2"/>
      <c r="E243" s="11"/>
      <c r="F243" s="11"/>
      <c r="G243" s="2"/>
      <c r="H243" s="13"/>
      <c r="I243" s="13"/>
      <c r="J243" s="13"/>
      <c r="K243" s="6"/>
      <c r="L243" s="6"/>
      <c r="M243" s="6"/>
      <c r="N243" s="6"/>
      <c r="O243" s="6"/>
      <c r="P243" s="6"/>
      <c r="Q243" s="6"/>
      <c r="R243" s="6"/>
      <c r="S243" s="108"/>
      <c r="T243" s="111"/>
      <c r="U243" s="12"/>
    </row>
    <row r="244" spans="1:21" x14ac:dyDescent="0.3">
      <c r="A244" s="11"/>
      <c r="B244" s="2"/>
      <c r="C244" s="2"/>
      <c r="D244" s="2"/>
      <c r="E244" s="11"/>
      <c r="F244" s="11"/>
      <c r="G244" s="2"/>
      <c r="H244" s="13"/>
      <c r="I244" s="13"/>
      <c r="J244" s="13"/>
      <c r="K244" s="6"/>
      <c r="L244" s="6"/>
      <c r="M244" s="6"/>
      <c r="N244" s="6"/>
      <c r="O244" s="6"/>
      <c r="P244" s="6"/>
      <c r="Q244" s="6"/>
      <c r="R244" s="6"/>
      <c r="S244" s="108"/>
      <c r="T244" s="111"/>
      <c r="U244" s="12"/>
    </row>
    <row r="245" spans="1:21" x14ac:dyDescent="0.3">
      <c r="A245" s="11"/>
      <c r="B245" s="2"/>
      <c r="C245" s="2"/>
      <c r="D245" s="2"/>
      <c r="E245" s="11"/>
      <c r="F245" s="11"/>
      <c r="G245" s="2"/>
      <c r="H245" s="13"/>
      <c r="I245" s="13"/>
      <c r="J245" s="13"/>
      <c r="K245" s="6"/>
      <c r="L245" s="6"/>
      <c r="M245" s="6"/>
      <c r="N245" s="6"/>
      <c r="O245" s="6"/>
      <c r="P245" s="6"/>
      <c r="Q245" s="6"/>
      <c r="R245" s="6"/>
      <c r="S245" s="108"/>
      <c r="T245" s="111"/>
      <c r="U245" s="12"/>
    </row>
    <row r="246" spans="1:21" x14ac:dyDescent="0.3">
      <c r="A246" s="2"/>
      <c r="B246" s="2"/>
      <c r="C246" s="2"/>
      <c r="D246" s="2"/>
      <c r="E246" s="11"/>
      <c r="F246" s="11"/>
      <c r="G246" s="2"/>
      <c r="H246" s="13"/>
      <c r="I246" s="13"/>
      <c r="J246" s="13"/>
      <c r="K246" s="6"/>
      <c r="L246" s="6"/>
      <c r="M246" s="6"/>
      <c r="N246" s="6"/>
      <c r="O246" s="6"/>
      <c r="P246" s="6"/>
      <c r="Q246" s="6"/>
      <c r="R246" s="6"/>
      <c r="S246" s="108"/>
      <c r="T246" s="111"/>
      <c r="U246" s="12"/>
    </row>
    <row r="247" spans="1:21" x14ac:dyDescent="0.3">
      <c r="A247" s="2"/>
      <c r="B247" s="2"/>
      <c r="C247" s="2"/>
      <c r="D247" s="2"/>
      <c r="E247" s="11"/>
      <c r="F247" s="11"/>
      <c r="G247" s="2"/>
      <c r="H247" s="13"/>
      <c r="I247" s="13"/>
      <c r="J247" s="13"/>
      <c r="K247" s="6"/>
      <c r="L247" s="6"/>
      <c r="M247" s="6"/>
      <c r="N247" s="6"/>
      <c r="O247" s="6"/>
      <c r="P247" s="6"/>
      <c r="Q247" s="6"/>
      <c r="R247" s="6"/>
      <c r="S247" s="108"/>
      <c r="T247" s="111"/>
      <c r="U247" s="12"/>
    </row>
    <row r="248" spans="1:21" x14ac:dyDescent="0.3">
      <c r="A248" s="2"/>
      <c r="B248" s="2"/>
      <c r="C248" s="2"/>
      <c r="D248" s="2"/>
      <c r="E248" s="11"/>
      <c r="F248" s="11"/>
      <c r="G248" s="2"/>
      <c r="H248" s="13"/>
      <c r="I248" s="13"/>
      <c r="J248" s="13"/>
      <c r="K248" s="6"/>
      <c r="L248" s="6"/>
      <c r="M248" s="6"/>
      <c r="N248" s="6"/>
      <c r="O248" s="6"/>
      <c r="P248" s="6"/>
      <c r="Q248" s="6"/>
      <c r="R248" s="6"/>
      <c r="S248" s="108"/>
      <c r="T248" s="111"/>
      <c r="U248" s="12"/>
    </row>
    <row r="249" spans="1:21" x14ac:dyDescent="0.3">
      <c r="A249" s="2"/>
      <c r="B249" s="2"/>
      <c r="C249" s="2"/>
      <c r="D249" s="2"/>
      <c r="E249" s="11"/>
      <c r="F249" s="11"/>
      <c r="G249" s="2"/>
      <c r="H249" s="13"/>
      <c r="I249" s="13"/>
      <c r="J249" s="13"/>
      <c r="K249" s="6"/>
      <c r="L249" s="6"/>
      <c r="M249" s="6"/>
      <c r="N249" s="6"/>
      <c r="O249" s="6"/>
      <c r="P249" s="6"/>
      <c r="Q249" s="6"/>
      <c r="R249" s="6"/>
      <c r="S249" s="108"/>
      <c r="T249" s="111"/>
      <c r="U249" s="12"/>
    </row>
    <row r="250" spans="1:21" x14ac:dyDescent="0.3">
      <c r="A250" s="11"/>
      <c r="B250" s="2"/>
      <c r="C250" s="2"/>
      <c r="D250" s="2"/>
      <c r="E250" s="11"/>
      <c r="F250" s="11"/>
      <c r="G250" s="2"/>
      <c r="H250" s="13"/>
      <c r="I250" s="13"/>
      <c r="J250" s="13"/>
      <c r="K250" s="6"/>
      <c r="L250" s="6"/>
      <c r="M250" s="6"/>
      <c r="N250" s="6"/>
      <c r="O250" s="6"/>
      <c r="P250" s="6"/>
      <c r="Q250" s="6"/>
      <c r="R250" s="6"/>
      <c r="S250" s="108"/>
      <c r="T250" s="111"/>
      <c r="U250" s="12"/>
    </row>
    <row r="251" spans="1:21" x14ac:dyDescent="0.3">
      <c r="A251" s="2"/>
      <c r="B251" s="2"/>
      <c r="C251" s="2"/>
      <c r="D251" s="2"/>
      <c r="E251" s="11"/>
      <c r="F251" s="11"/>
      <c r="G251" s="2"/>
      <c r="H251" s="13"/>
      <c r="I251" s="13"/>
      <c r="J251" s="13"/>
      <c r="K251" s="6"/>
      <c r="L251" s="6"/>
      <c r="M251" s="6"/>
      <c r="N251" s="6"/>
      <c r="O251" s="6"/>
      <c r="P251" s="6"/>
      <c r="Q251" s="6"/>
      <c r="R251" s="6"/>
      <c r="S251" s="108"/>
      <c r="T251" s="111"/>
      <c r="U251" s="12"/>
    </row>
    <row r="252" spans="1:21" x14ac:dyDescent="0.3">
      <c r="A252" s="2"/>
      <c r="B252" s="2"/>
      <c r="C252" s="2"/>
      <c r="D252" s="2"/>
      <c r="E252" s="11"/>
      <c r="F252" s="11"/>
      <c r="G252" s="2"/>
      <c r="H252" s="13"/>
      <c r="I252" s="13"/>
      <c r="J252" s="13"/>
      <c r="K252" s="6"/>
      <c r="L252" s="6"/>
      <c r="M252" s="6"/>
      <c r="N252" s="6"/>
      <c r="O252" s="6"/>
      <c r="P252" s="6"/>
      <c r="Q252" s="6"/>
      <c r="R252" s="6"/>
      <c r="S252" s="108"/>
      <c r="T252" s="111"/>
      <c r="U252" s="12"/>
    </row>
    <row r="253" spans="1:21" x14ac:dyDescent="0.3">
      <c r="A253" s="11"/>
      <c r="B253" s="2"/>
      <c r="C253" s="2"/>
      <c r="D253" s="2"/>
      <c r="E253" s="11"/>
      <c r="F253" s="11"/>
      <c r="G253" s="2"/>
      <c r="H253" s="13"/>
      <c r="I253" s="13"/>
      <c r="J253" s="13"/>
      <c r="K253" s="6"/>
      <c r="L253" s="6"/>
      <c r="M253" s="6"/>
      <c r="N253" s="6"/>
      <c r="O253" s="6"/>
      <c r="P253" s="6"/>
      <c r="Q253" s="6"/>
      <c r="R253" s="6"/>
      <c r="S253" s="108"/>
      <c r="T253" s="111"/>
      <c r="U253" s="12"/>
    </row>
    <row r="254" spans="1:21" x14ac:dyDescent="0.3">
      <c r="A254" s="2"/>
      <c r="B254" s="2"/>
      <c r="C254" s="2"/>
      <c r="D254" s="2"/>
      <c r="E254" s="11"/>
      <c r="F254" s="11"/>
      <c r="G254" s="2"/>
      <c r="H254" s="13"/>
      <c r="I254" s="13"/>
      <c r="J254" s="13"/>
      <c r="K254" s="6"/>
      <c r="L254" s="6"/>
      <c r="M254" s="6"/>
      <c r="N254" s="6"/>
      <c r="O254" s="6"/>
      <c r="P254" s="6"/>
      <c r="Q254" s="6"/>
      <c r="R254" s="6"/>
      <c r="S254" s="108"/>
      <c r="T254" s="111"/>
      <c r="U254" s="12"/>
    </row>
    <row r="255" spans="1:21" x14ac:dyDescent="0.3">
      <c r="A255" s="2"/>
      <c r="B255" s="2"/>
      <c r="C255" s="2"/>
      <c r="D255" s="2"/>
      <c r="E255" s="11"/>
      <c r="F255" s="11"/>
      <c r="G255" s="2"/>
      <c r="H255" s="13"/>
      <c r="I255" s="13"/>
      <c r="J255" s="13"/>
      <c r="K255" s="6"/>
      <c r="L255" s="6"/>
      <c r="M255" s="6"/>
      <c r="N255" s="6"/>
      <c r="O255" s="6"/>
      <c r="P255" s="6"/>
      <c r="Q255" s="6"/>
      <c r="R255" s="6"/>
      <c r="S255" s="108"/>
      <c r="T255" s="111"/>
      <c r="U255" s="12"/>
    </row>
    <row r="256" spans="1:21" x14ac:dyDescent="0.3">
      <c r="A256" s="11"/>
      <c r="B256" s="2"/>
      <c r="C256" s="2"/>
      <c r="D256" s="2"/>
      <c r="E256" s="11"/>
      <c r="F256" s="11"/>
      <c r="G256" s="2"/>
      <c r="H256" s="13"/>
      <c r="I256" s="13"/>
      <c r="J256" s="13"/>
      <c r="K256" s="6"/>
      <c r="L256" s="6"/>
      <c r="M256" s="6"/>
      <c r="N256" s="6"/>
      <c r="O256" s="6"/>
      <c r="P256" s="6"/>
      <c r="Q256" s="6"/>
      <c r="R256" s="6"/>
      <c r="S256" s="108"/>
      <c r="T256" s="111"/>
      <c r="U256" s="12"/>
    </row>
    <row r="257" spans="1:21" x14ac:dyDescent="0.3">
      <c r="A257" s="2"/>
      <c r="B257" s="2"/>
      <c r="C257" s="2"/>
      <c r="D257" s="2"/>
      <c r="E257" s="11"/>
      <c r="F257" s="11"/>
      <c r="G257" s="2"/>
      <c r="H257" s="13"/>
      <c r="I257" s="13"/>
      <c r="J257" s="13"/>
      <c r="K257" s="6"/>
      <c r="L257" s="6"/>
      <c r="M257" s="6"/>
      <c r="N257" s="6"/>
      <c r="O257" s="6"/>
      <c r="P257" s="6"/>
      <c r="Q257" s="6"/>
      <c r="R257" s="6"/>
      <c r="S257" s="108"/>
      <c r="T257" s="111"/>
      <c r="U257" s="12"/>
    </row>
    <row r="258" spans="1:21" x14ac:dyDescent="0.3">
      <c r="A258" s="2"/>
      <c r="B258" s="2"/>
      <c r="C258" s="2"/>
      <c r="D258" s="2"/>
      <c r="E258" s="11"/>
      <c r="F258" s="11"/>
      <c r="G258" s="2"/>
      <c r="H258" s="13"/>
      <c r="I258" s="13"/>
      <c r="J258" s="13"/>
      <c r="K258" s="6"/>
      <c r="L258" s="6"/>
      <c r="M258" s="6"/>
      <c r="N258" s="6"/>
      <c r="O258" s="6"/>
      <c r="P258" s="6"/>
      <c r="Q258" s="6"/>
      <c r="R258" s="6"/>
      <c r="S258" s="108"/>
      <c r="T258" s="111"/>
      <c r="U258" s="12"/>
    </row>
    <row r="259" spans="1:21" x14ac:dyDescent="0.3">
      <c r="A259" s="2"/>
      <c r="B259" s="2"/>
      <c r="C259" s="2"/>
      <c r="D259" s="2"/>
      <c r="E259" s="11"/>
      <c r="F259" s="11"/>
      <c r="G259" s="2"/>
      <c r="H259" s="13"/>
      <c r="I259" s="13"/>
      <c r="J259" s="13"/>
      <c r="K259" s="6"/>
      <c r="L259" s="6"/>
      <c r="M259" s="6"/>
      <c r="N259" s="6"/>
      <c r="O259" s="6"/>
      <c r="P259" s="6"/>
      <c r="Q259" s="6"/>
      <c r="R259" s="6"/>
      <c r="S259" s="108"/>
      <c r="T259" s="111"/>
      <c r="U259" s="12"/>
    </row>
    <row r="260" spans="1:21" x14ac:dyDescent="0.3">
      <c r="A260" s="11"/>
      <c r="B260" s="2"/>
      <c r="C260" s="2"/>
      <c r="D260" s="2"/>
      <c r="E260" s="11"/>
      <c r="F260" s="11"/>
      <c r="G260" s="2"/>
      <c r="H260" s="13"/>
      <c r="I260" s="13"/>
      <c r="J260" s="13"/>
      <c r="K260" s="6"/>
      <c r="L260" s="6"/>
      <c r="M260" s="6"/>
      <c r="N260" s="6"/>
      <c r="O260" s="6"/>
      <c r="P260" s="6"/>
      <c r="Q260" s="6"/>
      <c r="R260" s="6"/>
      <c r="S260" s="108"/>
      <c r="T260" s="111"/>
      <c r="U260" s="12"/>
    </row>
    <row r="261" spans="1:21" x14ac:dyDescent="0.3">
      <c r="A261" s="2"/>
      <c r="B261" s="2"/>
      <c r="C261" s="2"/>
      <c r="D261" s="2"/>
      <c r="E261" s="11"/>
      <c r="F261" s="11"/>
      <c r="G261" s="2"/>
      <c r="H261" s="13"/>
      <c r="I261" s="13"/>
      <c r="J261" s="13"/>
      <c r="K261" s="6"/>
      <c r="L261" s="6"/>
      <c r="M261" s="6"/>
      <c r="N261" s="6"/>
      <c r="O261" s="6"/>
      <c r="P261" s="6"/>
      <c r="Q261" s="6"/>
      <c r="R261" s="6"/>
      <c r="S261" s="108"/>
      <c r="T261" s="111"/>
      <c r="U261" s="12"/>
    </row>
    <row r="262" spans="1:21" x14ac:dyDescent="0.3">
      <c r="A262" s="2"/>
      <c r="B262" s="2"/>
      <c r="C262" s="2"/>
      <c r="D262" s="2"/>
      <c r="E262" s="11"/>
      <c r="F262" s="11"/>
      <c r="G262" s="2"/>
      <c r="H262" s="13"/>
      <c r="I262" s="13"/>
      <c r="J262" s="13"/>
      <c r="K262" s="6"/>
      <c r="L262" s="6"/>
      <c r="M262" s="6"/>
      <c r="N262" s="6"/>
      <c r="O262" s="6"/>
      <c r="P262" s="6"/>
      <c r="Q262" s="6"/>
      <c r="R262" s="6"/>
      <c r="S262" s="108"/>
      <c r="T262" s="111"/>
      <c r="U262" s="12"/>
    </row>
    <row r="263" spans="1:21" x14ac:dyDescent="0.3">
      <c r="A263" s="2"/>
      <c r="B263" s="2"/>
      <c r="C263" s="2"/>
      <c r="D263" s="2"/>
      <c r="E263" s="11"/>
      <c r="F263" s="11"/>
      <c r="G263" s="2"/>
      <c r="H263" s="13"/>
      <c r="I263" s="13"/>
      <c r="J263" s="13"/>
      <c r="K263" s="6"/>
      <c r="L263" s="6"/>
      <c r="M263" s="6"/>
      <c r="N263" s="6"/>
      <c r="O263" s="6"/>
      <c r="P263" s="6"/>
      <c r="Q263" s="6"/>
      <c r="R263" s="6"/>
      <c r="S263" s="108"/>
      <c r="T263" s="111"/>
      <c r="U263" s="12"/>
    </row>
    <row r="264" spans="1:21" x14ac:dyDescent="0.3">
      <c r="A264" s="2"/>
      <c r="B264" s="2"/>
      <c r="C264" s="2"/>
      <c r="D264" s="2"/>
      <c r="E264" s="11"/>
      <c r="F264" s="11"/>
      <c r="G264" s="2"/>
      <c r="H264" s="13"/>
      <c r="I264" s="13"/>
      <c r="J264" s="13"/>
      <c r="K264" s="6"/>
      <c r="L264" s="6"/>
      <c r="M264" s="6"/>
      <c r="N264" s="6"/>
      <c r="O264" s="6"/>
      <c r="P264" s="6"/>
      <c r="Q264" s="6"/>
      <c r="R264" s="6"/>
      <c r="S264" s="108"/>
      <c r="T264" s="111"/>
      <c r="U264" s="12"/>
    </row>
    <row r="265" spans="1:21" x14ac:dyDescent="0.3">
      <c r="A265" s="2"/>
      <c r="B265" s="2"/>
      <c r="C265" s="2"/>
      <c r="D265" s="2"/>
      <c r="E265" s="11"/>
      <c r="F265" s="11"/>
      <c r="G265" s="2"/>
      <c r="H265" s="13"/>
      <c r="I265" s="13"/>
      <c r="J265" s="13"/>
      <c r="K265" s="6"/>
      <c r="L265" s="6"/>
      <c r="M265" s="6"/>
      <c r="N265" s="6"/>
      <c r="O265" s="6"/>
      <c r="P265" s="6"/>
      <c r="Q265" s="6"/>
      <c r="R265" s="6"/>
      <c r="S265" s="108"/>
      <c r="T265" s="111"/>
      <c r="U265" s="12"/>
    </row>
    <row r="266" spans="1:21" x14ac:dyDescent="0.3">
      <c r="A266" s="2"/>
      <c r="B266" s="2"/>
      <c r="C266" s="2"/>
      <c r="D266" s="2"/>
      <c r="E266" s="11"/>
      <c r="F266" s="11"/>
      <c r="G266" s="2"/>
      <c r="H266" s="13"/>
      <c r="I266" s="13"/>
      <c r="J266" s="13"/>
      <c r="K266" s="6"/>
      <c r="L266" s="6"/>
      <c r="M266" s="6"/>
      <c r="N266" s="6"/>
      <c r="O266" s="6"/>
      <c r="P266" s="6"/>
      <c r="Q266" s="6"/>
      <c r="R266" s="6"/>
      <c r="S266" s="108"/>
      <c r="T266" s="111"/>
      <c r="U266" s="12"/>
    </row>
    <row r="267" spans="1:21" x14ac:dyDescent="0.3">
      <c r="A267" s="2"/>
      <c r="B267" s="2"/>
      <c r="C267" s="2"/>
      <c r="D267" s="2"/>
      <c r="E267" s="11"/>
      <c r="F267" s="11"/>
      <c r="G267" s="2"/>
      <c r="H267" s="13"/>
      <c r="I267" s="13"/>
      <c r="J267" s="13"/>
      <c r="K267" s="6"/>
      <c r="L267" s="6"/>
      <c r="M267" s="6"/>
      <c r="N267" s="6"/>
      <c r="O267" s="6"/>
      <c r="P267" s="6"/>
      <c r="Q267" s="6"/>
      <c r="R267" s="6"/>
      <c r="S267" s="108"/>
      <c r="T267" s="111"/>
      <c r="U267" s="12"/>
    </row>
    <row r="268" spans="1:21" x14ac:dyDescent="0.3">
      <c r="A268" s="2"/>
      <c r="B268" s="2"/>
      <c r="C268" s="2"/>
      <c r="D268" s="2"/>
      <c r="E268" s="11"/>
      <c r="F268" s="11"/>
      <c r="G268" s="2"/>
      <c r="H268" s="13"/>
      <c r="I268" s="13"/>
      <c r="J268" s="13"/>
      <c r="K268" s="6"/>
      <c r="L268" s="6"/>
      <c r="M268" s="6"/>
      <c r="N268" s="6"/>
      <c r="O268" s="6"/>
      <c r="P268" s="6"/>
      <c r="Q268" s="6"/>
      <c r="R268" s="6"/>
      <c r="S268" s="108"/>
      <c r="T268" s="111"/>
      <c r="U268" s="12"/>
    </row>
    <row r="269" spans="1:21" x14ac:dyDescent="0.3">
      <c r="A269" s="11"/>
      <c r="B269" s="2"/>
      <c r="C269" s="2"/>
      <c r="D269" s="2"/>
      <c r="E269" s="11"/>
      <c r="F269" s="11"/>
      <c r="G269" s="2"/>
      <c r="H269" s="13"/>
      <c r="I269" s="13"/>
      <c r="J269" s="13"/>
      <c r="K269" s="6"/>
      <c r="L269" s="6"/>
      <c r="M269" s="6"/>
      <c r="N269" s="6"/>
      <c r="O269" s="6"/>
      <c r="P269" s="6"/>
      <c r="Q269" s="6"/>
      <c r="R269" s="6"/>
      <c r="S269" s="108"/>
      <c r="T269" s="111"/>
      <c r="U269" s="12"/>
    </row>
    <row r="270" spans="1:21" x14ac:dyDescent="0.3">
      <c r="A270" s="2"/>
      <c r="B270" s="2"/>
      <c r="C270" s="2"/>
      <c r="D270" s="2"/>
      <c r="E270" s="11"/>
      <c r="F270" s="11"/>
      <c r="G270" s="2"/>
      <c r="H270" s="13"/>
      <c r="I270" s="13"/>
      <c r="J270" s="13"/>
      <c r="K270" s="6"/>
      <c r="L270" s="6"/>
      <c r="M270" s="6"/>
      <c r="N270" s="6"/>
      <c r="O270" s="6"/>
      <c r="P270" s="6"/>
      <c r="Q270" s="6"/>
      <c r="R270" s="6"/>
      <c r="S270" s="108"/>
      <c r="T270" s="111"/>
      <c r="U270" s="12"/>
    </row>
    <row r="271" spans="1:21" x14ac:dyDescent="0.3">
      <c r="A271" s="2"/>
      <c r="B271" s="2"/>
      <c r="C271" s="2"/>
      <c r="D271" s="2"/>
      <c r="E271" s="11"/>
      <c r="F271" s="11"/>
      <c r="G271" s="2"/>
      <c r="H271" s="13"/>
      <c r="I271" s="13"/>
      <c r="J271" s="13"/>
      <c r="K271" s="6"/>
      <c r="L271" s="6"/>
      <c r="M271" s="6"/>
      <c r="N271" s="6"/>
      <c r="O271" s="6"/>
      <c r="P271" s="6"/>
      <c r="Q271" s="6"/>
      <c r="R271" s="6"/>
      <c r="S271" s="108"/>
      <c r="T271" s="111"/>
      <c r="U271" s="12"/>
    </row>
    <row r="272" spans="1:21" x14ac:dyDescent="0.3">
      <c r="A272" s="11"/>
      <c r="B272" s="2"/>
      <c r="C272" s="2"/>
      <c r="D272" s="2"/>
      <c r="E272" s="11"/>
      <c r="F272" s="11"/>
      <c r="G272" s="2"/>
      <c r="H272" s="13"/>
      <c r="I272" s="13"/>
      <c r="J272" s="13"/>
      <c r="K272" s="6"/>
      <c r="L272" s="6"/>
      <c r="M272" s="6"/>
      <c r="N272" s="6"/>
      <c r="O272" s="6"/>
      <c r="P272" s="6"/>
      <c r="Q272" s="6"/>
      <c r="R272" s="6"/>
      <c r="S272" s="108"/>
      <c r="T272" s="111"/>
      <c r="U272" s="12"/>
    </row>
    <row r="273" spans="1:25" x14ac:dyDescent="0.3">
      <c r="A273" s="11"/>
      <c r="B273" s="2"/>
      <c r="C273" s="2"/>
      <c r="D273" s="2"/>
      <c r="E273" s="11"/>
      <c r="F273" s="11"/>
      <c r="G273" s="2"/>
      <c r="H273" s="13"/>
      <c r="I273" s="13"/>
      <c r="J273" s="13"/>
      <c r="K273" s="6"/>
      <c r="L273" s="6"/>
      <c r="M273" s="6"/>
      <c r="N273" s="6"/>
      <c r="O273" s="6"/>
      <c r="P273" s="6"/>
      <c r="Q273" s="6"/>
      <c r="R273" s="6"/>
      <c r="S273" s="108"/>
      <c r="T273" s="111"/>
      <c r="U273" s="12"/>
    </row>
    <row r="274" spans="1:25" x14ac:dyDescent="0.3">
      <c r="A274" s="11"/>
      <c r="B274" s="2"/>
      <c r="C274" s="2"/>
      <c r="D274" s="2"/>
      <c r="E274" s="11"/>
      <c r="F274" s="11"/>
      <c r="G274" s="2"/>
      <c r="H274" s="13"/>
      <c r="I274" s="13"/>
      <c r="J274" s="13"/>
      <c r="K274" s="6"/>
      <c r="L274" s="6"/>
      <c r="M274" s="6"/>
      <c r="N274" s="6"/>
      <c r="O274" s="6"/>
      <c r="P274" s="6"/>
      <c r="Q274" s="6"/>
      <c r="R274" s="6"/>
      <c r="S274" s="108"/>
      <c r="T274" s="111"/>
      <c r="U274" s="12"/>
    </row>
    <row r="275" spans="1:25" x14ac:dyDescent="0.3">
      <c r="A275" s="2"/>
      <c r="B275" s="2"/>
      <c r="C275" s="2"/>
      <c r="D275" s="2"/>
      <c r="E275" s="11"/>
      <c r="F275" s="11"/>
      <c r="G275" s="2"/>
      <c r="H275" s="13"/>
      <c r="I275" s="13"/>
      <c r="J275" s="13"/>
      <c r="K275" s="6"/>
      <c r="L275" s="6"/>
      <c r="M275" s="6"/>
      <c r="N275" s="6"/>
      <c r="O275" s="6"/>
      <c r="P275" s="6"/>
      <c r="Q275" s="6"/>
      <c r="R275" s="6"/>
      <c r="S275" s="108"/>
      <c r="T275" s="111"/>
      <c r="U275" s="12"/>
    </row>
    <row r="276" spans="1:25" x14ac:dyDescent="0.3">
      <c r="A276" s="2"/>
      <c r="B276" s="2"/>
      <c r="C276" s="2"/>
      <c r="D276" s="2"/>
      <c r="E276" s="11"/>
      <c r="F276" s="11"/>
      <c r="G276" s="2"/>
      <c r="H276" s="13"/>
      <c r="I276" s="13"/>
      <c r="J276" s="13"/>
      <c r="K276" s="6"/>
      <c r="L276" s="6"/>
      <c r="M276" s="6"/>
      <c r="N276" s="6"/>
      <c r="O276" s="6"/>
      <c r="P276" s="6"/>
      <c r="Q276" s="6"/>
      <c r="R276" s="6"/>
      <c r="S276" s="108"/>
      <c r="T276" s="111"/>
      <c r="U276" s="12"/>
    </row>
    <row r="277" spans="1:25" x14ac:dyDescent="0.3">
      <c r="A277" s="2"/>
      <c r="B277" s="2"/>
      <c r="C277" s="2"/>
      <c r="D277" s="2"/>
      <c r="E277" s="11"/>
      <c r="F277" s="11"/>
      <c r="G277" s="2"/>
      <c r="H277" s="13"/>
      <c r="I277" s="13"/>
      <c r="J277" s="13"/>
      <c r="K277" s="6"/>
      <c r="L277" s="6"/>
      <c r="M277" s="6"/>
      <c r="N277" s="6"/>
      <c r="O277" s="6"/>
      <c r="P277" s="6"/>
      <c r="Q277" s="6"/>
      <c r="R277" s="6"/>
      <c r="S277" s="108"/>
      <c r="T277" s="111"/>
      <c r="U277" s="12"/>
    </row>
    <row r="278" spans="1:25" x14ac:dyDescent="0.3">
      <c r="A278" s="11"/>
      <c r="B278" s="2"/>
      <c r="C278" s="2"/>
      <c r="D278" s="2"/>
      <c r="E278" s="11"/>
      <c r="F278" s="11"/>
      <c r="G278" s="2"/>
      <c r="H278" s="13"/>
      <c r="I278" s="13"/>
      <c r="J278" s="13"/>
      <c r="K278" s="6"/>
      <c r="L278" s="6"/>
      <c r="M278" s="6"/>
      <c r="N278" s="6"/>
      <c r="O278" s="6"/>
      <c r="P278" s="6"/>
      <c r="Q278" s="6"/>
      <c r="R278" s="6"/>
      <c r="S278" s="108"/>
      <c r="T278" s="111"/>
      <c r="U278" s="12"/>
    </row>
    <row r="279" spans="1:25" x14ac:dyDescent="0.3">
      <c r="A279" s="2"/>
      <c r="B279" s="2"/>
      <c r="C279" s="2"/>
      <c r="D279" s="2"/>
      <c r="E279" s="11"/>
      <c r="F279" s="11"/>
      <c r="G279" s="2"/>
      <c r="H279" s="13"/>
      <c r="I279" s="13"/>
      <c r="J279" s="13"/>
      <c r="K279" s="6"/>
      <c r="L279" s="6"/>
      <c r="M279" s="6"/>
      <c r="N279" s="6"/>
      <c r="O279" s="6"/>
      <c r="P279" s="6"/>
      <c r="Q279" s="6"/>
      <c r="R279" s="6"/>
      <c r="S279" s="108"/>
      <c r="T279" s="111"/>
      <c r="U279" s="12"/>
    </row>
    <row r="280" spans="1:25" x14ac:dyDescent="0.3">
      <c r="A280" s="2"/>
      <c r="B280" s="2"/>
      <c r="C280" s="2"/>
      <c r="D280" s="2"/>
      <c r="E280" s="11"/>
      <c r="F280" s="11"/>
      <c r="G280" s="2"/>
      <c r="H280" s="13"/>
      <c r="I280" s="13"/>
      <c r="J280" s="13"/>
      <c r="K280" s="6"/>
      <c r="L280" s="6"/>
      <c r="M280" s="6"/>
      <c r="N280" s="6"/>
      <c r="O280" s="6"/>
      <c r="P280" s="6"/>
      <c r="Q280" s="6"/>
      <c r="R280" s="6"/>
      <c r="S280" s="108"/>
      <c r="T280" s="111"/>
      <c r="U280" s="12"/>
    </row>
    <row r="281" spans="1:25" x14ac:dyDescent="0.3">
      <c r="A281" s="2"/>
      <c r="B281" s="2"/>
      <c r="C281" s="2"/>
      <c r="D281" s="2"/>
      <c r="E281" s="11"/>
      <c r="F281" s="11"/>
      <c r="G281" s="2"/>
      <c r="H281" s="13"/>
      <c r="I281" s="13"/>
      <c r="J281" s="13"/>
      <c r="K281" s="6"/>
      <c r="L281" s="6"/>
      <c r="M281" s="6"/>
      <c r="N281" s="6"/>
      <c r="O281" s="6"/>
      <c r="P281" s="6"/>
      <c r="Q281" s="6"/>
      <c r="R281" s="6"/>
      <c r="S281" s="108"/>
      <c r="T281" s="111"/>
      <c r="U281" s="12"/>
    </row>
    <row r="282" spans="1:25" x14ac:dyDescent="0.3">
      <c r="A282" s="2"/>
      <c r="B282" s="2"/>
      <c r="C282" s="2"/>
      <c r="D282" s="2"/>
      <c r="E282" s="11"/>
      <c r="F282" s="11"/>
      <c r="G282" s="2"/>
      <c r="H282" s="13"/>
      <c r="I282" s="13"/>
      <c r="J282" s="13"/>
      <c r="K282" s="6"/>
      <c r="L282" s="6"/>
      <c r="M282" s="6"/>
      <c r="N282" s="6"/>
      <c r="O282" s="6"/>
      <c r="P282" s="6"/>
      <c r="Q282" s="6"/>
      <c r="R282" s="6"/>
      <c r="S282" s="108"/>
      <c r="T282" s="111"/>
      <c r="U282" s="12"/>
    </row>
    <row r="283" spans="1:25" x14ac:dyDescent="0.3">
      <c r="A283" s="2"/>
      <c r="B283" s="2"/>
      <c r="C283" s="2"/>
      <c r="D283" s="2"/>
      <c r="E283" s="11"/>
      <c r="F283" s="11"/>
      <c r="G283" s="2"/>
      <c r="H283" s="13"/>
      <c r="I283" s="13"/>
      <c r="J283" s="13"/>
      <c r="K283" s="6"/>
      <c r="L283" s="6"/>
      <c r="M283" s="6"/>
      <c r="N283" s="6"/>
      <c r="O283" s="6"/>
      <c r="P283" s="6"/>
      <c r="Q283" s="6"/>
      <c r="R283" s="6"/>
      <c r="S283" s="108"/>
      <c r="T283" s="111"/>
      <c r="U283" s="12"/>
    </row>
    <row r="284" spans="1:25" x14ac:dyDescent="0.3">
      <c r="A284" s="2"/>
      <c r="B284" s="2"/>
      <c r="C284" s="2"/>
      <c r="D284" s="2"/>
      <c r="E284" s="11"/>
      <c r="F284" s="11"/>
      <c r="G284" s="2"/>
      <c r="H284" s="13"/>
      <c r="I284" s="13"/>
      <c r="J284" s="13"/>
      <c r="K284" s="6"/>
      <c r="L284" s="6"/>
      <c r="M284" s="6"/>
      <c r="N284" s="6"/>
      <c r="O284" s="6"/>
      <c r="P284" s="6"/>
      <c r="Q284" s="6"/>
      <c r="R284" s="6"/>
      <c r="S284" s="108"/>
      <c r="T284" s="111"/>
      <c r="U284" s="12"/>
    </row>
    <row r="285" spans="1:25" x14ac:dyDescent="0.3">
      <c r="A285" s="2"/>
      <c r="B285" s="2"/>
      <c r="C285" s="2"/>
      <c r="D285" s="2"/>
      <c r="E285" s="11"/>
      <c r="F285" s="11"/>
      <c r="G285" s="2"/>
      <c r="H285" s="13"/>
      <c r="I285" s="13"/>
      <c r="J285" s="13"/>
      <c r="K285" s="6"/>
      <c r="L285" s="6"/>
      <c r="M285" s="6"/>
      <c r="N285" s="6"/>
      <c r="O285" s="6"/>
      <c r="P285" s="6"/>
      <c r="Q285" s="6"/>
      <c r="R285" s="6"/>
      <c r="S285" s="108"/>
      <c r="T285" s="111"/>
      <c r="U285" s="12"/>
    </row>
    <row r="286" spans="1:25" x14ac:dyDescent="0.3">
      <c r="A286" s="11"/>
      <c r="B286" s="2"/>
      <c r="C286" s="2"/>
      <c r="D286" s="2"/>
      <c r="E286" s="11"/>
      <c r="F286" s="11"/>
      <c r="G286" s="2"/>
      <c r="H286" s="13"/>
      <c r="I286" s="13"/>
      <c r="J286" s="13"/>
      <c r="K286" s="6"/>
      <c r="L286" s="6"/>
      <c r="M286" s="6"/>
      <c r="N286" s="6"/>
      <c r="O286" s="6"/>
      <c r="P286" s="6"/>
      <c r="Q286" s="6"/>
      <c r="R286" s="6"/>
      <c r="S286" s="108"/>
      <c r="T286" s="111"/>
      <c r="U286" s="12"/>
      <c r="X286" s="14"/>
      <c r="Y286" s="15"/>
    </row>
    <row r="287" spans="1:25" x14ac:dyDescent="0.3">
      <c r="A287" s="2"/>
      <c r="B287" s="2"/>
      <c r="C287" s="2"/>
      <c r="D287" s="2"/>
      <c r="E287" s="11"/>
      <c r="F287" s="11"/>
      <c r="G287" s="2"/>
      <c r="H287" s="13"/>
      <c r="I287" s="13"/>
      <c r="J287" s="13"/>
      <c r="K287" s="6"/>
      <c r="L287" s="6"/>
      <c r="M287" s="6"/>
      <c r="N287" s="6"/>
      <c r="O287" s="6"/>
      <c r="P287" s="6"/>
      <c r="Q287" s="6"/>
      <c r="R287" s="6"/>
      <c r="S287" s="108"/>
      <c r="T287" s="111"/>
      <c r="U287" s="12"/>
      <c r="X287" s="14"/>
      <c r="Y287" s="15"/>
    </row>
    <row r="288" spans="1:25" x14ac:dyDescent="0.3">
      <c r="A288" s="2"/>
      <c r="B288" s="2"/>
      <c r="C288" s="2"/>
      <c r="D288" s="2"/>
      <c r="E288" s="11"/>
      <c r="F288" s="11"/>
      <c r="G288" s="2"/>
      <c r="H288" s="13"/>
      <c r="I288" s="13"/>
      <c r="J288" s="13"/>
      <c r="K288" s="6"/>
      <c r="L288" s="6"/>
      <c r="M288" s="6"/>
      <c r="N288" s="6"/>
      <c r="O288" s="6"/>
      <c r="P288" s="6"/>
      <c r="Q288" s="6"/>
      <c r="R288" s="6"/>
      <c r="S288" s="108"/>
      <c r="T288" s="111"/>
      <c r="U288" s="12"/>
      <c r="X288" s="14"/>
      <c r="Y288" s="15"/>
    </row>
    <row r="289" spans="1:25" x14ac:dyDescent="0.3">
      <c r="A289" s="2"/>
      <c r="B289" s="2"/>
      <c r="C289" s="2"/>
      <c r="D289" s="2"/>
      <c r="E289" s="11"/>
      <c r="F289" s="11"/>
      <c r="G289" s="2"/>
      <c r="H289" s="13"/>
      <c r="I289" s="13"/>
      <c r="J289" s="13"/>
      <c r="K289" s="6"/>
      <c r="L289" s="6"/>
      <c r="M289" s="6"/>
      <c r="N289" s="6"/>
      <c r="O289" s="6"/>
      <c r="P289" s="6"/>
      <c r="Q289" s="6"/>
      <c r="R289" s="6"/>
      <c r="S289" s="108"/>
      <c r="T289" s="111"/>
      <c r="U289" s="12"/>
      <c r="X289" s="14"/>
      <c r="Y289" s="15"/>
    </row>
    <row r="290" spans="1:25" x14ac:dyDescent="0.3">
      <c r="A290" s="25"/>
      <c r="B290" s="16"/>
      <c r="C290" s="16"/>
      <c r="D290" s="16"/>
      <c r="E290" s="11"/>
      <c r="F290" s="11"/>
      <c r="G290" s="16"/>
      <c r="H290" s="26"/>
      <c r="I290" s="26"/>
      <c r="J290" s="26"/>
      <c r="K290" s="28"/>
      <c r="L290" s="28"/>
      <c r="M290" s="28"/>
      <c r="N290" s="28"/>
      <c r="O290" s="28"/>
      <c r="P290" s="28"/>
      <c r="Q290" s="28"/>
      <c r="R290" s="28"/>
      <c r="S290" s="109"/>
      <c r="T290" s="112"/>
      <c r="U290" s="12"/>
      <c r="X290" s="14"/>
      <c r="Y290" s="15"/>
    </row>
    <row r="291" spans="1:25" x14ac:dyDescent="0.3">
      <c r="A291" s="2"/>
      <c r="B291" s="2"/>
      <c r="C291" s="2"/>
      <c r="D291" s="2"/>
      <c r="E291" s="11"/>
      <c r="F291" s="11"/>
      <c r="G291" s="2"/>
      <c r="H291" s="13"/>
      <c r="I291" s="13"/>
      <c r="J291" s="13"/>
      <c r="K291" s="6"/>
      <c r="L291" s="6"/>
      <c r="M291" s="6"/>
      <c r="N291" s="6"/>
      <c r="O291" s="6"/>
      <c r="P291" s="6"/>
      <c r="Q291" s="6"/>
      <c r="R291" s="6"/>
      <c r="S291" s="108"/>
      <c r="T291" s="111"/>
      <c r="U291" s="12"/>
      <c r="X291" s="14"/>
      <c r="Y291" s="15"/>
    </row>
    <row r="292" spans="1:25" x14ac:dyDescent="0.3">
      <c r="A292" s="2"/>
      <c r="B292" s="2"/>
      <c r="C292" s="2"/>
      <c r="D292" s="2"/>
      <c r="E292" s="11"/>
      <c r="F292" s="11"/>
      <c r="G292" s="2"/>
      <c r="H292" s="13"/>
      <c r="I292" s="13"/>
      <c r="J292" s="13"/>
      <c r="K292" s="6"/>
      <c r="L292" s="6"/>
      <c r="M292" s="6"/>
      <c r="N292" s="6"/>
      <c r="O292" s="6"/>
      <c r="P292" s="6"/>
      <c r="Q292" s="6"/>
      <c r="R292" s="6"/>
      <c r="S292" s="108"/>
      <c r="T292" s="111"/>
      <c r="U292" s="12"/>
    </row>
    <row r="293" spans="1:25" x14ac:dyDescent="0.3">
      <c r="A293" s="2"/>
      <c r="B293" s="2"/>
      <c r="C293" s="2"/>
      <c r="D293" s="2"/>
      <c r="E293" s="11"/>
      <c r="F293" s="11"/>
      <c r="G293" s="2"/>
      <c r="H293" s="13"/>
      <c r="I293" s="13"/>
      <c r="J293" s="13"/>
      <c r="K293" s="6"/>
      <c r="L293" s="6"/>
      <c r="M293" s="6"/>
      <c r="N293" s="6"/>
      <c r="O293" s="6"/>
      <c r="P293" s="6"/>
      <c r="Q293" s="6"/>
      <c r="R293" s="6"/>
      <c r="S293" s="108"/>
      <c r="T293" s="111"/>
      <c r="U293" s="12"/>
    </row>
    <row r="294" spans="1:25" x14ac:dyDescent="0.3">
      <c r="A294" s="2"/>
      <c r="B294" s="2"/>
      <c r="C294" s="2"/>
      <c r="D294" s="2"/>
      <c r="E294" s="11"/>
      <c r="F294" s="11"/>
      <c r="G294" s="2"/>
      <c r="H294" s="13"/>
      <c r="I294" s="13"/>
      <c r="J294" s="13"/>
      <c r="K294" s="6"/>
      <c r="L294" s="6"/>
      <c r="M294" s="6"/>
      <c r="N294" s="6"/>
      <c r="O294" s="6"/>
      <c r="P294" s="6"/>
      <c r="Q294" s="6"/>
      <c r="R294" s="6"/>
      <c r="S294" s="108"/>
      <c r="T294" s="111"/>
      <c r="U294" s="12"/>
    </row>
    <row r="295" spans="1:25" x14ac:dyDescent="0.3">
      <c r="A295" s="2"/>
      <c r="B295" s="2"/>
      <c r="C295" s="2"/>
      <c r="D295" s="2"/>
      <c r="E295" s="11"/>
      <c r="F295" s="11"/>
      <c r="G295" s="2"/>
      <c r="H295" s="13"/>
      <c r="I295" s="13"/>
      <c r="J295" s="13"/>
      <c r="K295" s="6"/>
      <c r="L295" s="6"/>
      <c r="M295" s="6"/>
      <c r="N295" s="6"/>
      <c r="O295" s="6"/>
      <c r="P295" s="6"/>
      <c r="Q295" s="6"/>
      <c r="R295" s="6"/>
      <c r="S295" s="108"/>
      <c r="T295" s="111"/>
      <c r="U295" s="12"/>
    </row>
    <row r="296" spans="1:25" x14ac:dyDescent="0.3">
      <c r="A296" s="2"/>
      <c r="B296" s="2"/>
      <c r="C296" s="2"/>
      <c r="D296" s="2"/>
      <c r="E296" s="11"/>
      <c r="F296" s="11"/>
      <c r="G296" s="2"/>
      <c r="H296" s="13"/>
      <c r="I296" s="13"/>
      <c r="J296" s="13"/>
      <c r="K296" s="6"/>
      <c r="L296" s="6"/>
      <c r="M296" s="6"/>
      <c r="N296" s="6"/>
      <c r="O296" s="6"/>
      <c r="P296" s="6"/>
      <c r="Q296" s="6"/>
      <c r="R296" s="6"/>
      <c r="S296" s="108"/>
      <c r="T296" s="111"/>
      <c r="U296" s="12"/>
    </row>
    <row r="297" spans="1:25" x14ac:dyDescent="0.3">
      <c r="A297" s="11"/>
      <c r="B297" s="2"/>
      <c r="C297" s="2"/>
      <c r="D297" s="2"/>
      <c r="E297" s="11"/>
      <c r="F297" s="11"/>
      <c r="G297" s="2"/>
      <c r="H297" s="13"/>
      <c r="I297" s="13"/>
      <c r="J297" s="13"/>
      <c r="K297" s="6"/>
      <c r="L297" s="6"/>
      <c r="M297" s="6"/>
      <c r="N297" s="6"/>
      <c r="O297" s="6"/>
      <c r="P297" s="6"/>
      <c r="Q297" s="6"/>
      <c r="R297" s="6"/>
      <c r="S297" s="108"/>
      <c r="T297" s="111"/>
      <c r="U297" s="12"/>
    </row>
    <row r="298" spans="1:25" x14ac:dyDescent="0.3">
      <c r="A298" s="2"/>
      <c r="B298" s="2"/>
      <c r="C298" s="2"/>
      <c r="D298" s="2"/>
      <c r="E298" s="11"/>
      <c r="F298" s="11"/>
      <c r="G298" s="2"/>
      <c r="H298" s="13"/>
      <c r="I298" s="13"/>
      <c r="J298" s="13"/>
      <c r="K298" s="6"/>
      <c r="L298" s="6"/>
      <c r="M298" s="6"/>
      <c r="N298" s="6"/>
      <c r="O298" s="6"/>
      <c r="P298" s="6"/>
      <c r="Q298" s="6"/>
      <c r="R298" s="6"/>
      <c r="S298" s="108"/>
      <c r="T298" s="111"/>
      <c r="U298" s="12"/>
    </row>
    <row r="299" spans="1:25" x14ac:dyDescent="0.3">
      <c r="A299" s="2"/>
      <c r="B299" s="2"/>
      <c r="C299" s="2"/>
      <c r="D299" s="2"/>
      <c r="E299" s="11"/>
      <c r="F299" s="11"/>
      <c r="G299" s="2"/>
      <c r="H299" s="13"/>
      <c r="I299" s="13"/>
      <c r="J299" s="13"/>
      <c r="K299" s="6"/>
      <c r="L299" s="6"/>
      <c r="M299" s="6"/>
      <c r="N299" s="6"/>
      <c r="O299" s="6"/>
      <c r="P299" s="6"/>
      <c r="Q299" s="6"/>
      <c r="R299" s="6"/>
      <c r="S299" s="108"/>
      <c r="T299" s="111"/>
      <c r="U299" s="12"/>
    </row>
    <row r="300" spans="1:25" x14ac:dyDescent="0.3">
      <c r="A300" s="2"/>
      <c r="B300" s="2"/>
      <c r="C300" s="2"/>
      <c r="D300" s="2"/>
      <c r="E300" s="11"/>
      <c r="F300" s="11"/>
      <c r="G300" s="2"/>
      <c r="H300" s="13"/>
      <c r="I300" s="13"/>
      <c r="J300" s="13"/>
      <c r="K300" s="6"/>
      <c r="L300" s="6"/>
      <c r="M300" s="6"/>
      <c r="N300" s="6"/>
      <c r="O300" s="6"/>
      <c r="P300" s="6"/>
      <c r="Q300" s="6"/>
      <c r="R300" s="6"/>
      <c r="S300" s="108"/>
      <c r="T300" s="111"/>
      <c r="U300" s="12"/>
    </row>
    <row r="301" spans="1:25" x14ac:dyDescent="0.3">
      <c r="A301" s="2"/>
      <c r="B301" s="2"/>
      <c r="C301" s="2"/>
      <c r="D301" s="2"/>
      <c r="E301" s="11"/>
      <c r="F301" s="11"/>
      <c r="G301" s="2"/>
      <c r="H301" s="13"/>
      <c r="I301" s="13"/>
      <c r="J301" s="13"/>
      <c r="K301" s="6"/>
      <c r="L301" s="6"/>
      <c r="M301" s="6"/>
      <c r="N301" s="6"/>
      <c r="O301" s="6"/>
      <c r="P301" s="6"/>
      <c r="Q301" s="6"/>
      <c r="R301" s="6"/>
      <c r="S301" s="108"/>
      <c r="T301" s="111"/>
      <c r="U301" s="12"/>
    </row>
    <row r="302" spans="1:25" x14ac:dyDescent="0.3">
      <c r="A302" s="2"/>
      <c r="B302" s="2"/>
      <c r="C302" s="2"/>
      <c r="D302" s="2"/>
      <c r="E302" s="11"/>
      <c r="F302" s="11"/>
      <c r="G302" s="2"/>
      <c r="H302" s="13"/>
      <c r="I302" s="13"/>
      <c r="J302" s="13"/>
      <c r="K302" s="6"/>
      <c r="L302" s="6"/>
      <c r="M302" s="6"/>
      <c r="N302" s="6"/>
      <c r="O302" s="6"/>
      <c r="P302" s="6"/>
      <c r="Q302" s="6"/>
      <c r="R302" s="6"/>
      <c r="S302" s="108"/>
      <c r="T302" s="111"/>
      <c r="U302" s="12"/>
    </row>
    <row r="303" spans="1:25" x14ac:dyDescent="0.3">
      <c r="A303" s="11"/>
      <c r="B303" s="11"/>
      <c r="C303" s="11"/>
      <c r="D303" s="11"/>
      <c r="E303" s="11"/>
      <c r="F303" s="11"/>
      <c r="G303" s="11"/>
      <c r="H303" s="20"/>
      <c r="I303" s="20"/>
      <c r="J303" s="20"/>
      <c r="K303" s="21"/>
      <c r="L303" s="21"/>
      <c r="M303" s="21"/>
      <c r="N303" s="21"/>
      <c r="O303" s="21"/>
      <c r="P303" s="21"/>
      <c r="Q303" s="21"/>
      <c r="R303" s="21"/>
      <c r="S303" s="110"/>
      <c r="T303" s="113"/>
      <c r="U303" s="12"/>
    </row>
    <row r="304" spans="1:25" x14ac:dyDescent="0.3">
      <c r="A304" s="2"/>
      <c r="B304" s="2"/>
      <c r="C304" s="2"/>
      <c r="D304" s="2"/>
      <c r="E304" s="11"/>
      <c r="F304" s="11"/>
      <c r="G304" s="2"/>
      <c r="H304" s="13"/>
      <c r="I304" s="13"/>
      <c r="J304" s="13"/>
      <c r="K304" s="6"/>
      <c r="L304" s="6"/>
      <c r="M304" s="6"/>
      <c r="N304" s="6"/>
      <c r="O304" s="6"/>
      <c r="P304" s="6"/>
      <c r="Q304" s="6"/>
      <c r="R304" s="6"/>
      <c r="S304" s="108"/>
      <c r="T304" s="111"/>
      <c r="U304" s="12"/>
    </row>
    <row r="305" spans="1:21" x14ac:dyDescent="0.3">
      <c r="A305" s="2"/>
      <c r="B305" s="2"/>
      <c r="C305" s="2"/>
      <c r="D305" s="2"/>
      <c r="E305" s="11"/>
      <c r="F305" s="11"/>
      <c r="G305" s="2"/>
      <c r="H305" s="13"/>
      <c r="I305" s="13"/>
      <c r="J305" s="13"/>
      <c r="K305" s="6"/>
      <c r="L305" s="6"/>
      <c r="M305" s="6"/>
      <c r="N305" s="6"/>
      <c r="O305" s="6"/>
      <c r="P305" s="6"/>
      <c r="Q305" s="6"/>
      <c r="R305" s="6"/>
      <c r="S305" s="108"/>
      <c r="T305" s="111"/>
      <c r="U305" s="12"/>
    </row>
    <row r="306" spans="1:21" x14ac:dyDescent="0.3">
      <c r="A306" s="11"/>
      <c r="B306" s="2"/>
      <c r="C306" s="2"/>
      <c r="D306" s="2"/>
      <c r="E306" s="11"/>
      <c r="F306" s="11"/>
      <c r="G306" s="2"/>
      <c r="H306" s="13"/>
      <c r="I306" s="13"/>
      <c r="J306" s="13"/>
      <c r="K306" s="6"/>
      <c r="L306" s="6"/>
      <c r="M306" s="6"/>
      <c r="N306" s="6"/>
      <c r="O306" s="6"/>
      <c r="P306" s="6"/>
      <c r="Q306" s="6"/>
      <c r="R306" s="6"/>
      <c r="S306" s="108"/>
      <c r="T306" s="111"/>
      <c r="U306" s="12"/>
    </row>
    <row r="307" spans="1:21" x14ac:dyDescent="0.3">
      <c r="A307" s="2"/>
      <c r="B307" s="2"/>
      <c r="C307" s="2"/>
      <c r="D307" s="2"/>
      <c r="E307" s="11"/>
      <c r="F307" s="11"/>
      <c r="G307" s="2"/>
      <c r="H307" s="13"/>
      <c r="I307" s="13"/>
      <c r="J307" s="13"/>
      <c r="K307" s="6"/>
      <c r="L307" s="6"/>
      <c r="M307" s="6"/>
      <c r="N307" s="6"/>
      <c r="O307" s="6"/>
      <c r="P307" s="6"/>
      <c r="Q307" s="6"/>
      <c r="R307" s="6"/>
      <c r="S307" s="108"/>
      <c r="T307" s="111"/>
      <c r="U307" s="12"/>
    </row>
    <row r="308" spans="1:21" x14ac:dyDescent="0.3">
      <c r="A308" s="2"/>
      <c r="B308" s="2"/>
      <c r="C308" s="2"/>
      <c r="D308" s="2"/>
      <c r="E308" s="11"/>
      <c r="F308" s="11"/>
      <c r="G308" s="2"/>
      <c r="H308" s="13"/>
      <c r="I308" s="13"/>
      <c r="J308" s="13"/>
      <c r="K308" s="6"/>
      <c r="L308" s="6"/>
      <c r="M308" s="6"/>
      <c r="N308" s="6"/>
      <c r="O308" s="6"/>
      <c r="P308" s="6"/>
      <c r="Q308" s="6"/>
      <c r="R308" s="6"/>
      <c r="S308" s="108"/>
      <c r="T308" s="111"/>
      <c r="U308" s="12"/>
    </row>
    <row r="309" spans="1:21" x14ac:dyDescent="0.3">
      <c r="A309" s="2"/>
      <c r="B309" s="2"/>
      <c r="C309" s="2"/>
      <c r="D309" s="2"/>
      <c r="E309" s="11"/>
      <c r="F309" s="11"/>
      <c r="G309" s="2"/>
      <c r="H309" s="13"/>
      <c r="I309" s="13"/>
      <c r="J309" s="13"/>
      <c r="K309" s="6"/>
      <c r="L309" s="6"/>
      <c r="M309" s="6"/>
      <c r="N309" s="6"/>
      <c r="O309" s="6"/>
      <c r="P309" s="6"/>
      <c r="Q309" s="6"/>
      <c r="R309" s="6"/>
      <c r="S309" s="108"/>
      <c r="T309" s="111"/>
      <c r="U309" s="12"/>
    </row>
    <row r="310" spans="1:21" x14ac:dyDescent="0.3">
      <c r="A310" s="2"/>
      <c r="B310" s="2"/>
      <c r="C310" s="2"/>
      <c r="D310" s="2"/>
      <c r="E310" s="11"/>
      <c r="F310" s="11"/>
      <c r="G310" s="2"/>
      <c r="H310" s="13"/>
      <c r="I310" s="13"/>
      <c r="J310" s="13"/>
      <c r="K310" s="6"/>
      <c r="L310" s="6"/>
      <c r="M310" s="6"/>
      <c r="N310" s="6"/>
      <c r="O310" s="6"/>
      <c r="P310" s="6"/>
      <c r="Q310" s="6"/>
      <c r="R310" s="6"/>
      <c r="S310" s="108"/>
      <c r="T310" s="111"/>
      <c r="U310" s="12"/>
    </row>
    <row r="311" spans="1:21" x14ac:dyDescent="0.3">
      <c r="A311" s="2"/>
      <c r="B311" s="2"/>
      <c r="C311" s="2"/>
      <c r="D311" s="2"/>
      <c r="E311" s="11"/>
      <c r="F311" s="11"/>
      <c r="G311" s="2"/>
      <c r="H311" s="13"/>
      <c r="I311" s="13"/>
      <c r="J311" s="13"/>
      <c r="K311" s="6"/>
      <c r="L311" s="6"/>
      <c r="M311" s="6"/>
      <c r="N311" s="6"/>
      <c r="O311" s="6"/>
      <c r="P311" s="6"/>
      <c r="Q311" s="6"/>
      <c r="R311" s="6"/>
      <c r="S311" s="108"/>
      <c r="T311" s="111"/>
      <c r="U311" s="12"/>
    </row>
    <row r="312" spans="1:21" x14ac:dyDescent="0.3">
      <c r="A312" s="2"/>
      <c r="B312" s="2"/>
      <c r="C312" s="2"/>
      <c r="D312" s="2"/>
      <c r="E312" s="11"/>
      <c r="F312" s="11"/>
      <c r="G312" s="2"/>
      <c r="H312" s="13"/>
      <c r="I312" s="13"/>
      <c r="J312" s="13"/>
      <c r="K312" s="6"/>
      <c r="L312" s="6"/>
      <c r="M312" s="6"/>
      <c r="N312" s="6"/>
      <c r="O312" s="6"/>
      <c r="P312" s="6"/>
      <c r="Q312" s="6"/>
      <c r="R312" s="6"/>
      <c r="S312" s="108"/>
      <c r="T312" s="111"/>
      <c r="U312" s="12"/>
    </row>
    <row r="313" spans="1:21" x14ac:dyDescent="0.3">
      <c r="A313" s="11"/>
      <c r="B313" s="2"/>
      <c r="C313" s="2"/>
      <c r="D313" s="2"/>
      <c r="E313" s="11"/>
      <c r="F313" s="11"/>
      <c r="G313" s="2"/>
      <c r="H313" s="13"/>
      <c r="I313" s="13"/>
      <c r="J313" s="13"/>
      <c r="K313" s="6"/>
      <c r="L313" s="6"/>
      <c r="M313" s="6"/>
      <c r="N313" s="6"/>
      <c r="O313" s="6"/>
      <c r="P313" s="6"/>
      <c r="Q313" s="6"/>
      <c r="R313" s="6"/>
      <c r="S313" s="108"/>
      <c r="T313" s="111"/>
      <c r="U313" s="12"/>
    </row>
    <row r="314" spans="1:21" x14ac:dyDescent="0.3">
      <c r="A314" s="2"/>
      <c r="B314" s="2"/>
      <c r="C314" s="2"/>
      <c r="D314" s="2"/>
      <c r="E314" s="11"/>
      <c r="F314" s="11"/>
      <c r="G314" s="2"/>
      <c r="H314" s="13"/>
      <c r="I314" s="13"/>
      <c r="J314" s="13"/>
      <c r="K314" s="6"/>
      <c r="L314" s="6"/>
      <c r="M314" s="6"/>
      <c r="N314" s="6"/>
      <c r="O314" s="6"/>
      <c r="P314" s="6"/>
      <c r="Q314" s="6"/>
      <c r="R314" s="6"/>
      <c r="S314" s="108"/>
      <c r="T314" s="111"/>
      <c r="U314" s="12"/>
    </row>
    <row r="315" spans="1:21" x14ac:dyDescent="0.3">
      <c r="A315" s="11"/>
      <c r="B315" s="2"/>
      <c r="C315" s="2"/>
      <c r="D315" s="2"/>
      <c r="E315" s="11"/>
      <c r="F315" s="11"/>
      <c r="G315" s="2"/>
      <c r="H315" s="13"/>
      <c r="I315" s="13"/>
      <c r="J315" s="13"/>
      <c r="K315" s="6"/>
      <c r="L315" s="6"/>
      <c r="M315" s="6"/>
      <c r="N315" s="6"/>
      <c r="O315" s="6"/>
      <c r="P315" s="6"/>
      <c r="Q315" s="6"/>
      <c r="R315" s="6"/>
      <c r="S315" s="108"/>
      <c r="T315" s="111"/>
      <c r="U315" s="12"/>
    </row>
    <row r="316" spans="1:21" x14ac:dyDescent="0.3">
      <c r="A316" s="11"/>
      <c r="B316" s="2"/>
      <c r="C316" s="2"/>
      <c r="D316" s="2"/>
      <c r="E316" s="11"/>
      <c r="F316" s="11"/>
      <c r="G316" s="2"/>
      <c r="H316" s="13"/>
      <c r="I316" s="13"/>
      <c r="J316" s="13"/>
      <c r="K316" s="6"/>
      <c r="L316" s="6"/>
      <c r="M316" s="6"/>
      <c r="N316" s="6"/>
      <c r="O316" s="6"/>
      <c r="P316" s="6"/>
      <c r="Q316" s="6"/>
      <c r="R316" s="6"/>
      <c r="S316" s="108"/>
      <c r="T316" s="111"/>
      <c r="U316" s="12"/>
    </row>
    <row r="317" spans="1:21" x14ac:dyDescent="0.3">
      <c r="A317" s="2"/>
      <c r="B317" s="2"/>
      <c r="C317" s="2"/>
      <c r="D317" s="2"/>
      <c r="E317" s="11"/>
      <c r="F317" s="11"/>
      <c r="G317" s="2"/>
      <c r="H317" s="13"/>
      <c r="I317" s="13"/>
      <c r="J317" s="13"/>
      <c r="K317" s="6"/>
      <c r="L317" s="6"/>
      <c r="M317" s="6"/>
      <c r="N317" s="6"/>
      <c r="O317" s="6"/>
      <c r="P317" s="6"/>
      <c r="Q317" s="6"/>
      <c r="R317" s="6"/>
      <c r="S317" s="108"/>
      <c r="T317" s="111"/>
      <c r="U317" s="12"/>
    </row>
    <row r="318" spans="1:21" x14ac:dyDescent="0.3">
      <c r="A318" s="2"/>
      <c r="B318" s="2"/>
      <c r="C318" s="2"/>
      <c r="D318" s="2"/>
      <c r="E318" s="11"/>
      <c r="F318" s="11"/>
      <c r="G318" s="2"/>
      <c r="H318" s="13"/>
      <c r="I318" s="13"/>
      <c r="J318" s="13"/>
      <c r="K318" s="6"/>
      <c r="L318" s="6"/>
      <c r="M318" s="6"/>
      <c r="N318" s="6"/>
      <c r="O318" s="6"/>
      <c r="P318" s="6"/>
      <c r="Q318" s="6"/>
      <c r="R318" s="6"/>
      <c r="S318" s="108"/>
      <c r="T318" s="111"/>
      <c r="U318" s="12"/>
    </row>
    <row r="319" spans="1:21" x14ac:dyDescent="0.3">
      <c r="A319" s="2"/>
      <c r="B319" s="2"/>
      <c r="C319" s="2"/>
      <c r="D319" s="2"/>
      <c r="E319" s="11"/>
      <c r="F319" s="11"/>
      <c r="G319" s="2"/>
      <c r="H319" s="13"/>
      <c r="I319" s="13"/>
      <c r="J319" s="13"/>
      <c r="K319" s="6"/>
      <c r="L319" s="6"/>
      <c r="M319" s="6"/>
      <c r="N319" s="6"/>
      <c r="O319" s="6"/>
      <c r="P319" s="6"/>
      <c r="Q319" s="6"/>
      <c r="R319" s="6"/>
      <c r="S319" s="108"/>
      <c r="T319" s="111"/>
      <c r="U319" s="12"/>
    </row>
    <row r="320" spans="1:21" x14ac:dyDescent="0.3">
      <c r="A320" s="2"/>
      <c r="B320" s="2"/>
      <c r="C320" s="2"/>
      <c r="D320" s="2"/>
      <c r="E320" s="11"/>
      <c r="F320" s="11"/>
      <c r="G320" s="2"/>
      <c r="H320" s="13"/>
      <c r="I320" s="13"/>
      <c r="J320" s="13"/>
      <c r="K320" s="6"/>
      <c r="L320" s="6"/>
      <c r="M320" s="6"/>
      <c r="N320" s="6"/>
      <c r="O320" s="6"/>
      <c r="P320" s="6"/>
      <c r="Q320" s="6"/>
      <c r="R320" s="6"/>
      <c r="S320" s="108"/>
      <c r="T320" s="111"/>
      <c r="U320" s="12"/>
    </row>
    <row r="321" spans="1:21" x14ac:dyDescent="0.3">
      <c r="A321" s="2"/>
      <c r="B321" s="2"/>
      <c r="C321" s="2"/>
      <c r="D321" s="2"/>
      <c r="E321" s="11"/>
      <c r="F321" s="11"/>
      <c r="G321" s="2"/>
      <c r="H321" s="13"/>
      <c r="I321" s="13"/>
      <c r="J321" s="13"/>
      <c r="K321" s="6"/>
      <c r="L321" s="6"/>
      <c r="M321" s="6"/>
      <c r="N321" s="6"/>
      <c r="O321" s="6"/>
      <c r="P321" s="6"/>
      <c r="Q321" s="6"/>
      <c r="R321" s="6"/>
      <c r="S321" s="108"/>
      <c r="T321" s="111"/>
      <c r="U321" s="12"/>
    </row>
    <row r="322" spans="1:21" x14ac:dyDescent="0.3">
      <c r="A322" s="2"/>
      <c r="B322" s="2"/>
      <c r="C322" s="2"/>
      <c r="D322" s="2"/>
      <c r="E322" s="11"/>
      <c r="F322" s="11"/>
      <c r="G322" s="2"/>
      <c r="H322" s="13"/>
      <c r="I322" s="13"/>
      <c r="J322" s="13"/>
      <c r="K322" s="6"/>
      <c r="L322" s="6"/>
      <c r="M322" s="6"/>
      <c r="N322" s="6"/>
      <c r="O322" s="6"/>
      <c r="P322" s="6"/>
      <c r="Q322" s="6"/>
      <c r="R322" s="6"/>
      <c r="S322" s="108"/>
      <c r="T322" s="111"/>
      <c r="U322" s="12"/>
    </row>
    <row r="323" spans="1:21" x14ac:dyDescent="0.3">
      <c r="A323" s="2"/>
      <c r="B323" s="2"/>
      <c r="C323" s="2"/>
      <c r="D323" s="2"/>
      <c r="E323" s="11"/>
      <c r="F323" s="11"/>
      <c r="G323" s="2"/>
      <c r="H323" s="13"/>
      <c r="I323" s="13"/>
      <c r="J323" s="13"/>
      <c r="K323" s="6"/>
      <c r="L323" s="6"/>
      <c r="M323" s="6"/>
      <c r="N323" s="6"/>
      <c r="O323" s="6"/>
      <c r="P323" s="6"/>
      <c r="Q323" s="6"/>
      <c r="R323" s="6"/>
      <c r="S323" s="108"/>
      <c r="T323" s="111"/>
      <c r="U323" s="12"/>
    </row>
    <row r="324" spans="1:21" x14ac:dyDescent="0.3">
      <c r="A324" s="2"/>
      <c r="B324" s="2"/>
      <c r="C324" s="2"/>
      <c r="D324" s="2"/>
      <c r="E324" s="11"/>
      <c r="F324" s="11"/>
      <c r="G324" s="2"/>
      <c r="H324" s="13"/>
      <c r="I324" s="13"/>
      <c r="J324" s="13"/>
      <c r="K324" s="6"/>
      <c r="L324" s="6"/>
      <c r="M324" s="6"/>
      <c r="N324" s="6"/>
      <c r="O324" s="6"/>
      <c r="P324" s="6"/>
      <c r="Q324" s="6"/>
      <c r="R324" s="6"/>
      <c r="S324" s="108"/>
      <c r="T324" s="111"/>
      <c r="U324" s="12"/>
    </row>
    <row r="325" spans="1:21" x14ac:dyDescent="0.3">
      <c r="A325" s="2"/>
      <c r="B325" s="2"/>
      <c r="C325" s="2"/>
      <c r="D325" s="2"/>
      <c r="E325" s="11"/>
      <c r="F325" s="11"/>
      <c r="G325" s="2"/>
      <c r="H325" s="13"/>
      <c r="I325" s="13"/>
      <c r="J325" s="13"/>
      <c r="K325" s="6"/>
      <c r="L325" s="6"/>
      <c r="M325" s="6"/>
      <c r="N325" s="6"/>
      <c r="O325" s="6"/>
      <c r="P325" s="6"/>
      <c r="Q325" s="6"/>
      <c r="R325" s="6"/>
      <c r="S325" s="108"/>
      <c r="T325" s="111"/>
      <c r="U325" s="12"/>
    </row>
    <row r="326" spans="1:21" x14ac:dyDescent="0.3">
      <c r="A326" s="2"/>
      <c r="B326" s="2"/>
      <c r="C326" s="2"/>
      <c r="D326" s="2"/>
      <c r="E326" s="11"/>
      <c r="F326" s="11"/>
      <c r="G326" s="2"/>
      <c r="H326" s="13"/>
      <c r="I326" s="13"/>
      <c r="J326" s="13"/>
      <c r="K326" s="6"/>
      <c r="L326" s="6"/>
      <c r="M326" s="6"/>
      <c r="N326" s="6"/>
      <c r="O326" s="6"/>
      <c r="P326" s="6"/>
      <c r="Q326" s="6"/>
      <c r="R326" s="6"/>
      <c r="S326" s="108"/>
      <c r="T326" s="111"/>
      <c r="U326" s="12"/>
    </row>
    <row r="327" spans="1:21" x14ac:dyDescent="0.3">
      <c r="A327" s="2"/>
      <c r="B327" s="2"/>
      <c r="C327" s="2"/>
      <c r="D327" s="2"/>
      <c r="E327" s="11"/>
      <c r="F327" s="11"/>
      <c r="G327" s="2"/>
      <c r="H327" s="13"/>
      <c r="I327" s="13"/>
      <c r="J327" s="13"/>
      <c r="K327" s="6"/>
      <c r="L327" s="6"/>
      <c r="M327" s="6"/>
      <c r="N327" s="6"/>
      <c r="O327" s="6"/>
      <c r="P327" s="6"/>
      <c r="Q327" s="6"/>
      <c r="R327" s="6"/>
      <c r="S327" s="108"/>
      <c r="T327" s="111"/>
      <c r="U327" s="12"/>
    </row>
    <row r="328" spans="1:21" x14ac:dyDescent="0.3">
      <c r="A328" s="2"/>
      <c r="B328" s="2"/>
      <c r="C328" s="2"/>
      <c r="D328" s="2"/>
      <c r="E328" s="11"/>
      <c r="F328" s="11"/>
      <c r="G328" s="2"/>
      <c r="H328" s="13"/>
      <c r="I328" s="13"/>
      <c r="J328" s="13"/>
      <c r="K328" s="6"/>
      <c r="L328" s="6"/>
      <c r="M328" s="6"/>
      <c r="N328" s="6"/>
      <c r="O328" s="6"/>
      <c r="P328" s="6"/>
      <c r="Q328" s="6"/>
      <c r="R328" s="6"/>
      <c r="S328" s="108"/>
      <c r="T328" s="111"/>
      <c r="U328" s="12"/>
    </row>
    <row r="329" spans="1:21" x14ac:dyDescent="0.3">
      <c r="A329" s="2"/>
      <c r="B329" s="2"/>
      <c r="C329" s="2"/>
      <c r="D329" s="2"/>
      <c r="E329" s="11"/>
      <c r="F329" s="11"/>
      <c r="G329" s="2"/>
      <c r="H329" s="13"/>
      <c r="I329" s="13"/>
      <c r="J329" s="13"/>
      <c r="K329" s="6"/>
      <c r="L329" s="6"/>
      <c r="M329" s="6"/>
      <c r="N329" s="6"/>
      <c r="O329" s="6"/>
      <c r="P329" s="6"/>
      <c r="Q329" s="6"/>
      <c r="R329" s="6"/>
      <c r="S329" s="108"/>
      <c r="T329" s="111"/>
      <c r="U329" s="12"/>
    </row>
    <row r="330" spans="1:21" x14ac:dyDescent="0.3">
      <c r="A330" s="2"/>
      <c r="B330" s="2"/>
      <c r="C330" s="2"/>
      <c r="D330" s="2"/>
      <c r="E330" s="11"/>
      <c r="F330" s="11"/>
      <c r="G330" s="2"/>
      <c r="H330" s="13"/>
      <c r="I330" s="13"/>
      <c r="J330" s="13"/>
      <c r="K330" s="6"/>
      <c r="L330" s="6"/>
      <c r="M330" s="6"/>
      <c r="N330" s="6"/>
      <c r="O330" s="6"/>
      <c r="P330" s="6"/>
      <c r="Q330" s="6"/>
      <c r="R330" s="6"/>
      <c r="S330" s="108"/>
      <c r="T330" s="111"/>
      <c r="U330" s="12"/>
    </row>
    <row r="331" spans="1:21" x14ac:dyDescent="0.3">
      <c r="A331" s="2"/>
      <c r="B331" s="2"/>
      <c r="C331" s="2"/>
      <c r="D331" s="2"/>
      <c r="E331" s="11"/>
      <c r="F331" s="11"/>
      <c r="G331" s="2"/>
      <c r="H331" s="13"/>
      <c r="I331" s="13"/>
      <c r="J331" s="13"/>
      <c r="K331" s="6"/>
      <c r="L331" s="6"/>
      <c r="M331" s="6"/>
      <c r="N331" s="6"/>
      <c r="O331" s="6"/>
      <c r="P331" s="6"/>
      <c r="Q331" s="6"/>
      <c r="R331" s="6"/>
      <c r="S331" s="108"/>
      <c r="T331" s="111"/>
      <c r="U331" s="12"/>
    </row>
    <row r="332" spans="1:21" x14ac:dyDescent="0.3">
      <c r="A332" s="2"/>
      <c r="B332" s="2"/>
      <c r="C332" s="2"/>
      <c r="D332" s="2"/>
      <c r="E332" s="11"/>
      <c r="F332" s="11"/>
      <c r="G332" s="2"/>
      <c r="H332" s="13"/>
      <c r="I332" s="13"/>
      <c r="J332" s="13"/>
      <c r="K332" s="6"/>
      <c r="L332" s="6"/>
      <c r="M332" s="6"/>
      <c r="N332" s="6"/>
      <c r="O332" s="6"/>
      <c r="P332" s="6"/>
      <c r="Q332" s="6"/>
      <c r="R332" s="6"/>
      <c r="S332" s="108"/>
      <c r="T332" s="111"/>
      <c r="U332" s="12"/>
    </row>
    <row r="333" spans="1:21" x14ac:dyDescent="0.3">
      <c r="A333" s="2"/>
      <c r="B333" s="2"/>
      <c r="C333" s="2"/>
      <c r="D333" s="2"/>
      <c r="E333" s="11"/>
      <c r="F333" s="11"/>
      <c r="G333" s="2"/>
      <c r="H333" s="13"/>
      <c r="I333" s="13"/>
      <c r="J333" s="13"/>
      <c r="K333" s="6"/>
      <c r="L333" s="6"/>
      <c r="M333" s="6"/>
      <c r="N333" s="6"/>
      <c r="O333" s="6"/>
      <c r="P333" s="6"/>
      <c r="Q333" s="6"/>
      <c r="R333" s="6"/>
      <c r="S333" s="108"/>
      <c r="T333" s="111"/>
      <c r="U333" s="12"/>
    </row>
    <row r="334" spans="1:21" x14ac:dyDescent="0.3">
      <c r="A334" s="2"/>
      <c r="B334" s="2"/>
      <c r="C334" s="2"/>
      <c r="D334" s="2"/>
      <c r="E334" s="11"/>
      <c r="F334" s="11"/>
      <c r="G334" s="2"/>
      <c r="H334" s="13"/>
      <c r="I334" s="13"/>
      <c r="J334" s="13"/>
      <c r="K334" s="6"/>
      <c r="L334" s="6"/>
      <c r="M334" s="6"/>
      <c r="N334" s="6"/>
      <c r="O334" s="6"/>
      <c r="P334" s="6"/>
      <c r="Q334" s="6"/>
      <c r="R334" s="6"/>
      <c r="S334" s="108"/>
      <c r="T334" s="111"/>
      <c r="U334" s="12"/>
    </row>
    <row r="335" spans="1:21" x14ac:dyDescent="0.3">
      <c r="A335" s="2"/>
      <c r="B335" s="2"/>
      <c r="C335" s="2"/>
      <c r="D335" s="2"/>
      <c r="E335" s="11"/>
      <c r="F335" s="11"/>
      <c r="G335" s="2"/>
      <c r="H335" s="13"/>
      <c r="I335" s="13"/>
      <c r="J335" s="13"/>
      <c r="K335" s="6"/>
      <c r="L335" s="6"/>
      <c r="M335" s="6"/>
      <c r="N335" s="6"/>
      <c r="O335" s="6"/>
      <c r="P335" s="6"/>
      <c r="Q335" s="6"/>
      <c r="R335" s="6"/>
      <c r="S335" s="108"/>
      <c r="T335" s="111"/>
      <c r="U335" s="12"/>
    </row>
    <row r="336" spans="1:21" x14ac:dyDescent="0.3">
      <c r="A336" s="2"/>
      <c r="B336" s="2"/>
      <c r="C336" s="2"/>
      <c r="D336" s="2"/>
      <c r="E336" s="11"/>
      <c r="F336" s="11"/>
      <c r="G336" s="2"/>
      <c r="H336" s="13"/>
      <c r="I336" s="13"/>
      <c r="J336" s="13"/>
      <c r="K336" s="6"/>
      <c r="L336" s="6"/>
      <c r="M336" s="6"/>
      <c r="N336" s="6"/>
      <c r="O336" s="6"/>
      <c r="P336" s="6"/>
      <c r="Q336" s="6"/>
      <c r="R336" s="6"/>
      <c r="S336" s="108"/>
      <c r="T336" s="111"/>
      <c r="U336" s="12"/>
    </row>
    <row r="337" spans="1:21" x14ac:dyDescent="0.3">
      <c r="A337" s="2"/>
      <c r="B337" s="2"/>
      <c r="C337" s="2"/>
      <c r="D337" s="2"/>
      <c r="E337" s="11"/>
      <c r="F337" s="11"/>
      <c r="G337" s="2"/>
      <c r="H337" s="13"/>
      <c r="I337" s="13"/>
      <c r="J337" s="13"/>
      <c r="K337" s="6"/>
      <c r="L337" s="6"/>
      <c r="M337" s="6"/>
      <c r="N337" s="6"/>
      <c r="O337" s="6"/>
      <c r="P337" s="6"/>
      <c r="Q337" s="6"/>
      <c r="R337" s="6"/>
      <c r="S337" s="108"/>
      <c r="T337" s="111"/>
      <c r="U337" s="12"/>
    </row>
    <row r="338" spans="1:21" x14ac:dyDescent="0.3">
      <c r="A338" s="2"/>
      <c r="B338" s="2"/>
      <c r="C338" s="2"/>
      <c r="D338" s="2"/>
      <c r="E338" s="11"/>
      <c r="F338" s="11"/>
      <c r="G338" s="2"/>
      <c r="H338" s="13"/>
      <c r="I338" s="13"/>
      <c r="J338" s="13"/>
      <c r="K338" s="6"/>
      <c r="L338" s="6"/>
      <c r="M338" s="6"/>
      <c r="N338" s="6"/>
      <c r="O338" s="6"/>
      <c r="P338" s="6"/>
      <c r="Q338" s="6"/>
      <c r="R338" s="6"/>
      <c r="S338" s="108"/>
      <c r="T338" s="111"/>
      <c r="U338" s="12"/>
    </row>
    <row r="339" spans="1:21" x14ac:dyDescent="0.3">
      <c r="A339" s="2"/>
      <c r="B339" s="2"/>
      <c r="C339" s="2"/>
      <c r="D339" s="2"/>
      <c r="E339" s="11"/>
      <c r="F339" s="11"/>
      <c r="G339" s="2"/>
      <c r="H339" s="13"/>
      <c r="I339" s="13"/>
      <c r="J339" s="13"/>
      <c r="K339" s="6"/>
      <c r="L339" s="6"/>
      <c r="M339" s="6"/>
      <c r="N339" s="6"/>
      <c r="O339" s="6"/>
      <c r="P339" s="6"/>
      <c r="Q339" s="6"/>
      <c r="R339" s="6"/>
      <c r="S339" s="108"/>
      <c r="T339" s="111"/>
      <c r="U339" s="12"/>
    </row>
    <row r="340" spans="1:21" x14ac:dyDescent="0.3">
      <c r="A340" s="2"/>
      <c r="B340" s="2"/>
      <c r="C340" s="2"/>
      <c r="D340" s="2"/>
      <c r="E340" s="11"/>
      <c r="F340" s="11"/>
      <c r="G340" s="2"/>
      <c r="H340" s="13"/>
      <c r="I340" s="13"/>
      <c r="J340" s="13"/>
      <c r="K340" s="6"/>
      <c r="L340" s="6"/>
      <c r="M340" s="6"/>
      <c r="N340" s="6"/>
      <c r="O340" s="6"/>
      <c r="P340" s="6"/>
      <c r="Q340" s="6"/>
      <c r="R340" s="6"/>
      <c r="S340" s="108"/>
      <c r="T340" s="111"/>
      <c r="U340" s="12"/>
    </row>
    <row r="341" spans="1:21" x14ac:dyDescent="0.3">
      <c r="A341" s="2"/>
      <c r="B341" s="2"/>
      <c r="C341" s="2"/>
      <c r="D341" s="2"/>
      <c r="E341" s="11"/>
      <c r="F341" s="11"/>
      <c r="G341" s="2"/>
      <c r="H341" s="13"/>
      <c r="I341" s="13"/>
      <c r="J341" s="13"/>
      <c r="K341" s="6"/>
      <c r="L341" s="6"/>
      <c r="M341" s="6"/>
      <c r="N341" s="6"/>
      <c r="O341" s="6"/>
      <c r="P341" s="6"/>
      <c r="Q341" s="6"/>
      <c r="R341" s="6"/>
      <c r="S341" s="108"/>
      <c r="T341" s="111"/>
      <c r="U341" s="12"/>
    </row>
    <row r="342" spans="1:21" x14ac:dyDescent="0.3">
      <c r="A342" s="2"/>
      <c r="B342" s="2"/>
      <c r="C342" s="2"/>
      <c r="D342" s="2"/>
      <c r="E342" s="11"/>
      <c r="F342" s="11"/>
      <c r="G342" s="2"/>
      <c r="H342" s="13"/>
      <c r="I342" s="13"/>
      <c r="J342" s="13"/>
      <c r="K342" s="6"/>
      <c r="L342" s="6"/>
      <c r="M342" s="6"/>
      <c r="N342" s="6"/>
      <c r="O342" s="6"/>
      <c r="P342" s="6"/>
      <c r="Q342" s="6"/>
      <c r="R342" s="6"/>
      <c r="S342" s="108"/>
      <c r="T342" s="111"/>
      <c r="U342" s="12"/>
    </row>
    <row r="343" spans="1:21" x14ac:dyDescent="0.3">
      <c r="A343" s="2"/>
      <c r="B343" s="2"/>
      <c r="C343" s="2"/>
      <c r="D343" s="2"/>
      <c r="E343" s="11"/>
      <c r="F343" s="11"/>
      <c r="G343" s="2"/>
      <c r="H343" s="13"/>
      <c r="I343" s="13"/>
      <c r="J343" s="13"/>
      <c r="K343" s="6"/>
      <c r="L343" s="6"/>
      <c r="M343" s="6"/>
      <c r="N343" s="6"/>
      <c r="O343" s="6"/>
      <c r="P343" s="6"/>
      <c r="Q343" s="6"/>
      <c r="R343" s="6"/>
      <c r="S343" s="108"/>
      <c r="T343" s="111"/>
      <c r="U343" s="12"/>
    </row>
    <row r="344" spans="1:21" x14ac:dyDescent="0.3">
      <c r="A344" s="2"/>
      <c r="B344" s="2"/>
      <c r="C344" s="2"/>
      <c r="D344" s="2"/>
      <c r="E344" s="11"/>
      <c r="F344" s="11"/>
      <c r="G344" s="2"/>
      <c r="H344" s="13"/>
      <c r="I344" s="13"/>
      <c r="J344" s="13"/>
      <c r="K344" s="6"/>
      <c r="L344" s="6"/>
      <c r="M344" s="6"/>
      <c r="N344" s="6"/>
      <c r="O344" s="6"/>
      <c r="P344" s="6"/>
      <c r="Q344" s="6"/>
      <c r="R344" s="6"/>
      <c r="S344" s="108"/>
      <c r="T344" s="111"/>
      <c r="U344" s="12"/>
    </row>
    <row r="345" spans="1:21" x14ac:dyDescent="0.3">
      <c r="A345" s="2"/>
      <c r="B345" s="2"/>
      <c r="C345" s="2"/>
      <c r="D345" s="2"/>
      <c r="E345" s="11"/>
      <c r="F345" s="11"/>
      <c r="G345" s="2"/>
      <c r="H345" s="13"/>
      <c r="I345" s="13"/>
      <c r="J345" s="13"/>
      <c r="K345" s="6"/>
      <c r="L345" s="6"/>
      <c r="M345" s="6"/>
      <c r="N345" s="6"/>
      <c r="O345" s="6"/>
      <c r="P345" s="6"/>
      <c r="Q345" s="6"/>
      <c r="R345" s="6"/>
      <c r="S345" s="108"/>
      <c r="T345" s="111"/>
      <c r="U345" s="12"/>
    </row>
    <row r="346" spans="1:21" x14ac:dyDescent="0.3">
      <c r="A346" s="2"/>
      <c r="B346" s="2"/>
      <c r="C346" s="2"/>
      <c r="D346" s="2"/>
      <c r="E346" s="11"/>
      <c r="F346" s="11"/>
      <c r="G346" s="2"/>
      <c r="H346" s="13"/>
      <c r="I346" s="13"/>
      <c r="J346" s="13"/>
      <c r="K346" s="6"/>
      <c r="L346" s="6"/>
      <c r="M346" s="6"/>
      <c r="N346" s="6"/>
      <c r="O346" s="6"/>
      <c r="P346" s="6"/>
      <c r="Q346" s="6"/>
      <c r="R346" s="6"/>
      <c r="S346" s="108"/>
      <c r="T346" s="111"/>
      <c r="U346" s="12"/>
    </row>
    <row r="347" spans="1:21" x14ac:dyDescent="0.3">
      <c r="A347" s="2"/>
      <c r="B347" s="2"/>
      <c r="C347" s="2"/>
      <c r="D347" s="2"/>
      <c r="E347" s="11"/>
      <c r="F347" s="11"/>
      <c r="G347" s="2"/>
      <c r="H347" s="13"/>
      <c r="I347" s="13"/>
      <c r="J347" s="13"/>
      <c r="K347" s="6"/>
      <c r="L347" s="6"/>
      <c r="M347" s="6"/>
      <c r="N347" s="6"/>
      <c r="O347" s="6"/>
      <c r="P347" s="6"/>
      <c r="Q347" s="6"/>
      <c r="R347" s="6"/>
      <c r="S347" s="108"/>
      <c r="T347" s="111"/>
      <c r="U347" s="12"/>
    </row>
    <row r="348" spans="1:21" x14ac:dyDescent="0.3">
      <c r="A348" s="2"/>
      <c r="B348" s="2"/>
      <c r="C348" s="2"/>
      <c r="D348" s="2"/>
      <c r="E348" s="11"/>
      <c r="F348" s="11"/>
      <c r="G348" s="2"/>
      <c r="H348" s="13"/>
      <c r="I348" s="13"/>
      <c r="J348" s="13"/>
      <c r="K348" s="6"/>
      <c r="L348" s="6"/>
      <c r="M348" s="6"/>
      <c r="N348" s="6"/>
      <c r="O348" s="6"/>
      <c r="P348" s="6"/>
      <c r="Q348" s="6"/>
      <c r="R348" s="6"/>
      <c r="S348" s="108"/>
      <c r="T348" s="111"/>
      <c r="U348" s="12"/>
    </row>
    <row r="349" spans="1:21" x14ac:dyDescent="0.3">
      <c r="A349" s="2"/>
      <c r="B349" s="2"/>
      <c r="C349" s="2"/>
      <c r="D349" s="2"/>
      <c r="E349" s="11"/>
      <c r="F349" s="11"/>
      <c r="G349" s="2"/>
      <c r="H349" s="13"/>
      <c r="I349" s="13"/>
      <c r="J349" s="13"/>
      <c r="K349" s="6"/>
      <c r="L349" s="6"/>
      <c r="M349" s="6"/>
      <c r="N349" s="6"/>
      <c r="O349" s="6"/>
      <c r="P349" s="6"/>
      <c r="Q349" s="6"/>
      <c r="R349" s="6"/>
      <c r="S349" s="108"/>
      <c r="T349" s="111"/>
      <c r="U349" s="12"/>
    </row>
    <row r="350" spans="1:21" x14ac:dyDescent="0.3">
      <c r="A350" s="2"/>
      <c r="B350" s="2"/>
      <c r="C350" s="2"/>
      <c r="D350" s="2"/>
      <c r="E350" s="11"/>
      <c r="F350" s="11"/>
      <c r="G350" s="2"/>
      <c r="H350" s="13"/>
      <c r="I350" s="13"/>
      <c r="J350" s="13"/>
      <c r="K350" s="6"/>
      <c r="L350" s="6"/>
      <c r="M350" s="6"/>
      <c r="N350" s="6"/>
      <c r="O350" s="6"/>
      <c r="P350" s="6"/>
      <c r="Q350" s="6"/>
      <c r="R350" s="6"/>
      <c r="S350" s="108"/>
      <c r="T350" s="111"/>
      <c r="U350" s="12"/>
    </row>
    <row r="351" spans="1:21" x14ac:dyDescent="0.3">
      <c r="A351" s="2"/>
      <c r="B351" s="2"/>
      <c r="C351" s="2"/>
      <c r="D351" s="2"/>
      <c r="E351" s="11"/>
      <c r="F351" s="11"/>
      <c r="G351" s="2"/>
      <c r="H351" s="13"/>
      <c r="I351" s="13"/>
      <c r="J351" s="13"/>
      <c r="K351" s="6"/>
      <c r="L351" s="6"/>
      <c r="M351" s="6"/>
      <c r="N351" s="6"/>
      <c r="O351" s="6"/>
      <c r="P351" s="6"/>
      <c r="Q351" s="6"/>
      <c r="R351" s="6"/>
      <c r="S351" s="108"/>
      <c r="T351" s="111"/>
      <c r="U351" s="12"/>
    </row>
    <row r="352" spans="1:21" x14ac:dyDescent="0.3">
      <c r="A352" s="2"/>
      <c r="B352" s="2"/>
      <c r="C352" s="2"/>
      <c r="D352" s="2"/>
      <c r="E352" s="11"/>
      <c r="F352" s="11"/>
      <c r="G352" s="2"/>
      <c r="H352" s="13"/>
      <c r="I352" s="13"/>
      <c r="J352" s="13"/>
      <c r="K352" s="6"/>
      <c r="L352" s="6"/>
      <c r="M352" s="6"/>
      <c r="N352" s="6"/>
      <c r="O352" s="6"/>
      <c r="P352" s="6"/>
      <c r="Q352" s="6"/>
      <c r="R352" s="6"/>
      <c r="S352" s="108"/>
      <c r="T352" s="111"/>
      <c r="U352" s="12"/>
    </row>
    <row r="353" spans="1:21" x14ac:dyDescent="0.3">
      <c r="A353" s="2"/>
      <c r="B353" s="2"/>
      <c r="C353" s="2"/>
      <c r="D353" s="2"/>
      <c r="E353" s="11"/>
      <c r="F353" s="11"/>
      <c r="G353" s="2"/>
      <c r="H353" s="13"/>
      <c r="I353" s="13"/>
      <c r="J353" s="13"/>
      <c r="K353" s="6"/>
      <c r="L353" s="6"/>
      <c r="M353" s="6"/>
      <c r="N353" s="6"/>
      <c r="O353" s="6"/>
      <c r="P353" s="6"/>
      <c r="Q353" s="6"/>
      <c r="R353" s="6"/>
      <c r="S353" s="108"/>
      <c r="T353" s="111"/>
      <c r="U353" s="12"/>
    </row>
    <row r="354" spans="1:21" x14ac:dyDescent="0.3">
      <c r="A354" s="2"/>
      <c r="B354" s="2"/>
      <c r="C354" s="2"/>
      <c r="D354" s="2"/>
      <c r="E354" s="11"/>
      <c r="F354" s="11"/>
      <c r="G354" s="2"/>
      <c r="H354" s="13"/>
      <c r="I354" s="13"/>
      <c r="J354" s="13"/>
      <c r="K354" s="6"/>
      <c r="L354" s="6"/>
      <c r="M354" s="6"/>
      <c r="N354" s="6"/>
      <c r="O354" s="6"/>
      <c r="P354" s="6"/>
      <c r="Q354" s="6"/>
      <c r="R354" s="6"/>
      <c r="S354" s="108"/>
      <c r="T354" s="111"/>
      <c r="U354" s="12"/>
    </row>
    <row r="355" spans="1:21" x14ac:dyDescent="0.3">
      <c r="A355" s="2"/>
      <c r="B355" s="2"/>
      <c r="C355" s="2"/>
      <c r="D355" s="2"/>
      <c r="E355" s="11"/>
      <c r="F355" s="11"/>
      <c r="G355" s="2"/>
      <c r="H355" s="13"/>
      <c r="I355" s="13"/>
      <c r="J355" s="13"/>
      <c r="K355" s="6"/>
      <c r="L355" s="6"/>
      <c r="M355" s="6"/>
      <c r="N355" s="6"/>
      <c r="O355" s="6"/>
      <c r="P355" s="6"/>
      <c r="Q355" s="6"/>
      <c r="R355" s="6"/>
      <c r="S355" s="108"/>
      <c r="T355" s="111"/>
      <c r="U355" s="12"/>
    </row>
    <row r="356" spans="1:21" x14ac:dyDescent="0.3">
      <c r="A356" s="2"/>
      <c r="B356" s="2"/>
      <c r="C356" s="2"/>
      <c r="D356" s="2"/>
      <c r="E356" s="11"/>
      <c r="F356" s="11"/>
      <c r="G356" s="2"/>
      <c r="H356" s="13"/>
      <c r="I356" s="13"/>
      <c r="J356" s="13"/>
      <c r="K356" s="6"/>
      <c r="L356" s="6"/>
      <c r="M356" s="6"/>
      <c r="N356" s="6"/>
      <c r="O356" s="6"/>
      <c r="P356" s="6"/>
      <c r="Q356" s="6"/>
      <c r="R356" s="6"/>
      <c r="S356" s="108"/>
      <c r="T356" s="111"/>
      <c r="U356" s="12"/>
    </row>
    <row r="357" spans="1:21" x14ac:dyDescent="0.3">
      <c r="A357" s="2"/>
      <c r="B357" s="2"/>
      <c r="C357" s="2"/>
      <c r="D357" s="2"/>
      <c r="E357" s="11"/>
      <c r="F357" s="11"/>
      <c r="G357" s="2"/>
      <c r="H357" s="13"/>
      <c r="I357" s="13"/>
      <c r="J357" s="13"/>
      <c r="K357" s="6"/>
      <c r="L357" s="6"/>
      <c r="M357" s="6"/>
      <c r="N357" s="6"/>
      <c r="O357" s="6"/>
      <c r="P357" s="6"/>
      <c r="Q357" s="6"/>
      <c r="R357" s="6"/>
      <c r="S357" s="108"/>
      <c r="T357" s="111"/>
      <c r="U357" s="12"/>
    </row>
    <row r="358" spans="1:21" x14ac:dyDescent="0.3">
      <c r="A358" s="11"/>
      <c r="B358" s="2"/>
      <c r="C358" s="2"/>
      <c r="D358" s="2"/>
      <c r="E358" s="11"/>
      <c r="F358" s="11"/>
      <c r="G358" s="2"/>
      <c r="H358" s="13"/>
      <c r="I358" s="13"/>
      <c r="J358" s="13"/>
      <c r="K358" s="6"/>
      <c r="L358" s="6"/>
      <c r="M358" s="6"/>
      <c r="N358" s="6"/>
      <c r="O358" s="6"/>
      <c r="P358" s="6"/>
      <c r="Q358" s="6"/>
      <c r="R358" s="6"/>
      <c r="S358" s="108"/>
      <c r="T358" s="111"/>
      <c r="U358" s="12"/>
    </row>
    <row r="359" spans="1:21" x14ac:dyDescent="0.3">
      <c r="A359" s="2"/>
      <c r="B359" s="2"/>
      <c r="C359" s="2"/>
      <c r="D359" s="2"/>
      <c r="E359" s="11"/>
      <c r="F359" s="11"/>
      <c r="G359" s="2"/>
      <c r="H359" s="13"/>
      <c r="I359" s="13"/>
      <c r="J359" s="13"/>
      <c r="K359" s="6"/>
      <c r="L359" s="6"/>
      <c r="M359" s="6"/>
      <c r="N359" s="6"/>
      <c r="O359" s="6"/>
      <c r="P359" s="6"/>
      <c r="Q359" s="6"/>
      <c r="R359" s="6"/>
      <c r="S359" s="108"/>
      <c r="T359" s="111"/>
      <c r="U359" s="12"/>
    </row>
    <row r="360" spans="1:21" x14ac:dyDescent="0.3">
      <c r="A360" s="2"/>
      <c r="B360" s="2"/>
      <c r="C360" s="2"/>
      <c r="D360" s="2"/>
      <c r="E360" s="11"/>
      <c r="F360" s="11"/>
      <c r="G360" s="2"/>
      <c r="H360" s="13"/>
      <c r="I360" s="13"/>
      <c r="J360" s="13"/>
      <c r="K360" s="6"/>
      <c r="L360" s="6"/>
      <c r="M360" s="6"/>
      <c r="N360" s="6"/>
      <c r="O360" s="6"/>
      <c r="P360" s="6"/>
      <c r="Q360" s="6"/>
      <c r="R360" s="6"/>
      <c r="S360" s="108"/>
      <c r="T360" s="111"/>
      <c r="U360" s="12"/>
    </row>
    <row r="361" spans="1:21" x14ac:dyDescent="0.3">
      <c r="A361" s="2"/>
      <c r="B361" s="2"/>
      <c r="C361" s="2"/>
      <c r="D361" s="2"/>
      <c r="E361" s="11"/>
      <c r="F361" s="11"/>
      <c r="G361" s="2"/>
      <c r="H361" s="13"/>
      <c r="I361" s="13"/>
      <c r="J361" s="13"/>
      <c r="K361" s="6"/>
      <c r="L361" s="6"/>
      <c r="M361" s="6"/>
      <c r="N361" s="6"/>
      <c r="O361" s="6"/>
      <c r="P361" s="6"/>
      <c r="Q361" s="6"/>
      <c r="R361" s="6"/>
      <c r="S361" s="108"/>
      <c r="T361" s="111"/>
      <c r="U361" s="12"/>
    </row>
    <row r="362" spans="1:21" x14ac:dyDescent="0.3">
      <c r="A362" s="2"/>
      <c r="B362" s="2"/>
      <c r="C362" s="2"/>
      <c r="D362" s="2"/>
      <c r="E362" s="11"/>
      <c r="F362" s="11"/>
      <c r="G362" s="2"/>
      <c r="H362" s="13"/>
      <c r="I362" s="13"/>
      <c r="J362" s="13"/>
      <c r="K362" s="6"/>
      <c r="L362" s="6"/>
      <c r="M362" s="6"/>
      <c r="N362" s="6"/>
      <c r="O362" s="6"/>
      <c r="P362" s="6"/>
      <c r="Q362" s="6"/>
      <c r="R362" s="6"/>
      <c r="S362" s="108"/>
      <c r="T362" s="111"/>
      <c r="U362" s="12"/>
    </row>
    <row r="363" spans="1:21" x14ac:dyDescent="0.3">
      <c r="A363" s="2"/>
      <c r="B363" s="2"/>
      <c r="C363" s="2"/>
      <c r="D363" s="2"/>
      <c r="E363" s="11"/>
      <c r="F363" s="11"/>
      <c r="G363" s="2"/>
      <c r="H363" s="13"/>
      <c r="I363" s="13"/>
      <c r="J363" s="13"/>
      <c r="K363" s="6"/>
      <c r="L363" s="6"/>
      <c r="M363" s="6"/>
      <c r="N363" s="6"/>
      <c r="O363" s="6"/>
      <c r="P363" s="6"/>
      <c r="Q363" s="6"/>
      <c r="R363" s="6"/>
      <c r="S363" s="108"/>
      <c r="T363" s="111"/>
      <c r="U363" s="12"/>
    </row>
    <row r="364" spans="1:21" x14ac:dyDescent="0.3">
      <c r="A364" s="2"/>
      <c r="B364" s="2"/>
      <c r="C364" s="2"/>
      <c r="D364" s="2"/>
      <c r="E364" s="11"/>
      <c r="F364" s="11"/>
      <c r="G364" s="2"/>
      <c r="H364" s="13"/>
      <c r="I364" s="13"/>
      <c r="J364" s="13"/>
      <c r="K364" s="6"/>
      <c r="L364" s="6"/>
      <c r="M364" s="6"/>
      <c r="N364" s="6"/>
      <c r="O364" s="6"/>
      <c r="P364" s="6"/>
      <c r="Q364" s="6"/>
      <c r="R364" s="6"/>
      <c r="S364" s="108"/>
      <c r="T364" s="111"/>
      <c r="U364" s="12"/>
    </row>
    <row r="365" spans="1:21" x14ac:dyDescent="0.3">
      <c r="A365" s="2"/>
      <c r="B365" s="2"/>
      <c r="C365" s="2"/>
      <c r="D365" s="2"/>
      <c r="E365" s="11"/>
      <c r="F365" s="11"/>
      <c r="G365" s="2"/>
      <c r="H365" s="13"/>
      <c r="I365" s="13"/>
      <c r="J365" s="13"/>
      <c r="K365" s="6"/>
      <c r="L365" s="6"/>
      <c r="M365" s="6"/>
      <c r="N365" s="6"/>
      <c r="O365" s="6"/>
      <c r="P365" s="6"/>
      <c r="Q365" s="6"/>
      <c r="R365" s="6"/>
      <c r="S365" s="108"/>
      <c r="T365" s="111"/>
      <c r="U365" s="12"/>
    </row>
    <row r="366" spans="1:21" x14ac:dyDescent="0.3">
      <c r="A366" s="2"/>
      <c r="B366" s="2"/>
      <c r="C366" s="2"/>
      <c r="D366" s="2"/>
      <c r="E366" s="11"/>
      <c r="F366" s="11"/>
      <c r="G366" s="2"/>
      <c r="H366" s="13"/>
      <c r="I366" s="13"/>
      <c r="J366" s="13"/>
      <c r="K366" s="6"/>
      <c r="L366" s="6"/>
      <c r="M366" s="6"/>
      <c r="N366" s="6"/>
      <c r="O366" s="6"/>
      <c r="P366" s="6"/>
      <c r="Q366" s="6"/>
      <c r="R366" s="6"/>
      <c r="S366" s="108"/>
      <c r="T366" s="111"/>
      <c r="U366" s="12"/>
    </row>
    <row r="367" spans="1:21" x14ac:dyDescent="0.3">
      <c r="A367" s="2"/>
      <c r="B367" s="2"/>
      <c r="C367" s="2"/>
      <c r="D367" s="2"/>
      <c r="E367" s="11"/>
      <c r="F367" s="11"/>
      <c r="G367" s="2"/>
      <c r="H367" s="13"/>
      <c r="I367" s="13"/>
      <c r="J367" s="13"/>
      <c r="K367" s="6"/>
      <c r="L367" s="6"/>
      <c r="M367" s="6"/>
      <c r="N367" s="6"/>
      <c r="O367" s="6"/>
      <c r="P367" s="6"/>
      <c r="Q367" s="6"/>
      <c r="R367" s="6"/>
      <c r="S367" s="108"/>
      <c r="T367" s="111"/>
      <c r="U367" s="12"/>
    </row>
    <row r="368" spans="1:21" x14ac:dyDescent="0.3">
      <c r="A368" s="2"/>
      <c r="B368" s="2"/>
      <c r="C368" s="2"/>
      <c r="D368" s="2"/>
      <c r="E368" s="11"/>
      <c r="F368" s="11"/>
      <c r="G368" s="2"/>
      <c r="H368" s="13"/>
      <c r="I368" s="13"/>
      <c r="J368" s="13"/>
      <c r="K368" s="6"/>
      <c r="L368" s="6"/>
      <c r="M368" s="6"/>
      <c r="N368" s="6"/>
      <c r="O368" s="6"/>
      <c r="P368" s="6"/>
      <c r="Q368" s="6"/>
      <c r="R368" s="6"/>
      <c r="S368" s="108"/>
      <c r="T368" s="111"/>
      <c r="U368" s="12"/>
    </row>
    <row r="369" spans="1:21" x14ac:dyDescent="0.3">
      <c r="A369" s="2"/>
      <c r="B369" s="2"/>
      <c r="C369" s="2"/>
      <c r="D369" s="2"/>
      <c r="E369" s="11"/>
      <c r="F369" s="11"/>
      <c r="G369" s="2"/>
      <c r="H369" s="13"/>
      <c r="I369" s="13"/>
      <c r="J369" s="13"/>
      <c r="K369" s="6"/>
      <c r="L369" s="6"/>
      <c r="M369" s="6"/>
      <c r="N369" s="6"/>
      <c r="O369" s="6"/>
      <c r="P369" s="6"/>
      <c r="Q369" s="6"/>
      <c r="R369" s="6"/>
      <c r="S369" s="108"/>
      <c r="T369" s="111"/>
      <c r="U369" s="12"/>
    </row>
    <row r="370" spans="1:21" x14ac:dyDescent="0.3">
      <c r="A370" s="2"/>
      <c r="B370" s="2"/>
      <c r="C370" s="2"/>
      <c r="D370" s="2"/>
      <c r="E370" s="11"/>
      <c r="F370" s="11"/>
      <c r="G370" s="2"/>
      <c r="H370" s="13"/>
      <c r="I370" s="13"/>
      <c r="J370" s="13"/>
      <c r="K370" s="6"/>
      <c r="L370" s="6"/>
      <c r="M370" s="6"/>
      <c r="N370" s="6"/>
      <c r="O370" s="6"/>
      <c r="P370" s="6"/>
      <c r="Q370" s="6"/>
      <c r="R370" s="6"/>
      <c r="S370" s="108"/>
      <c r="T370" s="111"/>
      <c r="U370" s="12"/>
    </row>
    <row r="371" spans="1:21" x14ac:dyDescent="0.3">
      <c r="A371" s="2"/>
      <c r="B371" s="2"/>
      <c r="C371" s="2"/>
      <c r="D371" s="2"/>
      <c r="E371" s="11"/>
      <c r="F371" s="11"/>
      <c r="G371" s="2"/>
      <c r="H371" s="13"/>
      <c r="I371" s="13"/>
      <c r="J371" s="13"/>
      <c r="K371" s="6"/>
      <c r="L371" s="6"/>
      <c r="M371" s="6"/>
      <c r="N371" s="6"/>
      <c r="O371" s="6"/>
      <c r="P371" s="6"/>
      <c r="Q371" s="6"/>
      <c r="R371" s="6"/>
      <c r="S371" s="108"/>
      <c r="T371" s="111"/>
      <c r="U371" s="12"/>
    </row>
    <row r="372" spans="1:21" x14ac:dyDescent="0.3">
      <c r="A372" s="2"/>
      <c r="B372" s="2"/>
      <c r="C372" s="2"/>
      <c r="D372" s="2"/>
      <c r="E372" s="11"/>
      <c r="F372" s="11"/>
      <c r="G372" s="2"/>
      <c r="H372" s="13"/>
      <c r="I372" s="13"/>
      <c r="J372" s="13"/>
      <c r="K372" s="6"/>
      <c r="L372" s="6"/>
      <c r="M372" s="6"/>
      <c r="N372" s="6"/>
      <c r="O372" s="6"/>
      <c r="P372" s="6"/>
      <c r="Q372" s="6"/>
      <c r="R372" s="6"/>
      <c r="S372" s="108"/>
      <c r="T372" s="111"/>
      <c r="U372" s="12"/>
    </row>
    <row r="373" spans="1:21" x14ac:dyDescent="0.3">
      <c r="A373" s="2"/>
      <c r="B373" s="2"/>
      <c r="C373" s="2"/>
      <c r="D373" s="2"/>
      <c r="E373" s="11"/>
      <c r="F373" s="11"/>
      <c r="G373" s="2"/>
      <c r="H373" s="13"/>
      <c r="I373" s="13"/>
      <c r="J373" s="13"/>
      <c r="K373" s="6"/>
      <c r="L373" s="6"/>
      <c r="M373" s="6"/>
      <c r="N373" s="6"/>
      <c r="O373" s="6"/>
      <c r="P373" s="6"/>
      <c r="Q373" s="6"/>
      <c r="R373" s="6"/>
      <c r="S373" s="108"/>
      <c r="T373" s="111"/>
      <c r="U373" s="12"/>
    </row>
    <row r="374" spans="1:21" x14ac:dyDescent="0.3">
      <c r="A374" s="2"/>
      <c r="B374" s="2"/>
      <c r="C374" s="2"/>
      <c r="D374" s="2"/>
      <c r="E374" s="11"/>
      <c r="F374" s="11"/>
      <c r="G374" s="2"/>
      <c r="H374" s="13"/>
      <c r="I374" s="13"/>
      <c r="J374" s="13"/>
      <c r="K374" s="6"/>
      <c r="L374" s="6"/>
      <c r="M374" s="6"/>
      <c r="N374" s="6"/>
      <c r="O374" s="6"/>
      <c r="P374" s="6"/>
      <c r="Q374" s="6"/>
      <c r="R374" s="6"/>
      <c r="S374" s="108"/>
      <c r="T374" s="111"/>
      <c r="U374" s="12"/>
    </row>
    <row r="375" spans="1:21" x14ac:dyDescent="0.3">
      <c r="A375" s="2"/>
      <c r="B375" s="2"/>
      <c r="C375" s="2"/>
      <c r="D375" s="2"/>
      <c r="E375" s="11"/>
      <c r="F375" s="11"/>
      <c r="G375" s="2"/>
      <c r="H375" s="13"/>
      <c r="I375" s="13"/>
      <c r="J375" s="13"/>
      <c r="K375" s="6"/>
      <c r="L375" s="6"/>
      <c r="M375" s="6"/>
      <c r="N375" s="6"/>
      <c r="O375" s="6"/>
      <c r="P375" s="6"/>
      <c r="Q375" s="6"/>
      <c r="R375" s="6"/>
      <c r="S375" s="108"/>
      <c r="T375" s="111"/>
      <c r="U375" s="12"/>
    </row>
    <row r="376" spans="1:21" x14ac:dyDescent="0.3">
      <c r="A376" s="2"/>
      <c r="B376" s="2"/>
      <c r="C376" s="2"/>
      <c r="D376" s="2"/>
      <c r="E376" s="11"/>
      <c r="F376" s="11"/>
      <c r="G376" s="2"/>
      <c r="H376" s="13"/>
      <c r="I376" s="13"/>
      <c r="J376" s="13"/>
      <c r="K376" s="6"/>
      <c r="L376" s="6"/>
      <c r="M376" s="6"/>
      <c r="N376" s="6"/>
      <c r="O376" s="6"/>
      <c r="P376" s="6"/>
      <c r="Q376" s="6"/>
      <c r="R376" s="6"/>
      <c r="S376" s="108"/>
      <c r="T376" s="111"/>
      <c r="U376" s="12"/>
    </row>
    <row r="377" spans="1:21" x14ac:dyDescent="0.3">
      <c r="A377" s="2"/>
      <c r="B377" s="2"/>
      <c r="C377" s="2"/>
      <c r="D377" s="2"/>
      <c r="E377" s="11"/>
      <c r="F377" s="11"/>
      <c r="G377" s="2"/>
      <c r="H377" s="13"/>
      <c r="I377" s="13"/>
      <c r="J377" s="13"/>
      <c r="K377" s="6"/>
      <c r="L377" s="6"/>
      <c r="M377" s="6"/>
      <c r="N377" s="6"/>
      <c r="O377" s="6"/>
      <c r="P377" s="6"/>
      <c r="Q377" s="6"/>
      <c r="R377" s="6"/>
      <c r="S377" s="108"/>
      <c r="T377" s="111"/>
      <c r="U377" s="12"/>
    </row>
    <row r="378" spans="1:21" x14ac:dyDescent="0.3">
      <c r="A378" s="2"/>
      <c r="B378" s="2"/>
      <c r="C378" s="2"/>
      <c r="D378" s="2"/>
      <c r="E378" s="11"/>
      <c r="F378" s="11"/>
      <c r="G378" s="2"/>
      <c r="H378" s="13"/>
      <c r="I378" s="13"/>
      <c r="J378" s="13"/>
      <c r="K378" s="6"/>
      <c r="L378" s="6"/>
      <c r="M378" s="6"/>
      <c r="N378" s="6"/>
      <c r="O378" s="6"/>
      <c r="P378" s="6"/>
      <c r="Q378" s="6"/>
      <c r="R378" s="6"/>
      <c r="S378" s="108"/>
      <c r="T378" s="111"/>
      <c r="U378" s="12"/>
    </row>
    <row r="379" spans="1:21" x14ac:dyDescent="0.3">
      <c r="A379" s="2"/>
      <c r="B379" s="2"/>
      <c r="C379" s="2"/>
      <c r="D379" s="2"/>
      <c r="E379" s="11"/>
      <c r="F379" s="11"/>
      <c r="G379" s="2"/>
      <c r="H379" s="13"/>
      <c r="I379" s="13"/>
      <c r="J379" s="13"/>
      <c r="K379" s="6"/>
      <c r="L379" s="6"/>
      <c r="M379" s="6"/>
      <c r="N379" s="6"/>
      <c r="O379" s="6"/>
      <c r="P379" s="6"/>
      <c r="Q379" s="6"/>
      <c r="R379" s="6"/>
      <c r="S379" s="108"/>
      <c r="T379" s="111"/>
      <c r="U379" s="12"/>
    </row>
    <row r="380" spans="1:21" x14ac:dyDescent="0.3">
      <c r="A380" s="2"/>
      <c r="B380" s="2"/>
      <c r="C380" s="2"/>
      <c r="D380" s="2"/>
      <c r="E380" s="11"/>
      <c r="F380" s="11"/>
      <c r="G380" s="2"/>
      <c r="H380" s="13"/>
      <c r="I380" s="13"/>
      <c r="J380" s="13"/>
      <c r="K380" s="6"/>
      <c r="L380" s="6"/>
      <c r="M380" s="6"/>
      <c r="N380" s="6"/>
      <c r="O380" s="6"/>
      <c r="P380" s="6"/>
      <c r="Q380" s="6"/>
      <c r="R380" s="6"/>
      <c r="S380" s="108"/>
      <c r="T380" s="111"/>
      <c r="U380" s="12"/>
    </row>
    <row r="381" spans="1:21" x14ac:dyDescent="0.3">
      <c r="A381" s="2"/>
      <c r="B381" s="2"/>
      <c r="C381" s="2"/>
      <c r="D381" s="2"/>
      <c r="E381" s="11"/>
      <c r="F381" s="11"/>
      <c r="G381" s="2"/>
      <c r="H381" s="13"/>
      <c r="I381" s="13"/>
      <c r="J381" s="13"/>
      <c r="K381" s="6"/>
      <c r="L381" s="6"/>
      <c r="M381" s="6"/>
      <c r="N381" s="6"/>
      <c r="O381" s="6"/>
      <c r="P381" s="6"/>
      <c r="Q381" s="6"/>
      <c r="R381" s="6"/>
      <c r="S381" s="108"/>
      <c r="T381" s="111"/>
      <c r="U381" s="12"/>
    </row>
    <row r="382" spans="1:21" x14ac:dyDescent="0.3">
      <c r="A382" s="2"/>
      <c r="B382" s="2"/>
      <c r="C382" s="2"/>
      <c r="D382" s="2"/>
      <c r="E382" s="11"/>
      <c r="F382" s="11"/>
      <c r="G382" s="2"/>
      <c r="H382" s="13"/>
      <c r="I382" s="13"/>
      <c r="J382" s="13"/>
      <c r="K382" s="6"/>
      <c r="L382" s="6"/>
      <c r="M382" s="6"/>
      <c r="N382" s="6"/>
      <c r="O382" s="6"/>
      <c r="P382" s="6"/>
      <c r="Q382" s="6"/>
      <c r="R382" s="6"/>
      <c r="S382" s="108"/>
      <c r="T382" s="111"/>
      <c r="U382" s="12"/>
    </row>
    <row r="383" spans="1:21" x14ac:dyDescent="0.3">
      <c r="A383" s="2"/>
      <c r="B383" s="2"/>
      <c r="C383" s="2"/>
      <c r="D383" s="2"/>
      <c r="E383" s="11"/>
      <c r="F383" s="11"/>
      <c r="G383" s="2"/>
      <c r="H383" s="13"/>
      <c r="I383" s="13"/>
      <c r="J383" s="13"/>
      <c r="K383" s="6"/>
      <c r="L383" s="6"/>
      <c r="M383" s="6"/>
      <c r="N383" s="6"/>
      <c r="O383" s="6"/>
      <c r="P383" s="6"/>
      <c r="Q383" s="6"/>
      <c r="R383" s="6"/>
      <c r="S383" s="108"/>
      <c r="T383" s="111"/>
      <c r="U383" s="12"/>
    </row>
    <row r="384" spans="1:21" x14ac:dyDescent="0.3">
      <c r="A384" s="2"/>
      <c r="B384" s="2"/>
      <c r="C384" s="2"/>
      <c r="D384" s="2"/>
      <c r="E384" s="11"/>
      <c r="F384" s="11"/>
      <c r="G384" s="2"/>
      <c r="H384" s="13"/>
      <c r="I384" s="13"/>
      <c r="J384" s="13"/>
      <c r="K384" s="6"/>
      <c r="L384" s="6"/>
      <c r="M384" s="6"/>
      <c r="N384" s="6"/>
      <c r="O384" s="6"/>
      <c r="P384" s="6"/>
      <c r="Q384" s="6"/>
      <c r="R384" s="6"/>
      <c r="S384" s="108"/>
      <c r="T384" s="111"/>
      <c r="U384" s="12"/>
    </row>
    <row r="385" spans="1:21" x14ac:dyDescent="0.3">
      <c r="A385" s="2"/>
      <c r="B385" s="2"/>
      <c r="C385" s="2"/>
      <c r="D385" s="2"/>
      <c r="E385" s="11"/>
      <c r="F385" s="11"/>
      <c r="G385" s="2"/>
      <c r="H385" s="13"/>
      <c r="I385" s="13"/>
      <c r="J385" s="13"/>
      <c r="K385" s="6"/>
      <c r="L385" s="6"/>
      <c r="M385" s="6"/>
      <c r="N385" s="6"/>
      <c r="O385" s="6"/>
      <c r="P385" s="6"/>
      <c r="Q385" s="6"/>
      <c r="R385" s="6"/>
      <c r="S385" s="108"/>
      <c r="T385" s="111"/>
      <c r="U385" s="12"/>
    </row>
    <row r="386" spans="1:21" x14ac:dyDescent="0.3">
      <c r="A386" s="2"/>
      <c r="B386" s="2"/>
      <c r="C386" s="2"/>
      <c r="D386" s="2"/>
      <c r="E386" s="11"/>
      <c r="F386" s="11"/>
      <c r="G386" s="2"/>
      <c r="H386" s="13"/>
      <c r="I386" s="13"/>
      <c r="J386" s="13"/>
      <c r="K386" s="6"/>
      <c r="L386" s="6"/>
      <c r="M386" s="6"/>
      <c r="N386" s="6"/>
      <c r="O386" s="6"/>
      <c r="P386" s="6"/>
      <c r="Q386" s="6"/>
      <c r="R386" s="6"/>
      <c r="S386" s="108"/>
      <c r="T386" s="111"/>
      <c r="U386" s="12"/>
    </row>
    <row r="387" spans="1:21" x14ac:dyDescent="0.3">
      <c r="A387" s="2"/>
      <c r="B387" s="2"/>
      <c r="C387" s="2"/>
      <c r="D387" s="2"/>
      <c r="E387" s="11"/>
      <c r="F387" s="11"/>
      <c r="G387" s="2"/>
      <c r="H387" s="13"/>
      <c r="I387" s="13"/>
      <c r="J387" s="13"/>
      <c r="K387" s="6"/>
      <c r="L387" s="6"/>
      <c r="M387" s="6"/>
      <c r="N387" s="6"/>
      <c r="O387" s="6"/>
      <c r="P387" s="6"/>
      <c r="Q387" s="6"/>
      <c r="R387" s="6"/>
      <c r="S387" s="108"/>
      <c r="T387" s="111"/>
      <c r="U387" s="12"/>
    </row>
    <row r="388" spans="1:21" x14ac:dyDescent="0.3">
      <c r="A388" s="2"/>
      <c r="B388" s="2"/>
      <c r="C388" s="2"/>
      <c r="D388" s="2"/>
      <c r="E388" s="11"/>
      <c r="F388" s="11"/>
      <c r="G388" s="2"/>
      <c r="H388" s="13"/>
      <c r="I388" s="13"/>
      <c r="J388" s="13"/>
      <c r="K388" s="6"/>
      <c r="L388" s="6"/>
      <c r="M388" s="6"/>
      <c r="N388" s="6"/>
      <c r="O388" s="6"/>
      <c r="P388" s="6"/>
      <c r="Q388" s="6"/>
      <c r="R388" s="6"/>
      <c r="S388" s="108"/>
      <c r="T388" s="111"/>
      <c r="U388" s="12"/>
    </row>
    <row r="389" spans="1:21" x14ac:dyDescent="0.3">
      <c r="A389" s="2"/>
      <c r="B389" s="2"/>
      <c r="C389" s="2"/>
      <c r="D389" s="2"/>
      <c r="E389" s="11"/>
      <c r="F389" s="11"/>
      <c r="G389" s="2"/>
      <c r="H389" s="13"/>
      <c r="I389" s="13"/>
      <c r="J389" s="13"/>
      <c r="K389" s="6"/>
      <c r="L389" s="6"/>
      <c r="M389" s="6"/>
      <c r="N389" s="6"/>
      <c r="O389" s="6"/>
      <c r="P389" s="6"/>
      <c r="Q389" s="6"/>
      <c r="R389" s="6"/>
      <c r="S389" s="108"/>
      <c r="T389" s="111"/>
      <c r="U389" s="12"/>
    </row>
    <row r="390" spans="1:21" x14ac:dyDescent="0.3">
      <c r="A390" s="2"/>
      <c r="B390" s="2"/>
      <c r="C390" s="2"/>
      <c r="D390" s="2"/>
      <c r="E390" s="11"/>
      <c r="F390" s="11"/>
      <c r="G390" s="2"/>
      <c r="H390" s="13"/>
      <c r="I390" s="13"/>
      <c r="J390" s="13"/>
      <c r="K390" s="6"/>
      <c r="L390" s="6"/>
      <c r="M390" s="6"/>
      <c r="N390" s="6"/>
      <c r="O390" s="6"/>
      <c r="P390" s="6"/>
      <c r="Q390" s="6"/>
      <c r="R390" s="6"/>
      <c r="S390" s="108"/>
      <c r="T390" s="111"/>
      <c r="U390" s="12"/>
    </row>
    <row r="391" spans="1:21" x14ac:dyDescent="0.3">
      <c r="A391" s="2"/>
      <c r="B391" s="2"/>
      <c r="C391" s="2"/>
      <c r="D391" s="2"/>
      <c r="E391" s="11"/>
      <c r="F391" s="11"/>
      <c r="G391" s="2"/>
      <c r="H391" s="13"/>
      <c r="I391" s="13"/>
      <c r="J391" s="13"/>
      <c r="K391" s="6"/>
      <c r="L391" s="6"/>
      <c r="M391" s="6"/>
      <c r="N391" s="6"/>
      <c r="O391" s="6"/>
      <c r="P391" s="6"/>
      <c r="Q391" s="6"/>
      <c r="R391" s="6"/>
      <c r="S391" s="108"/>
      <c r="T391" s="111"/>
      <c r="U391" s="12"/>
    </row>
    <row r="392" spans="1:21" x14ac:dyDescent="0.3">
      <c r="A392" s="2"/>
      <c r="B392" s="2"/>
      <c r="C392" s="2"/>
      <c r="D392" s="2"/>
      <c r="E392" s="11"/>
      <c r="F392" s="11"/>
      <c r="G392" s="2"/>
      <c r="H392" s="13"/>
      <c r="I392" s="13"/>
      <c r="J392" s="13"/>
      <c r="K392" s="6"/>
      <c r="L392" s="6"/>
      <c r="M392" s="6"/>
      <c r="N392" s="6"/>
      <c r="O392" s="6"/>
      <c r="P392" s="6"/>
      <c r="Q392" s="6"/>
      <c r="R392" s="6"/>
      <c r="S392" s="108"/>
      <c r="T392" s="111"/>
      <c r="U392" s="12"/>
    </row>
    <row r="393" spans="1:21" x14ac:dyDescent="0.3">
      <c r="A393" s="2"/>
      <c r="B393" s="2"/>
      <c r="C393" s="2"/>
      <c r="D393" s="2"/>
      <c r="E393" s="11"/>
      <c r="F393" s="11"/>
      <c r="G393" s="2"/>
      <c r="H393" s="13"/>
      <c r="I393" s="13"/>
      <c r="J393" s="13"/>
      <c r="K393" s="6"/>
      <c r="L393" s="6"/>
      <c r="M393" s="6"/>
      <c r="N393" s="6"/>
      <c r="O393" s="6"/>
      <c r="P393" s="6"/>
      <c r="Q393" s="6"/>
      <c r="R393" s="6"/>
      <c r="S393" s="108"/>
      <c r="T393" s="111"/>
      <c r="U393" s="12"/>
    </row>
    <row r="394" spans="1:21" x14ac:dyDescent="0.3">
      <c r="A394" s="2"/>
      <c r="B394" s="2"/>
      <c r="C394" s="2"/>
      <c r="D394" s="2"/>
      <c r="E394" s="11"/>
      <c r="F394" s="11"/>
      <c r="G394" s="2"/>
      <c r="H394" s="13"/>
      <c r="I394" s="13"/>
      <c r="J394" s="13"/>
      <c r="K394" s="6"/>
      <c r="L394" s="6"/>
      <c r="M394" s="6"/>
      <c r="N394" s="6"/>
      <c r="O394" s="6"/>
      <c r="P394" s="6"/>
      <c r="Q394" s="6"/>
      <c r="R394" s="6"/>
      <c r="S394" s="108"/>
      <c r="T394" s="111"/>
      <c r="U394" s="12"/>
    </row>
    <row r="395" spans="1:21" x14ac:dyDescent="0.3">
      <c r="A395" s="2"/>
      <c r="B395" s="2"/>
      <c r="C395" s="2"/>
      <c r="D395" s="2"/>
      <c r="E395" s="11"/>
      <c r="F395" s="11"/>
      <c r="G395" s="2"/>
      <c r="H395" s="13"/>
      <c r="I395" s="13"/>
      <c r="J395" s="13"/>
      <c r="K395" s="6"/>
      <c r="L395" s="6"/>
      <c r="M395" s="6"/>
      <c r="N395" s="6"/>
      <c r="O395" s="6"/>
      <c r="P395" s="6"/>
      <c r="Q395" s="6"/>
      <c r="R395" s="6"/>
      <c r="S395" s="108"/>
      <c r="T395" s="111"/>
      <c r="U395" s="12"/>
    </row>
    <row r="396" spans="1:21" x14ac:dyDescent="0.3">
      <c r="A396" s="2"/>
      <c r="B396" s="2"/>
      <c r="C396" s="2"/>
      <c r="D396" s="2"/>
      <c r="E396" s="11"/>
      <c r="F396" s="11"/>
      <c r="G396" s="2"/>
      <c r="H396" s="13"/>
      <c r="I396" s="13"/>
      <c r="J396" s="13"/>
      <c r="K396" s="6"/>
      <c r="L396" s="6"/>
      <c r="M396" s="6"/>
      <c r="N396" s="6"/>
      <c r="O396" s="6"/>
      <c r="P396" s="6"/>
      <c r="Q396" s="6"/>
      <c r="R396" s="6"/>
      <c r="S396" s="108"/>
      <c r="T396" s="111"/>
      <c r="U396" s="12"/>
    </row>
    <row r="397" spans="1:21" x14ac:dyDescent="0.3">
      <c r="A397" s="2"/>
      <c r="B397" s="2"/>
      <c r="C397" s="2"/>
      <c r="D397" s="2"/>
      <c r="E397" s="11"/>
      <c r="F397" s="11"/>
      <c r="G397" s="2"/>
      <c r="H397" s="13"/>
      <c r="I397" s="13"/>
      <c r="J397" s="13"/>
      <c r="K397" s="6"/>
      <c r="L397" s="6"/>
      <c r="M397" s="6"/>
      <c r="N397" s="6"/>
      <c r="O397" s="6"/>
      <c r="P397" s="6"/>
      <c r="Q397" s="6"/>
      <c r="R397" s="6"/>
      <c r="S397" s="108"/>
      <c r="T397" s="111"/>
      <c r="U397" s="12"/>
    </row>
    <row r="398" spans="1:21" x14ac:dyDescent="0.3">
      <c r="A398" s="2"/>
      <c r="B398" s="2"/>
      <c r="C398" s="2"/>
      <c r="D398" s="2"/>
      <c r="E398" s="11"/>
      <c r="F398" s="11"/>
      <c r="G398" s="2"/>
      <c r="H398" s="13"/>
      <c r="I398" s="13"/>
      <c r="J398" s="13"/>
      <c r="K398" s="6"/>
      <c r="L398" s="6"/>
      <c r="M398" s="6"/>
      <c r="N398" s="6"/>
      <c r="O398" s="6"/>
      <c r="P398" s="6"/>
      <c r="Q398" s="6"/>
      <c r="R398" s="6"/>
      <c r="S398" s="108"/>
      <c r="T398" s="111"/>
      <c r="U398" s="12"/>
    </row>
    <row r="399" spans="1:21" x14ac:dyDescent="0.3">
      <c r="A399" s="2"/>
      <c r="B399" s="2"/>
      <c r="C399" s="2"/>
      <c r="D399" s="2"/>
      <c r="E399" s="11"/>
      <c r="F399" s="11"/>
      <c r="G399" s="2"/>
      <c r="H399" s="13"/>
      <c r="I399" s="13"/>
      <c r="J399" s="13"/>
      <c r="K399" s="6"/>
      <c r="L399" s="6"/>
      <c r="M399" s="6"/>
      <c r="N399" s="6"/>
      <c r="O399" s="6"/>
      <c r="P399" s="6"/>
      <c r="Q399" s="6"/>
      <c r="R399" s="6"/>
      <c r="S399" s="108"/>
      <c r="T399" s="111"/>
      <c r="U399" s="12"/>
    </row>
    <row r="400" spans="1:21" x14ac:dyDescent="0.3">
      <c r="A400" s="2"/>
      <c r="B400" s="2"/>
      <c r="C400" s="2"/>
      <c r="D400" s="2"/>
      <c r="E400" s="11"/>
      <c r="F400" s="11"/>
      <c r="G400" s="2"/>
      <c r="H400" s="13"/>
      <c r="I400" s="13"/>
      <c r="J400" s="13"/>
      <c r="K400" s="6"/>
      <c r="L400" s="6"/>
      <c r="M400" s="6"/>
      <c r="N400" s="6"/>
      <c r="O400" s="6"/>
      <c r="P400" s="6"/>
      <c r="Q400" s="6"/>
      <c r="R400" s="6"/>
      <c r="S400" s="108"/>
      <c r="T400" s="111"/>
      <c r="U400" s="12"/>
    </row>
    <row r="401" spans="1:21" x14ac:dyDescent="0.3">
      <c r="A401" s="2"/>
      <c r="B401" s="2"/>
      <c r="C401" s="2"/>
      <c r="D401" s="2"/>
      <c r="E401" s="11"/>
      <c r="F401" s="11"/>
      <c r="G401" s="2"/>
      <c r="H401" s="13"/>
      <c r="I401" s="13"/>
      <c r="J401" s="13"/>
      <c r="K401" s="6"/>
      <c r="L401" s="6"/>
      <c r="M401" s="6"/>
      <c r="N401" s="6"/>
      <c r="O401" s="6"/>
      <c r="P401" s="6"/>
      <c r="Q401" s="6"/>
      <c r="R401" s="6"/>
      <c r="S401" s="108"/>
      <c r="T401" s="111"/>
      <c r="U401" s="12"/>
    </row>
    <row r="402" spans="1:21" x14ac:dyDescent="0.3">
      <c r="A402" s="2"/>
      <c r="B402" s="2"/>
      <c r="C402" s="2"/>
      <c r="D402" s="2"/>
      <c r="E402" s="11"/>
      <c r="F402" s="11"/>
      <c r="G402" s="2"/>
      <c r="H402" s="13"/>
      <c r="I402" s="13"/>
      <c r="J402" s="13"/>
      <c r="K402" s="6"/>
      <c r="L402" s="6"/>
      <c r="M402" s="6"/>
      <c r="N402" s="6"/>
      <c r="O402" s="6"/>
      <c r="P402" s="6"/>
      <c r="Q402" s="6"/>
      <c r="R402" s="6"/>
      <c r="S402" s="108"/>
      <c r="T402" s="111"/>
      <c r="U402" s="12"/>
    </row>
    <row r="403" spans="1:21" x14ac:dyDescent="0.3">
      <c r="A403" s="2"/>
      <c r="B403" s="2"/>
      <c r="C403" s="2"/>
      <c r="D403" s="2"/>
      <c r="E403" s="11"/>
      <c r="F403" s="11"/>
      <c r="G403" s="2"/>
      <c r="H403" s="13"/>
      <c r="I403" s="13"/>
      <c r="J403" s="13"/>
      <c r="K403" s="6"/>
      <c r="L403" s="6"/>
      <c r="M403" s="6"/>
      <c r="N403" s="6"/>
      <c r="O403" s="6"/>
      <c r="P403" s="6"/>
      <c r="Q403" s="6"/>
      <c r="R403" s="6"/>
      <c r="S403" s="108"/>
      <c r="T403" s="111"/>
      <c r="U403" s="12"/>
    </row>
    <row r="404" spans="1:21" x14ac:dyDescent="0.3">
      <c r="A404" s="2"/>
      <c r="B404" s="2"/>
      <c r="C404" s="2"/>
      <c r="D404" s="2"/>
      <c r="E404" s="11"/>
      <c r="F404" s="11"/>
      <c r="G404" s="2"/>
      <c r="H404" s="13"/>
      <c r="I404" s="13"/>
      <c r="J404" s="13"/>
      <c r="K404" s="6"/>
      <c r="L404" s="6"/>
      <c r="M404" s="6"/>
      <c r="N404" s="6"/>
      <c r="O404" s="6"/>
      <c r="P404" s="6"/>
      <c r="Q404" s="6"/>
      <c r="R404" s="6"/>
      <c r="S404" s="108"/>
      <c r="T404" s="111"/>
      <c r="U404" s="12"/>
    </row>
    <row r="405" spans="1:21" x14ac:dyDescent="0.3">
      <c r="A405" s="2"/>
      <c r="B405" s="2"/>
      <c r="C405" s="2"/>
      <c r="D405" s="2"/>
      <c r="E405" s="11"/>
      <c r="F405" s="11"/>
      <c r="G405" s="2"/>
      <c r="H405" s="13"/>
      <c r="I405" s="13"/>
      <c r="J405" s="13"/>
      <c r="K405" s="6"/>
      <c r="L405" s="6"/>
      <c r="M405" s="6"/>
      <c r="N405" s="6"/>
      <c r="O405" s="6"/>
      <c r="P405" s="6"/>
      <c r="Q405" s="6"/>
      <c r="R405" s="6"/>
      <c r="S405" s="108"/>
      <c r="T405" s="111"/>
      <c r="U405" s="12"/>
    </row>
    <row r="406" spans="1:21" x14ac:dyDescent="0.3">
      <c r="A406" s="2"/>
      <c r="B406" s="2"/>
      <c r="C406" s="2"/>
      <c r="D406" s="2"/>
      <c r="E406" s="11"/>
      <c r="F406" s="11"/>
      <c r="G406" s="2"/>
      <c r="H406" s="13"/>
      <c r="I406" s="13"/>
      <c r="J406" s="13"/>
      <c r="K406" s="6"/>
      <c r="L406" s="6"/>
      <c r="M406" s="6"/>
      <c r="N406" s="6"/>
      <c r="O406" s="6"/>
      <c r="P406" s="6"/>
      <c r="Q406" s="6"/>
      <c r="R406" s="6"/>
      <c r="S406" s="108"/>
      <c r="T406" s="111"/>
      <c r="U406" s="12"/>
    </row>
    <row r="407" spans="1:21" x14ac:dyDescent="0.3">
      <c r="A407" s="2"/>
      <c r="B407" s="2"/>
      <c r="C407" s="2"/>
      <c r="D407" s="2"/>
      <c r="E407" s="11"/>
      <c r="F407" s="11"/>
      <c r="G407" s="2"/>
      <c r="H407" s="13"/>
      <c r="I407" s="13"/>
      <c r="J407" s="13"/>
      <c r="K407" s="6"/>
      <c r="L407" s="6"/>
      <c r="M407" s="6"/>
      <c r="N407" s="6"/>
      <c r="O407" s="6"/>
      <c r="P407" s="6"/>
      <c r="Q407" s="6"/>
      <c r="R407" s="6"/>
      <c r="S407" s="108"/>
      <c r="T407" s="111"/>
      <c r="U407" s="12"/>
    </row>
    <row r="408" spans="1:21" x14ac:dyDescent="0.3">
      <c r="A408" s="2"/>
      <c r="B408" s="2"/>
      <c r="C408" s="2"/>
      <c r="D408" s="2"/>
      <c r="E408" s="11"/>
      <c r="F408" s="11"/>
      <c r="G408" s="2"/>
      <c r="H408" s="13"/>
      <c r="I408" s="13"/>
      <c r="J408" s="13"/>
      <c r="K408" s="6"/>
      <c r="L408" s="6"/>
      <c r="M408" s="6"/>
      <c r="N408" s="6"/>
      <c r="O408" s="6"/>
      <c r="P408" s="6"/>
      <c r="Q408" s="6"/>
      <c r="R408" s="6"/>
      <c r="S408" s="108"/>
      <c r="T408" s="111"/>
      <c r="U408" s="12"/>
    </row>
    <row r="409" spans="1:21" x14ac:dyDescent="0.3">
      <c r="A409" s="11"/>
      <c r="B409" s="2"/>
      <c r="C409" s="2"/>
      <c r="D409" s="2"/>
      <c r="E409" s="11"/>
      <c r="F409" s="11"/>
      <c r="G409" s="2"/>
      <c r="H409" s="13"/>
      <c r="I409" s="13"/>
      <c r="J409" s="13"/>
      <c r="K409" s="6"/>
      <c r="L409" s="6"/>
      <c r="M409" s="6"/>
      <c r="N409" s="6"/>
      <c r="O409" s="6"/>
      <c r="P409" s="6"/>
      <c r="Q409" s="6"/>
      <c r="R409" s="6"/>
      <c r="S409" s="108"/>
      <c r="T409" s="111"/>
      <c r="U409" s="12"/>
    </row>
    <row r="410" spans="1:21" x14ac:dyDescent="0.3">
      <c r="A410" s="2"/>
      <c r="B410" s="2"/>
      <c r="C410" s="2"/>
      <c r="D410" s="2"/>
      <c r="E410" s="11"/>
      <c r="F410" s="11"/>
      <c r="G410" s="2"/>
      <c r="H410" s="13"/>
      <c r="I410" s="13"/>
      <c r="J410" s="13"/>
      <c r="K410" s="6"/>
      <c r="L410" s="6"/>
      <c r="M410" s="6"/>
      <c r="N410" s="6"/>
      <c r="O410" s="6"/>
      <c r="P410" s="6"/>
      <c r="Q410" s="6"/>
      <c r="R410" s="6"/>
      <c r="S410" s="108"/>
      <c r="T410" s="111"/>
      <c r="U410" s="12"/>
    </row>
    <row r="411" spans="1:21" x14ac:dyDescent="0.3">
      <c r="A411" s="2"/>
      <c r="B411" s="2"/>
      <c r="C411" s="2"/>
      <c r="D411" s="2"/>
      <c r="E411" s="11"/>
      <c r="F411" s="11"/>
      <c r="G411" s="2"/>
      <c r="H411" s="13"/>
      <c r="I411" s="13"/>
      <c r="J411" s="13"/>
      <c r="K411" s="6"/>
      <c r="L411" s="6"/>
      <c r="M411" s="6"/>
      <c r="N411" s="6"/>
      <c r="O411" s="6"/>
      <c r="P411" s="6"/>
      <c r="Q411" s="6"/>
      <c r="R411" s="6"/>
      <c r="S411" s="108"/>
      <c r="T411" s="111"/>
      <c r="U411" s="12"/>
    </row>
    <row r="412" spans="1:21" x14ac:dyDescent="0.3">
      <c r="A412" s="2"/>
      <c r="B412" s="2"/>
      <c r="C412" s="2"/>
      <c r="D412" s="2"/>
      <c r="E412" s="11"/>
      <c r="F412" s="11"/>
      <c r="G412" s="2"/>
      <c r="H412" s="13"/>
      <c r="I412" s="13"/>
      <c r="J412" s="13"/>
      <c r="K412" s="6"/>
      <c r="L412" s="6"/>
      <c r="M412" s="6"/>
      <c r="N412" s="6"/>
      <c r="O412" s="6"/>
      <c r="P412" s="6"/>
      <c r="Q412" s="6"/>
      <c r="R412" s="6"/>
      <c r="S412" s="108"/>
      <c r="T412" s="111"/>
      <c r="U412" s="12"/>
    </row>
    <row r="413" spans="1:21" x14ac:dyDescent="0.3">
      <c r="A413" s="2"/>
      <c r="B413" s="2"/>
      <c r="C413" s="2"/>
      <c r="D413" s="2"/>
      <c r="E413" s="11"/>
      <c r="F413" s="11"/>
      <c r="G413" s="2"/>
      <c r="H413" s="13"/>
      <c r="I413" s="13"/>
      <c r="J413" s="13"/>
      <c r="K413" s="6"/>
      <c r="L413" s="6"/>
      <c r="M413" s="6"/>
      <c r="N413" s="6"/>
      <c r="O413" s="6"/>
      <c r="P413" s="6"/>
      <c r="Q413" s="6"/>
      <c r="R413" s="6"/>
      <c r="S413" s="108"/>
      <c r="T413" s="111"/>
      <c r="U413" s="12"/>
    </row>
    <row r="414" spans="1:21" x14ac:dyDescent="0.3">
      <c r="A414" s="2"/>
      <c r="B414" s="2"/>
      <c r="C414" s="2"/>
      <c r="D414" s="2"/>
      <c r="E414" s="11"/>
      <c r="F414" s="11"/>
      <c r="G414" s="2"/>
      <c r="H414" s="13"/>
      <c r="I414" s="13"/>
      <c r="J414" s="13"/>
      <c r="K414" s="6"/>
      <c r="L414" s="6"/>
      <c r="M414" s="6"/>
      <c r="N414" s="6"/>
      <c r="O414" s="6"/>
      <c r="P414" s="6"/>
      <c r="Q414" s="6"/>
      <c r="R414" s="6"/>
      <c r="S414" s="108"/>
      <c r="T414" s="111"/>
      <c r="U414" s="12"/>
    </row>
    <row r="415" spans="1:21" x14ac:dyDescent="0.3">
      <c r="A415" s="2"/>
      <c r="B415" s="2"/>
      <c r="C415" s="2"/>
      <c r="D415" s="2"/>
      <c r="E415" s="11"/>
      <c r="F415" s="11"/>
      <c r="G415" s="2"/>
      <c r="H415" s="13"/>
      <c r="I415" s="13"/>
      <c r="J415" s="13"/>
      <c r="K415" s="6"/>
      <c r="L415" s="6"/>
      <c r="M415" s="6"/>
      <c r="N415" s="6"/>
      <c r="O415" s="6"/>
      <c r="P415" s="6"/>
      <c r="Q415" s="6"/>
      <c r="R415" s="6"/>
      <c r="S415" s="108"/>
      <c r="T415" s="111"/>
      <c r="U415" s="12"/>
    </row>
    <row r="416" spans="1:21" x14ac:dyDescent="0.3">
      <c r="A416" s="2"/>
      <c r="B416" s="2"/>
      <c r="C416" s="2"/>
      <c r="D416" s="2"/>
      <c r="E416" s="11"/>
      <c r="F416" s="11"/>
      <c r="G416" s="2"/>
      <c r="H416" s="13"/>
      <c r="I416" s="13"/>
      <c r="J416" s="13"/>
      <c r="K416" s="6"/>
      <c r="L416" s="6"/>
      <c r="M416" s="6"/>
      <c r="N416" s="6"/>
      <c r="O416" s="6"/>
      <c r="P416" s="6"/>
      <c r="Q416" s="6"/>
      <c r="R416" s="6"/>
      <c r="S416" s="108"/>
      <c r="T416" s="111"/>
      <c r="U416" s="12"/>
    </row>
    <row r="417" spans="1:21" x14ac:dyDescent="0.3">
      <c r="A417" s="2"/>
      <c r="B417" s="2"/>
      <c r="C417" s="2"/>
      <c r="D417" s="2"/>
      <c r="E417" s="11"/>
      <c r="F417" s="11"/>
      <c r="G417" s="2"/>
      <c r="H417" s="13"/>
      <c r="I417" s="13"/>
      <c r="J417" s="13"/>
      <c r="K417" s="6"/>
      <c r="L417" s="6"/>
      <c r="M417" s="6"/>
      <c r="N417" s="6"/>
      <c r="O417" s="6"/>
      <c r="P417" s="6"/>
      <c r="Q417" s="6"/>
      <c r="R417" s="6"/>
      <c r="S417" s="108"/>
      <c r="T417" s="111"/>
      <c r="U417" s="12"/>
    </row>
    <row r="418" spans="1:21" x14ac:dyDescent="0.3">
      <c r="A418" s="2"/>
      <c r="B418" s="2"/>
      <c r="C418" s="2"/>
      <c r="D418" s="2"/>
      <c r="E418" s="11"/>
      <c r="F418" s="11"/>
      <c r="G418" s="2"/>
      <c r="H418" s="13"/>
      <c r="I418" s="13"/>
      <c r="J418" s="13"/>
      <c r="K418" s="6"/>
      <c r="L418" s="6"/>
      <c r="M418" s="6"/>
      <c r="N418" s="6"/>
      <c r="O418" s="6"/>
      <c r="P418" s="6"/>
      <c r="Q418" s="6"/>
      <c r="R418" s="6"/>
      <c r="S418" s="108"/>
      <c r="T418" s="111"/>
      <c r="U418" s="12"/>
    </row>
    <row r="419" spans="1:21" x14ac:dyDescent="0.3">
      <c r="A419" s="2"/>
      <c r="B419" s="2"/>
      <c r="C419" s="2"/>
      <c r="D419" s="2"/>
      <c r="E419" s="11"/>
      <c r="F419" s="11"/>
      <c r="G419" s="2"/>
      <c r="H419" s="13"/>
      <c r="I419" s="13"/>
      <c r="J419" s="13"/>
      <c r="K419" s="6"/>
      <c r="L419" s="6"/>
      <c r="M419" s="6"/>
      <c r="N419" s="6"/>
      <c r="O419" s="6"/>
      <c r="P419" s="6"/>
      <c r="Q419" s="6"/>
      <c r="R419" s="6"/>
      <c r="S419" s="108"/>
      <c r="T419" s="111"/>
      <c r="U419" s="12"/>
    </row>
    <row r="420" spans="1:21" x14ac:dyDescent="0.3">
      <c r="A420" s="2"/>
      <c r="B420" s="2"/>
      <c r="C420" s="2"/>
      <c r="D420" s="2"/>
      <c r="E420" s="11"/>
      <c r="F420" s="11"/>
      <c r="G420" s="2"/>
      <c r="H420" s="13"/>
      <c r="I420" s="13"/>
      <c r="J420" s="13"/>
      <c r="K420" s="6"/>
      <c r="L420" s="6"/>
      <c r="M420" s="6"/>
      <c r="N420" s="6"/>
      <c r="O420" s="6"/>
      <c r="P420" s="6"/>
      <c r="Q420" s="6"/>
      <c r="R420" s="6"/>
      <c r="S420" s="108"/>
      <c r="T420" s="111"/>
      <c r="U420" s="12"/>
    </row>
    <row r="421" spans="1:21" x14ac:dyDescent="0.3">
      <c r="A421" s="2"/>
      <c r="B421" s="2"/>
      <c r="C421" s="2"/>
      <c r="D421" s="2"/>
      <c r="E421" s="11"/>
      <c r="F421" s="11"/>
      <c r="G421" s="2"/>
      <c r="H421" s="13"/>
      <c r="I421" s="13"/>
      <c r="J421" s="13"/>
      <c r="K421" s="6"/>
      <c r="L421" s="6"/>
      <c r="M421" s="6"/>
      <c r="N421" s="6"/>
      <c r="O421" s="6"/>
      <c r="P421" s="6"/>
      <c r="Q421" s="6"/>
      <c r="R421" s="6"/>
      <c r="S421" s="108"/>
      <c r="T421" s="111"/>
      <c r="U421" s="12"/>
    </row>
    <row r="422" spans="1:21" x14ac:dyDescent="0.3">
      <c r="A422" s="2"/>
      <c r="B422" s="2"/>
      <c r="C422" s="2"/>
      <c r="D422" s="2"/>
      <c r="E422" s="11"/>
      <c r="F422" s="11"/>
      <c r="G422" s="2"/>
      <c r="H422" s="13"/>
      <c r="I422" s="13"/>
      <c r="J422" s="13"/>
      <c r="K422" s="6"/>
      <c r="L422" s="6"/>
      <c r="M422" s="6"/>
      <c r="N422" s="6"/>
      <c r="O422" s="6"/>
      <c r="P422" s="6"/>
      <c r="Q422" s="6"/>
      <c r="R422" s="6"/>
      <c r="S422" s="108"/>
      <c r="T422" s="111"/>
      <c r="U422" s="12"/>
    </row>
    <row r="423" spans="1:21" x14ac:dyDescent="0.3">
      <c r="A423" s="2"/>
      <c r="B423" s="2"/>
      <c r="C423" s="2"/>
      <c r="D423" s="2"/>
      <c r="E423" s="11"/>
      <c r="F423" s="11"/>
      <c r="G423" s="2"/>
      <c r="H423" s="13"/>
      <c r="I423" s="13"/>
      <c r="J423" s="13"/>
      <c r="K423" s="6"/>
      <c r="L423" s="6"/>
      <c r="M423" s="6"/>
      <c r="N423" s="6"/>
      <c r="O423" s="6"/>
      <c r="P423" s="6"/>
      <c r="Q423" s="6"/>
      <c r="R423" s="6"/>
      <c r="S423" s="108"/>
      <c r="T423" s="111"/>
      <c r="U423" s="12"/>
    </row>
    <row r="424" spans="1:21" x14ac:dyDescent="0.3">
      <c r="A424" s="2"/>
      <c r="B424" s="2"/>
      <c r="C424" s="2"/>
      <c r="D424" s="2"/>
      <c r="E424" s="11"/>
      <c r="F424" s="11"/>
      <c r="G424" s="2"/>
      <c r="H424" s="13"/>
      <c r="I424" s="13"/>
      <c r="J424" s="13"/>
      <c r="K424" s="6"/>
      <c r="L424" s="6"/>
      <c r="M424" s="6"/>
      <c r="N424" s="6"/>
      <c r="O424" s="6"/>
      <c r="P424" s="6"/>
      <c r="Q424" s="6"/>
      <c r="R424" s="6"/>
      <c r="S424" s="108"/>
      <c r="T424" s="111"/>
      <c r="U424" s="12"/>
    </row>
    <row r="425" spans="1:21" x14ac:dyDescent="0.3">
      <c r="A425" s="2"/>
      <c r="B425" s="2"/>
      <c r="C425" s="2"/>
      <c r="D425" s="2"/>
      <c r="E425" s="11"/>
      <c r="F425" s="11"/>
      <c r="G425" s="2"/>
      <c r="H425" s="13"/>
      <c r="I425" s="13"/>
      <c r="J425" s="13"/>
      <c r="K425" s="6"/>
      <c r="L425" s="6"/>
      <c r="M425" s="6"/>
      <c r="N425" s="6"/>
      <c r="O425" s="6"/>
      <c r="P425" s="6"/>
      <c r="Q425" s="6"/>
      <c r="R425" s="6"/>
      <c r="S425" s="108"/>
      <c r="T425" s="111"/>
      <c r="U425" s="12"/>
    </row>
    <row r="426" spans="1:21" x14ac:dyDescent="0.3">
      <c r="A426" s="2"/>
      <c r="B426" s="2"/>
      <c r="C426" s="2"/>
      <c r="D426" s="2"/>
      <c r="E426" s="11"/>
      <c r="F426" s="11"/>
      <c r="G426" s="2"/>
      <c r="H426" s="13"/>
      <c r="I426" s="13"/>
      <c r="J426" s="13"/>
      <c r="K426" s="6"/>
      <c r="L426" s="6"/>
      <c r="M426" s="6"/>
      <c r="N426" s="6"/>
      <c r="O426" s="6"/>
      <c r="P426" s="6"/>
      <c r="Q426" s="6"/>
      <c r="R426" s="6"/>
      <c r="S426" s="108"/>
      <c r="T426" s="111"/>
      <c r="U426" s="12"/>
    </row>
    <row r="427" spans="1:21" x14ac:dyDescent="0.3">
      <c r="A427" s="2"/>
      <c r="B427" s="2"/>
      <c r="C427" s="2"/>
      <c r="D427" s="2"/>
      <c r="E427" s="11"/>
      <c r="F427" s="11"/>
      <c r="G427" s="2"/>
      <c r="H427" s="13"/>
      <c r="I427" s="13"/>
      <c r="J427" s="13"/>
      <c r="K427" s="6"/>
      <c r="L427" s="6"/>
      <c r="M427" s="6"/>
      <c r="N427" s="6"/>
      <c r="O427" s="6"/>
      <c r="P427" s="6"/>
      <c r="Q427" s="6"/>
      <c r="R427" s="6"/>
      <c r="S427" s="108"/>
      <c r="T427" s="111"/>
      <c r="U427" s="12"/>
    </row>
    <row r="428" spans="1:21" x14ac:dyDescent="0.3">
      <c r="A428" s="2"/>
      <c r="B428" s="2"/>
      <c r="C428" s="2"/>
      <c r="D428" s="2"/>
      <c r="E428" s="11"/>
      <c r="F428" s="11"/>
      <c r="G428" s="2"/>
      <c r="H428" s="13"/>
      <c r="I428" s="13"/>
      <c r="J428" s="13"/>
      <c r="K428" s="6"/>
      <c r="L428" s="6"/>
      <c r="M428" s="6"/>
      <c r="N428" s="6"/>
      <c r="O428" s="6"/>
      <c r="P428" s="6"/>
      <c r="Q428" s="6"/>
      <c r="R428" s="6"/>
      <c r="S428" s="108"/>
      <c r="T428" s="111"/>
      <c r="U428" s="12"/>
    </row>
    <row r="429" spans="1:21" x14ac:dyDescent="0.3">
      <c r="A429" s="2"/>
      <c r="B429" s="2"/>
      <c r="C429" s="2"/>
      <c r="D429" s="2"/>
      <c r="E429" s="11"/>
      <c r="F429" s="11"/>
      <c r="G429" s="2"/>
      <c r="H429" s="13"/>
      <c r="I429" s="13"/>
      <c r="J429" s="13"/>
      <c r="K429" s="6"/>
      <c r="L429" s="6"/>
      <c r="M429" s="6"/>
      <c r="N429" s="6"/>
      <c r="O429" s="6"/>
      <c r="P429" s="6"/>
      <c r="Q429" s="6"/>
      <c r="R429" s="6"/>
      <c r="S429" s="108"/>
      <c r="T429" s="111"/>
      <c r="U429" s="12"/>
    </row>
    <row r="430" spans="1:21" x14ac:dyDescent="0.3">
      <c r="A430" s="2"/>
      <c r="B430" s="2"/>
      <c r="C430" s="2"/>
      <c r="D430" s="2"/>
      <c r="E430" s="11"/>
      <c r="F430" s="11"/>
      <c r="G430" s="2"/>
      <c r="H430" s="13"/>
      <c r="I430" s="13"/>
      <c r="J430" s="13"/>
      <c r="K430" s="6"/>
      <c r="L430" s="6"/>
      <c r="M430" s="6"/>
      <c r="N430" s="6"/>
      <c r="O430" s="6"/>
      <c r="P430" s="6"/>
      <c r="Q430" s="6"/>
      <c r="R430" s="6"/>
      <c r="S430" s="108"/>
      <c r="T430" s="111"/>
      <c r="U430" s="12"/>
    </row>
    <row r="431" spans="1:21" x14ac:dyDescent="0.3">
      <c r="A431" s="2"/>
      <c r="B431" s="2"/>
      <c r="C431" s="2"/>
      <c r="D431" s="2"/>
      <c r="E431" s="11"/>
      <c r="F431" s="11"/>
      <c r="G431" s="2"/>
      <c r="H431" s="13"/>
      <c r="I431" s="13"/>
      <c r="J431" s="13"/>
      <c r="K431" s="6"/>
      <c r="L431" s="6"/>
      <c r="M431" s="6"/>
      <c r="N431" s="6"/>
      <c r="O431" s="6"/>
      <c r="P431" s="6"/>
      <c r="Q431" s="6"/>
      <c r="R431" s="6"/>
      <c r="S431" s="108"/>
      <c r="T431" s="111"/>
      <c r="U431" s="12"/>
    </row>
    <row r="432" spans="1:21" x14ac:dyDescent="0.3">
      <c r="A432" s="2"/>
      <c r="B432" s="2"/>
      <c r="C432" s="2"/>
      <c r="D432" s="2"/>
      <c r="E432" s="11"/>
      <c r="F432" s="11"/>
      <c r="G432" s="2"/>
      <c r="H432" s="13"/>
      <c r="I432" s="13"/>
      <c r="J432" s="13"/>
      <c r="K432" s="6"/>
      <c r="L432" s="6"/>
      <c r="M432" s="6"/>
      <c r="N432" s="6"/>
      <c r="O432" s="6"/>
      <c r="P432" s="6"/>
      <c r="Q432" s="6"/>
      <c r="R432" s="6"/>
      <c r="S432" s="108"/>
      <c r="T432" s="111"/>
      <c r="U432" s="12"/>
    </row>
    <row r="433" spans="1:21" x14ac:dyDescent="0.3">
      <c r="A433" s="2"/>
      <c r="B433" s="2"/>
      <c r="C433" s="2"/>
      <c r="D433" s="2"/>
      <c r="E433" s="11"/>
      <c r="F433" s="11"/>
      <c r="G433" s="2"/>
      <c r="H433" s="13"/>
      <c r="I433" s="13"/>
      <c r="J433" s="13"/>
      <c r="K433" s="6"/>
      <c r="L433" s="6"/>
      <c r="M433" s="6"/>
      <c r="N433" s="6"/>
      <c r="O433" s="6"/>
      <c r="P433" s="6"/>
      <c r="Q433" s="6"/>
      <c r="R433" s="6"/>
      <c r="S433" s="108"/>
      <c r="T433" s="111"/>
      <c r="U433" s="12"/>
    </row>
    <row r="434" spans="1:21" x14ac:dyDescent="0.3">
      <c r="A434" s="2"/>
      <c r="B434" s="2"/>
      <c r="C434" s="2"/>
      <c r="D434" s="2"/>
      <c r="E434" s="11"/>
      <c r="F434" s="11"/>
      <c r="G434" s="2"/>
      <c r="H434" s="13"/>
      <c r="I434" s="13"/>
      <c r="J434" s="13"/>
      <c r="K434" s="6"/>
      <c r="L434" s="6"/>
      <c r="M434" s="6"/>
      <c r="N434" s="6"/>
      <c r="O434" s="6"/>
      <c r="P434" s="6"/>
      <c r="Q434" s="6"/>
      <c r="R434" s="6"/>
      <c r="S434" s="108"/>
      <c r="T434" s="111"/>
      <c r="U434" s="12"/>
    </row>
    <row r="435" spans="1:21" x14ac:dyDescent="0.3">
      <c r="A435" s="2"/>
      <c r="B435" s="2"/>
      <c r="C435" s="2"/>
      <c r="D435" s="2"/>
      <c r="E435" s="11"/>
      <c r="F435" s="11"/>
      <c r="G435" s="2"/>
      <c r="H435" s="13"/>
      <c r="I435" s="13"/>
      <c r="J435" s="13"/>
      <c r="K435" s="6"/>
      <c r="L435" s="6"/>
      <c r="M435" s="6"/>
      <c r="N435" s="6"/>
      <c r="O435" s="6"/>
      <c r="P435" s="6"/>
      <c r="Q435" s="6"/>
      <c r="R435" s="6"/>
      <c r="S435" s="108"/>
      <c r="T435" s="111"/>
      <c r="U435" s="12"/>
    </row>
    <row r="436" spans="1:21" x14ac:dyDescent="0.3">
      <c r="A436" s="2"/>
      <c r="B436" s="2"/>
      <c r="C436" s="2"/>
      <c r="D436" s="2"/>
      <c r="E436" s="11"/>
      <c r="F436" s="11"/>
      <c r="G436" s="2"/>
      <c r="H436" s="13"/>
      <c r="I436" s="13"/>
      <c r="J436" s="13"/>
      <c r="K436" s="6"/>
      <c r="L436" s="6"/>
      <c r="M436" s="6"/>
      <c r="N436" s="6"/>
      <c r="O436" s="6"/>
      <c r="P436" s="6"/>
      <c r="Q436" s="6"/>
      <c r="R436" s="6"/>
      <c r="S436" s="108"/>
      <c r="T436" s="111"/>
      <c r="U436" s="12"/>
    </row>
    <row r="437" spans="1:21" x14ac:dyDescent="0.3">
      <c r="A437" s="2"/>
      <c r="B437" s="2"/>
      <c r="C437" s="2"/>
      <c r="D437" s="2"/>
      <c r="E437" s="11"/>
      <c r="F437" s="11"/>
      <c r="G437" s="2"/>
      <c r="H437" s="13"/>
      <c r="I437" s="13"/>
      <c r="J437" s="13"/>
      <c r="K437" s="6"/>
      <c r="L437" s="6"/>
      <c r="M437" s="6"/>
      <c r="N437" s="6"/>
      <c r="O437" s="6"/>
      <c r="P437" s="6"/>
      <c r="Q437" s="6"/>
      <c r="R437" s="6"/>
      <c r="S437" s="108"/>
      <c r="T437" s="111"/>
      <c r="U437" s="12"/>
    </row>
    <row r="438" spans="1:21" x14ac:dyDescent="0.3">
      <c r="A438" s="2"/>
      <c r="B438" s="2"/>
      <c r="C438" s="2"/>
      <c r="D438" s="2"/>
      <c r="E438" s="11"/>
      <c r="F438" s="11"/>
      <c r="G438" s="2"/>
      <c r="H438" s="13"/>
      <c r="I438" s="13"/>
      <c r="J438" s="13"/>
      <c r="K438" s="6"/>
      <c r="L438" s="6"/>
      <c r="M438" s="6"/>
      <c r="N438" s="6"/>
      <c r="O438" s="6"/>
      <c r="P438" s="6"/>
      <c r="Q438" s="6"/>
      <c r="R438" s="6"/>
      <c r="S438" s="108"/>
      <c r="T438" s="111"/>
      <c r="U438" s="12"/>
    </row>
    <row r="439" spans="1:21" x14ac:dyDescent="0.3">
      <c r="A439" s="2"/>
      <c r="B439" s="2"/>
      <c r="C439" s="2"/>
      <c r="D439" s="2"/>
      <c r="E439" s="11"/>
      <c r="F439" s="11"/>
      <c r="G439" s="2"/>
      <c r="H439" s="13"/>
      <c r="I439" s="13"/>
      <c r="J439" s="13"/>
      <c r="K439" s="6"/>
      <c r="L439" s="6"/>
      <c r="M439" s="6"/>
      <c r="N439" s="6"/>
      <c r="O439" s="6"/>
      <c r="P439" s="6"/>
      <c r="Q439" s="6"/>
      <c r="R439" s="6"/>
      <c r="S439" s="108"/>
      <c r="T439" s="111"/>
      <c r="U439" s="12"/>
    </row>
    <row r="440" spans="1:21" x14ac:dyDescent="0.3">
      <c r="A440" s="2"/>
      <c r="B440" s="2"/>
      <c r="C440" s="2"/>
      <c r="D440" s="2"/>
      <c r="E440" s="11"/>
      <c r="F440" s="11"/>
      <c r="G440" s="2"/>
      <c r="H440" s="13"/>
      <c r="I440" s="13"/>
      <c r="J440" s="13"/>
      <c r="K440" s="6"/>
      <c r="L440" s="6"/>
      <c r="M440" s="6"/>
      <c r="N440" s="6"/>
      <c r="O440" s="6"/>
      <c r="P440" s="6"/>
      <c r="Q440" s="6"/>
      <c r="R440" s="6"/>
      <c r="S440" s="108"/>
      <c r="T440" s="111"/>
      <c r="U440" s="12"/>
    </row>
    <row r="441" spans="1:21" x14ac:dyDescent="0.3">
      <c r="A441" s="2"/>
      <c r="B441" s="2"/>
      <c r="C441" s="2"/>
      <c r="D441" s="2"/>
      <c r="E441" s="11"/>
      <c r="F441" s="11"/>
      <c r="G441" s="2"/>
      <c r="H441" s="13"/>
      <c r="I441" s="13"/>
      <c r="J441" s="13"/>
      <c r="K441" s="6"/>
      <c r="L441" s="6"/>
      <c r="M441" s="6"/>
      <c r="N441" s="6"/>
      <c r="O441" s="6"/>
      <c r="P441" s="6"/>
      <c r="Q441" s="6"/>
      <c r="R441" s="6"/>
      <c r="S441" s="108"/>
      <c r="T441" s="111"/>
      <c r="U441" s="12"/>
    </row>
    <row r="442" spans="1:21" x14ac:dyDescent="0.3">
      <c r="A442" s="2"/>
      <c r="B442" s="2"/>
      <c r="C442" s="2"/>
      <c r="D442" s="2"/>
      <c r="E442" s="11"/>
      <c r="F442" s="11"/>
      <c r="G442" s="2"/>
      <c r="H442" s="13"/>
      <c r="I442" s="13"/>
      <c r="J442" s="13"/>
      <c r="K442" s="6"/>
      <c r="L442" s="6"/>
      <c r="M442" s="6"/>
      <c r="N442" s="6"/>
      <c r="O442" s="6"/>
      <c r="P442" s="6"/>
      <c r="Q442" s="6"/>
      <c r="R442" s="6"/>
      <c r="S442" s="108"/>
      <c r="T442" s="111"/>
      <c r="U442" s="12"/>
    </row>
    <row r="443" spans="1:21" x14ac:dyDescent="0.3">
      <c r="A443" s="2"/>
      <c r="B443" s="2"/>
      <c r="C443" s="2"/>
      <c r="D443" s="2"/>
      <c r="E443" s="11"/>
      <c r="F443" s="11"/>
      <c r="G443" s="2"/>
      <c r="H443" s="13"/>
      <c r="I443" s="13"/>
      <c r="J443" s="13"/>
      <c r="K443" s="6"/>
      <c r="L443" s="6"/>
      <c r="M443" s="6"/>
      <c r="N443" s="6"/>
      <c r="O443" s="6"/>
      <c r="P443" s="6"/>
      <c r="Q443" s="6"/>
      <c r="R443" s="6"/>
      <c r="S443" s="108"/>
      <c r="T443" s="111"/>
      <c r="U443" s="12"/>
    </row>
    <row r="444" spans="1:21" x14ac:dyDescent="0.3">
      <c r="A444" s="2"/>
      <c r="B444" s="2"/>
      <c r="C444" s="2"/>
      <c r="D444" s="2"/>
      <c r="E444" s="11"/>
      <c r="F444" s="11"/>
      <c r="G444" s="2"/>
      <c r="H444" s="13"/>
      <c r="I444" s="13"/>
      <c r="J444" s="13"/>
      <c r="K444" s="6"/>
      <c r="L444" s="6"/>
      <c r="M444" s="6"/>
      <c r="N444" s="6"/>
      <c r="O444" s="6"/>
      <c r="P444" s="6"/>
      <c r="Q444" s="6"/>
      <c r="R444" s="6"/>
      <c r="S444" s="108"/>
      <c r="T444" s="111"/>
      <c r="U444" s="12"/>
    </row>
    <row r="445" spans="1:21" x14ac:dyDescent="0.3">
      <c r="A445" s="2"/>
      <c r="B445" s="2"/>
      <c r="C445" s="2"/>
      <c r="D445" s="2"/>
      <c r="E445" s="11"/>
      <c r="F445" s="11"/>
      <c r="G445" s="2"/>
      <c r="H445" s="13"/>
      <c r="I445" s="13"/>
      <c r="J445" s="13"/>
      <c r="K445" s="6"/>
      <c r="L445" s="6"/>
      <c r="M445" s="6"/>
      <c r="N445" s="6"/>
      <c r="O445" s="6"/>
      <c r="P445" s="6"/>
      <c r="Q445" s="6"/>
      <c r="R445" s="6"/>
      <c r="S445" s="108"/>
      <c r="T445" s="111"/>
      <c r="U445" s="12"/>
    </row>
    <row r="446" spans="1:21" x14ac:dyDescent="0.3">
      <c r="A446" s="2"/>
      <c r="B446" s="2"/>
      <c r="C446" s="2"/>
      <c r="D446" s="2"/>
      <c r="E446" s="11"/>
      <c r="F446" s="11"/>
      <c r="G446" s="2"/>
      <c r="H446" s="13"/>
      <c r="I446" s="13"/>
      <c r="J446" s="13"/>
      <c r="K446" s="6"/>
      <c r="L446" s="6"/>
      <c r="M446" s="6"/>
      <c r="N446" s="6"/>
      <c r="O446" s="6"/>
      <c r="P446" s="6"/>
      <c r="Q446" s="6"/>
      <c r="R446" s="6"/>
      <c r="S446" s="108"/>
      <c r="T446" s="111"/>
      <c r="U446" s="12"/>
    </row>
    <row r="447" spans="1:21" x14ac:dyDescent="0.3">
      <c r="A447" s="2"/>
      <c r="B447" s="2"/>
      <c r="C447" s="2"/>
      <c r="D447" s="2"/>
      <c r="E447" s="11"/>
      <c r="F447" s="11"/>
      <c r="G447" s="2"/>
      <c r="H447" s="13"/>
      <c r="I447" s="13"/>
      <c r="J447" s="13"/>
      <c r="K447" s="6"/>
      <c r="L447" s="6"/>
      <c r="M447" s="6"/>
      <c r="N447" s="6"/>
      <c r="O447" s="6"/>
      <c r="P447" s="6"/>
      <c r="Q447" s="6"/>
      <c r="R447" s="6"/>
      <c r="S447" s="108"/>
      <c r="T447" s="111"/>
      <c r="U447" s="12"/>
    </row>
    <row r="448" spans="1:21" x14ac:dyDescent="0.3">
      <c r="A448" s="2"/>
      <c r="B448" s="2"/>
      <c r="C448" s="2"/>
      <c r="D448" s="2"/>
      <c r="E448" s="11"/>
      <c r="F448" s="11"/>
      <c r="G448" s="2"/>
      <c r="H448" s="13"/>
      <c r="I448" s="13"/>
      <c r="J448" s="13"/>
      <c r="K448" s="6"/>
      <c r="L448" s="6"/>
      <c r="M448" s="6"/>
      <c r="N448" s="6"/>
      <c r="O448" s="6"/>
      <c r="P448" s="6"/>
      <c r="Q448" s="6"/>
      <c r="R448" s="6"/>
      <c r="S448" s="108"/>
      <c r="T448" s="111"/>
      <c r="U448" s="12"/>
    </row>
    <row r="449" spans="1:21" x14ac:dyDescent="0.3">
      <c r="A449" s="2"/>
      <c r="B449" s="2"/>
      <c r="C449" s="2"/>
      <c r="D449" s="2"/>
      <c r="E449" s="11"/>
      <c r="F449" s="11"/>
      <c r="G449" s="2"/>
      <c r="H449" s="13"/>
      <c r="I449" s="13"/>
      <c r="J449" s="13"/>
      <c r="K449" s="6"/>
      <c r="L449" s="6"/>
      <c r="M449" s="6"/>
      <c r="N449" s="6"/>
      <c r="O449" s="6"/>
      <c r="P449" s="6"/>
      <c r="Q449" s="6"/>
      <c r="R449" s="6"/>
      <c r="S449" s="108"/>
      <c r="T449" s="111"/>
      <c r="U449" s="12"/>
    </row>
    <row r="450" spans="1:21" x14ac:dyDescent="0.3">
      <c r="A450" s="2"/>
      <c r="B450" s="2"/>
      <c r="C450" s="2"/>
      <c r="D450" s="2"/>
      <c r="E450" s="11"/>
      <c r="F450" s="11"/>
      <c r="G450" s="2"/>
      <c r="H450" s="13"/>
      <c r="I450" s="13"/>
      <c r="J450" s="13"/>
      <c r="K450" s="6"/>
      <c r="L450" s="6"/>
      <c r="M450" s="6"/>
      <c r="N450" s="6"/>
      <c r="O450" s="6"/>
      <c r="P450" s="6"/>
      <c r="Q450" s="6"/>
      <c r="R450" s="6"/>
      <c r="S450" s="108"/>
      <c r="T450" s="111"/>
      <c r="U450" s="12"/>
    </row>
    <row r="451" spans="1:21" x14ac:dyDescent="0.3">
      <c r="A451" s="2"/>
      <c r="B451" s="2"/>
      <c r="C451" s="2"/>
      <c r="D451" s="2"/>
      <c r="E451" s="11"/>
      <c r="F451" s="11"/>
      <c r="G451" s="2"/>
      <c r="H451" s="13"/>
      <c r="I451" s="13"/>
      <c r="J451" s="13"/>
      <c r="K451" s="6"/>
      <c r="L451" s="6"/>
      <c r="M451" s="6"/>
      <c r="N451" s="6"/>
      <c r="O451" s="6"/>
      <c r="P451" s="6"/>
      <c r="Q451" s="6"/>
      <c r="R451" s="6"/>
      <c r="S451" s="108"/>
      <c r="T451" s="111"/>
      <c r="U451" s="12"/>
    </row>
    <row r="452" spans="1:21" x14ac:dyDescent="0.3">
      <c r="A452" s="2"/>
      <c r="B452" s="2"/>
      <c r="C452" s="2"/>
      <c r="D452" s="2"/>
      <c r="E452" s="11"/>
      <c r="F452" s="11"/>
      <c r="G452" s="2"/>
      <c r="H452" s="13"/>
      <c r="I452" s="13"/>
      <c r="J452" s="13"/>
      <c r="K452" s="6"/>
      <c r="L452" s="6"/>
      <c r="M452" s="6"/>
      <c r="N452" s="6"/>
      <c r="O452" s="6"/>
      <c r="P452" s="6"/>
      <c r="Q452" s="6"/>
      <c r="R452" s="6"/>
      <c r="S452" s="108"/>
      <c r="T452" s="111"/>
      <c r="U452" s="12"/>
    </row>
    <row r="453" spans="1:21" x14ac:dyDescent="0.3">
      <c r="A453" s="2"/>
      <c r="B453" s="2"/>
      <c r="C453" s="2"/>
      <c r="D453" s="2"/>
      <c r="E453" s="11"/>
      <c r="F453" s="11"/>
      <c r="G453" s="2"/>
      <c r="H453" s="13"/>
      <c r="I453" s="13"/>
      <c r="J453" s="13"/>
      <c r="K453" s="6"/>
      <c r="L453" s="6"/>
      <c r="M453" s="6"/>
      <c r="N453" s="6"/>
      <c r="O453" s="6"/>
      <c r="P453" s="6"/>
      <c r="Q453" s="6"/>
      <c r="R453" s="6"/>
      <c r="S453" s="108"/>
      <c r="T453" s="111"/>
      <c r="U453" s="12"/>
    </row>
    <row r="454" spans="1:21" x14ac:dyDescent="0.3">
      <c r="A454" s="2"/>
      <c r="B454" s="2"/>
      <c r="C454" s="2"/>
      <c r="D454" s="2"/>
      <c r="E454" s="11"/>
      <c r="F454" s="11"/>
      <c r="G454" s="2"/>
      <c r="H454" s="13"/>
      <c r="I454" s="13"/>
      <c r="J454" s="13"/>
      <c r="K454" s="6"/>
      <c r="L454" s="6"/>
      <c r="M454" s="6"/>
      <c r="N454" s="6"/>
      <c r="O454" s="6"/>
      <c r="P454" s="6"/>
      <c r="Q454" s="6"/>
      <c r="R454" s="6"/>
      <c r="S454" s="108"/>
      <c r="T454" s="111"/>
      <c r="U454" s="12"/>
    </row>
    <row r="455" spans="1:21" x14ac:dyDescent="0.3">
      <c r="A455" s="2"/>
      <c r="B455" s="2"/>
      <c r="C455" s="2"/>
      <c r="D455" s="2"/>
      <c r="E455" s="11"/>
      <c r="F455" s="11"/>
      <c r="G455" s="2"/>
      <c r="H455" s="13"/>
      <c r="I455" s="13"/>
      <c r="J455" s="13"/>
      <c r="K455" s="6"/>
      <c r="L455" s="6"/>
      <c r="M455" s="6"/>
      <c r="N455" s="6"/>
      <c r="O455" s="6"/>
      <c r="P455" s="6"/>
      <c r="Q455" s="6"/>
      <c r="R455" s="6"/>
      <c r="S455" s="108"/>
      <c r="T455" s="111"/>
      <c r="U455" s="12"/>
    </row>
    <row r="456" spans="1:21" x14ac:dyDescent="0.3">
      <c r="A456" s="2"/>
      <c r="B456" s="2"/>
      <c r="C456" s="2"/>
      <c r="D456" s="2"/>
      <c r="E456" s="11"/>
      <c r="F456" s="11"/>
      <c r="G456" s="2"/>
      <c r="H456" s="13"/>
      <c r="I456" s="13"/>
      <c r="J456" s="13"/>
      <c r="K456" s="6"/>
      <c r="L456" s="6"/>
      <c r="M456" s="6"/>
      <c r="N456" s="6"/>
      <c r="O456" s="6"/>
      <c r="P456" s="6"/>
      <c r="Q456" s="6"/>
      <c r="R456" s="6"/>
      <c r="S456" s="108"/>
      <c r="T456" s="111"/>
      <c r="U456" s="12"/>
    </row>
    <row r="457" spans="1:21" x14ac:dyDescent="0.3">
      <c r="A457" s="2"/>
      <c r="B457" s="2"/>
      <c r="C457" s="2"/>
      <c r="D457" s="2"/>
      <c r="E457" s="11"/>
      <c r="F457" s="11"/>
      <c r="G457" s="2"/>
      <c r="H457" s="13"/>
      <c r="I457" s="13"/>
      <c r="J457" s="13"/>
      <c r="K457" s="6"/>
      <c r="L457" s="6"/>
      <c r="M457" s="6"/>
      <c r="N457" s="6"/>
      <c r="O457" s="6"/>
      <c r="P457" s="6"/>
      <c r="Q457" s="6"/>
      <c r="R457" s="6"/>
      <c r="S457" s="108"/>
      <c r="T457" s="111"/>
      <c r="U457" s="12"/>
    </row>
    <row r="458" spans="1:21" x14ac:dyDescent="0.3">
      <c r="A458" s="2"/>
      <c r="B458" s="2"/>
      <c r="C458" s="2"/>
      <c r="D458" s="2"/>
      <c r="E458" s="11"/>
      <c r="F458" s="11"/>
      <c r="G458" s="2"/>
      <c r="H458" s="13"/>
      <c r="I458" s="13"/>
      <c r="J458" s="13"/>
      <c r="K458" s="6"/>
      <c r="L458" s="6"/>
      <c r="M458" s="6"/>
      <c r="N458" s="6"/>
      <c r="O458" s="6"/>
      <c r="P458" s="6"/>
      <c r="Q458" s="6"/>
      <c r="R458" s="6"/>
      <c r="S458" s="108"/>
      <c r="T458" s="111"/>
      <c r="U458" s="12"/>
    </row>
    <row r="459" spans="1:21" x14ac:dyDescent="0.3">
      <c r="A459" s="2"/>
      <c r="B459" s="2"/>
      <c r="C459" s="2"/>
      <c r="D459" s="2"/>
      <c r="E459" s="11"/>
      <c r="F459" s="11"/>
      <c r="G459" s="2"/>
      <c r="H459" s="13"/>
      <c r="I459" s="13"/>
      <c r="J459" s="13"/>
      <c r="K459" s="6"/>
      <c r="L459" s="6"/>
      <c r="M459" s="6"/>
      <c r="N459" s="6"/>
      <c r="O459" s="6"/>
      <c r="P459" s="6"/>
      <c r="Q459" s="6"/>
      <c r="R459" s="6"/>
      <c r="S459" s="108"/>
      <c r="T459" s="111"/>
      <c r="U459" s="12"/>
    </row>
    <row r="460" spans="1:21" x14ac:dyDescent="0.3">
      <c r="A460" s="2"/>
      <c r="B460" s="2"/>
      <c r="C460" s="2"/>
      <c r="D460" s="2"/>
      <c r="E460" s="11"/>
      <c r="F460" s="11"/>
      <c r="G460" s="2"/>
      <c r="H460" s="13"/>
      <c r="I460" s="13"/>
      <c r="J460" s="13"/>
      <c r="K460" s="6"/>
      <c r="L460" s="6"/>
      <c r="M460" s="6"/>
      <c r="N460" s="6"/>
      <c r="O460" s="6"/>
      <c r="P460" s="6"/>
      <c r="Q460" s="6"/>
      <c r="R460" s="6"/>
      <c r="S460" s="108"/>
      <c r="T460" s="111"/>
      <c r="U460" s="12"/>
    </row>
    <row r="461" spans="1:21" x14ac:dyDescent="0.3">
      <c r="A461" s="2"/>
      <c r="B461" s="2"/>
      <c r="C461" s="2"/>
      <c r="D461" s="2"/>
      <c r="E461" s="11"/>
      <c r="F461" s="11"/>
      <c r="G461" s="2"/>
      <c r="H461" s="13"/>
      <c r="I461" s="13"/>
      <c r="J461" s="13"/>
      <c r="K461" s="6"/>
      <c r="L461" s="6"/>
      <c r="M461" s="6"/>
      <c r="N461" s="6"/>
      <c r="O461" s="6"/>
      <c r="P461" s="6"/>
      <c r="Q461" s="6"/>
      <c r="R461" s="6"/>
      <c r="S461" s="108"/>
      <c r="T461" s="111"/>
      <c r="U461" s="12"/>
    </row>
    <row r="462" spans="1:21" x14ac:dyDescent="0.3">
      <c r="A462" s="2"/>
      <c r="B462" s="2"/>
      <c r="C462" s="2"/>
      <c r="D462" s="2"/>
      <c r="E462" s="11"/>
      <c r="F462" s="11"/>
      <c r="G462" s="2"/>
      <c r="H462" s="13"/>
      <c r="I462" s="13"/>
      <c r="J462" s="13"/>
      <c r="K462" s="6"/>
      <c r="L462" s="6"/>
      <c r="M462" s="6"/>
      <c r="N462" s="6"/>
      <c r="O462" s="6"/>
      <c r="P462" s="6"/>
      <c r="Q462" s="6"/>
      <c r="R462" s="6"/>
      <c r="S462" s="108"/>
      <c r="T462" s="111"/>
      <c r="U462" s="12"/>
    </row>
    <row r="463" spans="1:21" x14ac:dyDescent="0.3">
      <c r="A463" s="2"/>
      <c r="B463" s="2"/>
      <c r="C463" s="2"/>
      <c r="D463" s="2"/>
      <c r="E463" s="11"/>
      <c r="F463" s="11"/>
      <c r="G463" s="2"/>
      <c r="H463" s="13"/>
      <c r="I463" s="13"/>
      <c r="J463" s="13"/>
      <c r="K463" s="6"/>
      <c r="L463" s="6"/>
      <c r="M463" s="6"/>
      <c r="N463" s="6"/>
      <c r="O463" s="6"/>
      <c r="P463" s="6"/>
      <c r="Q463" s="6"/>
      <c r="R463" s="6"/>
      <c r="S463" s="108"/>
      <c r="T463" s="111"/>
      <c r="U463" s="12"/>
    </row>
    <row r="464" spans="1:21" x14ac:dyDescent="0.3">
      <c r="A464" s="2"/>
      <c r="B464" s="2"/>
      <c r="C464" s="2"/>
      <c r="D464" s="2"/>
      <c r="E464" s="11"/>
      <c r="F464" s="11"/>
      <c r="G464" s="2"/>
      <c r="H464" s="13"/>
      <c r="I464" s="13"/>
      <c r="J464" s="13"/>
      <c r="K464" s="6"/>
      <c r="L464" s="6"/>
      <c r="M464" s="6"/>
      <c r="N464" s="6"/>
      <c r="O464" s="6"/>
      <c r="P464" s="6"/>
      <c r="Q464" s="6"/>
      <c r="R464" s="6"/>
      <c r="S464" s="108"/>
      <c r="T464" s="111"/>
      <c r="U464" s="12"/>
    </row>
    <row r="465" spans="1:21" x14ac:dyDescent="0.3">
      <c r="A465" s="2"/>
      <c r="B465" s="2"/>
      <c r="C465" s="2"/>
      <c r="D465" s="2"/>
      <c r="E465" s="11"/>
      <c r="F465" s="11"/>
      <c r="G465" s="2"/>
      <c r="H465" s="13"/>
      <c r="I465" s="13"/>
      <c r="J465" s="13"/>
      <c r="K465" s="6"/>
      <c r="L465" s="6"/>
      <c r="M465" s="6"/>
      <c r="N465" s="6"/>
      <c r="O465" s="6"/>
      <c r="P465" s="6"/>
      <c r="Q465" s="6"/>
      <c r="R465" s="6"/>
      <c r="S465" s="108"/>
      <c r="T465" s="111"/>
      <c r="U465" s="12"/>
    </row>
    <row r="466" spans="1:21" x14ac:dyDescent="0.3">
      <c r="A466" s="2"/>
      <c r="B466" s="2"/>
      <c r="C466" s="2"/>
      <c r="D466" s="2"/>
      <c r="E466" s="11"/>
      <c r="F466" s="11"/>
      <c r="G466" s="2"/>
      <c r="H466" s="13"/>
      <c r="I466" s="13"/>
      <c r="J466" s="13"/>
      <c r="K466" s="6"/>
      <c r="L466" s="6"/>
      <c r="M466" s="6"/>
      <c r="N466" s="6"/>
      <c r="O466" s="6"/>
      <c r="P466" s="6"/>
      <c r="Q466" s="6"/>
      <c r="R466" s="6"/>
      <c r="S466" s="108"/>
      <c r="T466" s="111"/>
      <c r="U466" s="12"/>
    </row>
    <row r="467" spans="1:21" x14ac:dyDescent="0.3">
      <c r="A467" s="2"/>
      <c r="B467" s="2"/>
      <c r="C467" s="2"/>
      <c r="D467" s="2"/>
      <c r="E467" s="11"/>
      <c r="F467" s="11"/>
      <c r="G467" s="2"/>
      <c r="H467" s="13"/>
      <c r="I467" s="13"/>
      <c r="J467" s="13"/>
      <c r="K467" s="6"/>
      <c r="L467" s="6"/>
      <c r="M467" s="6"/>
      <c r="N467" s="6"/>
      <c r="O467" s="6"/>
      <c r="P467" s="6"/>
      <c r="Q467" s="6"/>
      <c r="R467" s="6"/>
      <c r="S467" s="108"/>
      <c r="T467" s="111"/>
      <c r="U467" s="12"/>
    </row>
    <row r="468" spans="1:21" x14ac:dyDescent="0.3">
      <c r="A468" s="2"/>
      <c r="B468" s="2"/>
      <c r="C468" s="2"/>
      <c r="D468" s="2"/>
      <c r="E468" s="11"/>
      <c r="F468" s="11"/>
      <c r="G468" s="2"/>
      <c r="H468" s="13"/>
      <c r="I468" s="13"/>
      <c r="J468" s="13"/>
      <c r="K468" s="6"/>
      <c r="L468" s="6"/>
      <c r="M468" s="6"/>
      <c r="N468" s="6"/>
      <c r="O468" s="6"/>
      <c r="P468" s="6"/>
      <c r="Q468" s="6"/>
      <c r="R468" s="6"/>
      <c r="S468" s="108"/>
      <c r="T468" s="111"/>
      <c r="U468" s="12"/>
    </row>
    <row r="469" spans="1:21" x14ac:dyDescent="0.3">
      <c r="A469" s="2"/>
      <c r="B469" s="2"/>
      <c r="C469" s="2"/>
      <c r="D469" s="2"/>
      <c r="E469" s="11"/>
      <c r="F469" s="11"/>
      <c r="G469" s="2"/>
      <c r="H469" s="13"/>
      <c r="I469" s="13"/>
      <c r="J469" s="13"/>
      <c r="K469" s="6"/>
      <c r="L469" s="6"/>
      <c r="M469" s="6"/>
      <c r="N469" s="6"/>
      <c r="O469" s="6"/>
      <c r="P469" s="6"/>
      <c r="Q469" s="6"/>
      <c r="R469" s="6"/>
      <c r="S469" s="108"/>
      <c r="T469" s="111"/>
      <c r="U469" s="12"/>
    </row>
    <row r="470" spans="1:21" x14ac:dyDescent="0.3">
      <c r="A470" s="2"/>
      <c r="B470" s="2"/>
      <c r="C470" s="2"/>
      <c r="D470" s="2"/>
      <c r="E470" s="11"/>
      <c r="F470" s="11"/>
      <c r="G470" s="2"/>
      <c r="H470" s="13"/>
      <c r="I470" s="13"/>
      <c r="J470" s="13"/>
      <c r="K470" s="6"/>
      <c r="L470" s="6"/>
      <c r="M470" s="6"/>
      <c r="N470" s="6"/>
      <c r="O470" s="6"/>
      <c r="P470" s="6"/>
      <c r="Q470" s="6"/>
      <c r="R470" s="6"/>
      <c r="S470" s="108"/>
      <c r="T470" s="111"/>
      <c r="U470" s="12"/>
    </row>
    <row r="471" spans="1:21" x14ac:dyDescent="0.3">
      <c r="A471" s="2"/>
      <c r="B471" s="2"/>
      <c r="C471" s="2"/>
      <c r="D471" s="2"/>
      <c r="E471" s="11"/>
      <c r="F471" s="11"/>
      <c r="G471" s="2"/>
      <c r="H471" s="13"/>
      <c r="I471" s="13"/>
      <c r="J471" s="13"/>
      <c r="K471" s="6"/>
      <c r="L471" s="6"/>
      <c r="M471" s="6"/>
      <c r="N471" s="6"/>
      <c r="O471" s="6"/>
      <c r="P471" s="6"/>
      <c r="Q471" s="6"/>
      <c r="R471" s="6"/>
      <c r="S471" s="108"/>
      <c r="T471" s="111"/>
      <c r="U471" s="12"/>
    </row>
    <row r="472" spans="1:21" x14ac:dyDescent="0.3">
      <c r="A472" s="2"/>
      <c r="B472" s="2"/>
      <c r="C472" s="2"/>
      <c r="D472" s="2"/>
      <c r="E472" s="11"/>
      <c r="F472" s="11"/>
      <c r="G472" s="2"/>
      <c r="H472" s="13"/>
      <c r="I472" s="13"/>
      <c r="J472" s="13"/>
      <c r="K472" s="6"/>
      <c r="L472" s="6"/>
      <c r="M472" s="6"/>
      <c r="N472" s="6"/>
      <c r="O472" s="6"/>
      <c r="P472" s="6"/>
      <c r="Q472" s="6"/>
      <c r="R472" s="6"/>
      <c r="S472" s="108"/>
      <c r="T472" s="111"/>
      <c r="U472" s="12"/>
    </row>
    <row r="473" spans="1:21" x14ac:dyDescent="0.3">
      <c r="A473" s="2"/>
      <c r="B473" s="2"/>
      <c r="C473" s="2"/>
      <c r="D473" s="2"/>
      <c r="E473" s="11"/>
      <c r="F473" s="11"/>
      <c r="G473" s="2"/>
      <c r="H473" s="13"/>
      <c r="I473" s="13"/>
      <c r="J473" s="13"/>
      <c r="K473" s="6"/>
      <c r="L473" s="6"/>
      <c r="M473" s="6"/>
      <c r="N473" s="6"/>
      <c r="O473" s="6"/>
      <c r="P473" s="6"/>
      <c r="Q473" s="6"/>
      <c r="R473" s="6"/>
      <c r="S473" s="108"/>
      <c r="T473" s="111"/>
      <c r="U473" s="12"/>
    </row>
    <row r="474" spans="1:21" x14ac:dyDescent="0.3">
      <c r="A474" s="2"/>
      <c r="B474" s="2"/>
      <c r="C474" s="2"/>
      <c r="D474" s="2"/>
      <c r="E474" s="11"/>
      <c r="F474" s="11"/>
      <c r="G474" s="2"/>
      <c r="H474" s="13"/>
      <c r="I474" s="13"/>
      <c r="J474" s="13"/>
      <c r="K474" s="6"/>
      <c r="L474" s="6"/>
      <c r="M474" s="6"/>
      <c r="N474" s="6"/>
      <c r="O474" s="6"/>
      <c r="P474" s="6"/>
      <c r="Q474" s="6"/>
      <c r="R474" s="6"/>
      <c r="S474" s="108"/>
      <c r="T474" s="111"/>
      <c r="U474" s="12"/>
    </row>
    <row r="475" spans="1:21" x14ac:dyDescent="0.3">
      <c r="A475" s="2"/>
      <c r="B475" s="2"/>
      <c r="C475" s="2"/>
      <c r="D475" s="2"/>
      <c r="E475" s="11"/>
      <c r="F475" s="11"/>
      <c r="G475" s="2"/>
      <c r="H475" s="13"/>
      <c r="I475" s="13"/>
      <c r="J475" s="13"/>
      <c r="K475" s="6"/>
      <c r="L475" s="6"/>
      <c r="M475" s="6"/>
      <c r="N475" s="6"/>
      <c r="O475" s="6"/>
      <c r="P475" s="6"/>
      <c r="Q475" s="6"/>
      <c r="R475" s="6"/>
      <c r="S475" s="108"/>
      <c r="T475" s="111"/>
      <c r="U475" s="12"/>
    </row>
    <row r="476" spans="1:21" x14ac:dyDescent="0.3">
      <c r="A476" s="2"/>
      <c r="B476" s="2"/>
      <c r="C476" s="2"/>
      <c r="D476" s="2"/>
      <c r="E476" s="11"/>
      <c r="F476" s="11"/>
      <c r="G476" s="2"/>
      <c r="H476" s="13"/>
      <c r="I476" s="13"/>
      <c r="J476" s="13"/>
      <c r="K476" s="6"/>
      <c r="L476" s="6"/>
      <c r="M476" s="6"/>
      <c r="N476" s="6"/>
      <c r="O476" s="6"/>
      <c r="P476" s="6"/>
      <c r="Q476" s="6"/>
      <c r="R476" s="6"/>
      <c r="S476" s="108"/>
      <c r="T476" s="111"/>
      <c r="U476" s="12"/>
    </row>
    <row r="477" spans="1:21" x14ac:dyDescent="0.3">
      <c r="A477" s="2"/>
      <c r="B477" s="2"/>
      <c r="C477" s="2"/>
      <c r="D477" s="2"/>
      <c r="E477" s="11"/>
      <c r="F477" s="11"/>
      <c r="G477" s="2"/>
      <c r="H477" s="13"/>
      <c r="I477" s="13"/>
      <c r="J477" s="13"/>
      <c r="K477" s="6"/>
      <c r="L477" s="6"/>
      <c r="M477" s="6"/>
      <c r="N477" s="6"/>
      <c r="O477" s="6"/>
      <c r="P477" s="6"/>
      <c r="Q477" s="6"/>
      <c r="R477" s="6"/>
      <c r="S477" s="108"/>
      <c r="T477" s="111"/>
      <c r="U477" s="12"/>
    </row>
    <row r="478" spans="1:21" x14ac:dyDescent="0.3">
      <c r="A478" s="2"/>
      <c r="B478" s="2"/>
      <c r="C478" s="2"/>
      <c r="D478" s="2"/>
      <c r="E478" s="11"/>
      <c r="F478" s="11"/>
      <c r="G478" s="2"/>
      <c r="H478" s="13"/>
      <c r="I478" s="13"/>
      <c r="J478" s="13"/>
      <c r="K478" s="6"/>
      <c r="L478" s="6"/>
      <c r="M478" s="6"/>
      <c r="N478" s="6"/>
      <c r="O478" s="6"/>
      <c r="P478" s="6"/>
      <c r="Q478" s="6"/>
      <c r="R478" s="6"/>
      <c r="S478" s="108"/>
      <c r="T478" s="111"/>
      <c r="U478" s="12"/>
    </row>
    <row r="479" spans="1:21" x14ac:dyDescent="0.3">
      <c r="A479" s="2"/>
      <c r="B479" s="2"/>
      <c r="C479" s="2"/>
      <c r="D479" s="2"/>
      <c r="E479" s="11"/>
      <c r="F479" s="11"/>
      <c r="G479" s="2"/>
      <c r="H479" s="13"/>
      <c r="I479" s="13"/>
      <c r="J479" s="13"/>
      <c r="K479" s="6"/>
      <c r="L479" s="6"/>
      <c r="M479" s="6"/>
      <c r="N479" s="6"/>
      <c r="O479" s="6"/>
      <c r="P479" s="6"/>
      <c r="Q479" s="6"/>
      <c r="R479" s="6"/>
      <c r="S479" s="108"/>
      <c r="T479" s="111"/>
      <c r="U479" s="12"/>
    </row>
    <row r="480" spans="1:21" x14ac:dyDescent="0.3">
      <c r="A480" s="2"/>
      <c r="B480" s="2"/>
      <c r="C480" s="2"/>
      <c r="D480" s="2"/>
      <c r="E480" s="11"/>
      <c r="F480" s="11"/>
      <c r="G480" s="2"/>
      <c r="H480" s="13"/>
      <c r="I480" s="13"/>
      <c r="J480" s="13"/>
      <c r="K480" s="6"/>
      <c r="L480" s="6"/>
      <c r="M480" s="6"/>
      <c r="N480" s="6"/>
      <c r="O480" s="6"/>
      <c r="P480" s="6"/>
      <c r="Q480" s="6"/>
      <c r="R480" s="6"/>
      <c r="S480" s="108"/>
      <c r="T480" s="111"/>
      <c r="U480" s="12"/>
    </row>
    <row r="481" spans="1:21" x14ac:dyDescent="0.3">
      <c r="A481" s="2"/>
      <c r="B481" s="2"/>
      <c r="C481" s="2"/>
      <c r="D481" s="2"/>
      <c r="E481" s="11"/>
      <c r="F481" s="11"/>
      <c r="G481" s="2"/>
      <c r="H481" s="13"/>
      <c r="I481" s="13"/>
      <c r="J481" s="13"/>
      <c r="K481" s="6"/>
      <c r="L481" s="6"/>
      <c r="M481" s="6"/>
      <c r="N481" s="6"/>
      <c r="O481" s="6"/>
      <c r="P481" s="6"/>
      <c r="Q481" s="6"/>
      <c r="R481" s="6"/>
      <c r="S481" s="108"/>
      <c r="T481" s="111"/>
      <c r="U481" s="12"/>
    </row>
    <row r="482" spans="1:21" x14ac:dyDescent="0.3">
      <c r="A482" s="2"/>
      <c r="B482" s="2"/>
      <c r="C482" s="2"/>
      <c r="D482" s="2"/>
      <c r="E482" s="11"/>
      <c r="F482" s="11"/>
      <c r="G482" s="2"/>
      <c r="H482" s="13"/>
      <c r="I482" s="13"/>
      <c r="J482" s="13"/>
      <c r="K482" s="6"/>
      <c r="L482" s="6"/>
      <c r="M482" s="6"/>
      <c r="N482" s="6"/>
      <c r="O482" s="6"/>
      <c r="P482" s="6"/>
      <c r="Q482" s="6"/>
      <c r="R482" s="6"/>
      <c r="S482" s="108"/>
      <c r="T482" s="111"/>
      <c r="U482" s="12"/>
    </row>
    <row r="483" spans="1:21" x14ac:dyDescent="0.3">
      <c r="A483" s="2"/>
      <c r="B483" s="2"/>
      <c r="C483" s="2"/>
      <c r="D483" s="2"/>
      <c r="E483" s="11"/>
      <c r="F483" s="11"/>
      <c r="G483" s="2"/>
      <c r="H483" s="13"/>
      <c r="I483" s="13"/>
      <c r="J483" s="13"/>
      <c r="K483" s="6"/>
      <c r="L483" s="6"/>
      <c r="M483" s="6"/>
      <c r="N483" s="6"/>
      <c r="O483" s="6"/>
      <c r="P483" s="6"/>
      <c r="Q483" s="6"/>
      <c r="R483" s="6"/>
      <c r="S483" s="108"/>
      <c r="T483" s="111"/>
      <c r="U483" s="12"/>
    </row>
    <row r="484" spans="1:21" x14ac:dyDescent="0.3">
      <c r="A484" s="2"/>
      <c r="B484" s="2"/>
      <c r="C484" s="2"/>
      <c r="D484" s="2"/>
      <c r="E484" s="11"/>
      <c r="F484" s="11"/>
      <c r="G484" s="2"/>
      <c r="H484" s="13"/>
      <c r="I484" s="13"/>
      <c r="J484" s="13"/>
      <c r="K484" s="6"/>
      <c r="L484" s="6"/>
      <c r="M484" s="6"/>
      <c r="N484" s="6"/>
      <c r="O484" s="6"/>
      <c r="P484" s="6"/>
      <c r="Q484" s="6"/>
      <c r="R484" s="6"/>
      <c r="S484" s="108"/>
      <c r="T484" s="111"/>
      <c r="U484" s="12"/>
    </row>
    <row r="485" spans="1:21" x14ac:dyDescent="0.3">
      <c r="A485" s="2"/>
      <c r="B485" s="2"/>
      <c r="C485" s="2"/>
      <c r="D485" s="2"/>
      <c r="E485" s="11"/>
      <c r="F485" s="11"/>
      <c r="G485" s="2"/>
      <c r="H485" s="13"/>
      <c r="I485" s="13"/>
      <c r="J485" s="13"/>
      <c r="K485" s="6"/>
      <c r="L485" s="6"/>
      <c r="M485" s="6"/>
      <c r="N485" s="6"/>
      <c r="O485" s="6"/>
      <c r="P485" s="6"/>
      <c r="Q485" s="6"/>
      <c r="R485" s="6"/>
      <c r="S485" s="108"/>
      <c r="T485" s="111"/>
      <c r="U485" s="12"/>
    </row>
    <row r="486" spans="1:21" x14ac:dyDescent="0.3">
      <c r="A486" s="2"/>
      <c r="B486" s="2"/>
      <c r="C486" s="2"/>
      <c r="D486" s="2"/>
      <c r="E486" s="11"/>
      <c r="F486" s="11"/>
      <c r="G486" s="2"/>
      <c r="H486" s="13"/>
      <c r="I486" s="13"/>
      <c r="J486" s="13"/>
      <c r="K486" s="6"/>
      <c r="L486" s="6"/>
      <c r="M486" s="6"/>
      <c r="N486" s="6"/>
      <c r="O486" s="6"/>
      <c r="P486" s="6"/>
      <c r="Q486" s="6"/>
      <c r="R486" s="6"/>
      <c r="S486" s="108"/>
      <c r="T486" s="111"/>
      <c r="U486" s="12"/>
    </row>
    <row r="487" spans="1:21" x14ac:dyDescent="0.3">
      <c r="A487" s="2"/>
      <c r="B487" s="2"/>
      <c r="C487" s="2"/>
      <c r="D487" s="2"/>
      <c r="E487" s="11"/>
      <c r="F487" s="11"/>
      <c r="G487" s="2"/>
      <c r="H487" s="13"/>
      <c r="I487" s="13"/>
      <c r="J487" s="13"/>
      <c r="K487" s="6"/>
      <c r="L487" s="6"/>
      <c r="M487" s="6"/>
      <c r="N487" s="6"/>
      <c r="O487" s="6"/>
      <c r="P487" s="6"/>
      <c r="Q487" s="6"/>
      <c r="R487" s="6"/>
      <c r="S487" s="108"/>
      <c r="T487" s="111"/>
      <c r="U487" s="12"/>
    </row>
    <row r="488" spans="1:21" x14ac:dyDescent="0.3">
      <c r="A488" s="2"/>
      <c r="B488" s="2"/>
      <c r="C488" s="2"/>
      <c r="D488" s="2"/>
      <c r="E488" s="11"/>
      <c r="F488" s="11"/>
      <c r="G488" s="2"/>
      <c r="H488" s="13"/>
      <c r="I488" s="13"/>
      <c r="J488" s="13"/>
      <c r="K488" s="6"/>
      <c r="L488" s="6"/>
      <c r="M488" s="6"/>
      <c r="N488" s="6"/>
      <c r="O488" s="6"/>
      <c r="P488" s="6"/>
      <c r="Q488" s="6"/>
      <c r="R488" s="6"/>
      <c r="S488" s="108"/>
      <c r="T488" s="111"/>
      <c r="U488" s="12"/>
    </row>
    <row r="489" spans="1:21" x14ac:dyDescent="0.3">
      <c r="A489" s="2"/>
      <c r="B489" s="2"/>
      <c r="C489" s="2"/>
      <c r="D489" s="2"/>
      <c r="E489" s="11"/>
      <c r="F489" s="11"/>
      <c r="G489" s="2"/>
      <c r="H489" s="13"/>
      <c r="I489" s="13"/>
      <c r="J489" s="13"/>
      <c r="K489" s="6"/>
      <c r="L489" s="6"/>
      <c r="M489" s="6"/>
      <c r="N489" s="6"/>
      <c r="O489" s="6"/>
      <c r="P489" s="6"/>
      <c r="Q489" s="6"/>
      <c r="R489" s="6"/>
      <c r="S489" s="108"/>
      <c r="T489" s="111"/>
      <c r="U489" s="12"/>
    </row>
    <row r="490" spans="1:21" x14ac:dyDescent="0.3">
      <c r="A490" s="2"/>
      <c r="B490" s="2"/>
      <c r="C490" s="2"/>
      <c r="D490" s="2"/>
      <c r="E490" s="11"/>
      <c r="F490" s="11"/>
      <c r="G490" s="2"/>
      <c r="H490" s="13"/>
      <c r="I490" s="13"/>
      <c r="J490" s="13"/>
      <c r="K490" s="6"/>
      <c r="L490" s="6"/>
      <c r="M490" s="6"/>
      <c r="N490" s="6"/>
      <c r="O490" s="6"/>
      <c r="P490" s="6"/>
      <c r="Q490" s="6"/>
      <c r="R490" s="6"/>
      <c r="S490" s="108"/>
      <c r="T490" s="111"/>
      <c r="U490" s="12"/>
    </row>
    <row r="491" spans="1:21" x14ac:dyDescent="0.3">
      <c r="A491" s="2"/>
      <c r="B491" s="2"/>
      <c r="C491" s="2"/>
      <c r="D491" s="2"/>
      <c r="E491" s="11"/>
      <c r="F491" s="11"/>
      <c r="G491" s="2"/>
      <c r="H491" s="13"/>
      <c r="I491" s="13"/>
      <c r="J491" s="13"/>
      <c r="K491" s="6"/>
      <c r="L491" s="6"/>
      <c r="M491" s="6"/>
      <c r="N491" s="6"/>
      <c r="O491" s="6"/>
      <c r="P491" s="6"/>
      <c r="Q491" s="6"/>
      <c r="R491" s="6"/>
      <c r="S491" s="108"/>
      <c r="T491" s="111"/>
      <c r="U491" s="12"/>
    </row>
    <row r="492" spans="1:21" x14ac:dyDescent="0.3">
      <c r="A492" s="2"/>
      <c r="B492" s="2"/>
      <c r="C492" s="2"/>
      <c r="D492" s="2"/>
      <c r="E492" s="11"/>
      <c r="F492" s="11"/>
      <c r="G492" s="2"/>
      <c r="H492" s="13"/>
      <c r="I492" s="13"/>
      <c r="J492" s="13"/>
      <c r="K492" s="6"/>
      <c r="L492" s="6"/>
      <c r="M492" s="6"/>
      <c r="N492" s="6"/>
      <c r="O492" s="6"/>
      <c r="P492" s="6"/>
      <c r="Q492" s="6"/>
      <c r="R492" s="6"/>
      <c r="S492" s="108"/>
      <c r="T492" s="111"/>
      <c r="U492" s="12"/>
    </row>
    <row r="493" spans="1:21" x14ac:dyDescent="0.3">
      <c r="A493" s="2"/>
      <c r="B493" s="2"/>
      <c r="C493" s="2"/>
      <c r="D493" s="2"/>
      <c r="E493" s="11"/>
      <c r="F493" s="11"/>
      <c r="G493" s="2"/>
      <c r="H493" s="13"/>
      <c r="I493" s="13"/>
      <c r="J493" s="13"/>
      <c r="K493" s="6"/>
      <c r="L493" s="6"/>
      <c r="M493" s="6"/>
      <c r="N493" s="6"/>
      <c r="O493" s="6"/>
      <c r="P493" s="6"/>
      <c r="Q493" s="6"/>
      <c r="R493" s="6"/>
      <c r="S493" s="108"/>
      <c r="T493" s="111"/>
      <c r="U493" s="12"/>
    </row>
    <row r="494" spans="1:21" x14ac:dyDescent="0.3">
      <c r="A494" s="2"/>
      <c r="B494" s="2"/>
      <c r="C494" s="2"/>
      <c r="D494" s="2"/>
      <c r="E494" s="11"/>
      <c r="F494" s="11"/>
      <c r="G494" s="2"/>
      <c r="H494" s="13"/>
      <c r="I494" s="13"/>
      <c r="J494" s="13"/>
      <c r="K494" s="6"/>
      <c r="L494" s="6"/>
      <c r="M494" s="6"/>
      <c r="N494" s="6"/>
      <c r="O494" s="6"/>
      <c r="P494" s="6"/>
      <c r="Q494" s="6"/>
      <c r="R494" s="6"/>
      <c r="S494" s="108"/>
      <c r="T494" s="111"/>
      <c r="U494" s="12"/>
    </row>
    <row r="495" spans="1:21" x14ac:dyDescent="0.3">
      <c r="A495" s="2"/>
      <c r="B495" s="2"/>
      <c r="C495" s="2"/>
      <c r="D495" s="2"/>
      <c r="E495" s="11"/>
      <c r="F495" s="11"/>
      <c r="G495" s="2"/>
      <c r="H495" s="13"/>
      <c r="I495" s="13"/>
      <c r="J495" s="13"/>
      <c r="K495" s="6"/>
      <c r="L495" s="6"/>
      <c r="M495" s="6"/>
      <c r="N495" s="6"/>
      <c r="O495" s="6"/>
      <c r="P495" s="6"/>
      <c r="Q495" s="6"/>
      <c r="R495" s="6"/>
      <c r="S495" s="108"/>
      <c r="T495" s="111"/>
      <c r="U495" s="12"/>
    </row>
    <row r="496" spans="1:21" x14ac:dyDescent="0.3">
      <c r="A496" s="2"/>
      <c r="B496" s="2"/>
      <c r="C496" s="2"/>
      <c r="D496" s="2"/>
      <c r="E496" s="11"/>
      <c r="F496" s="11"/>
      <c r="G496" s="2"/>
      <c r="H496" s="13"/>
      <c r="I496" s="13"/>
      <c r="J496" s="13"/>
      <c r="K496" s="6"/>
      <c r="L496" s="6"/>
      <c r="M496" s="6"/>
      <c r="N496" s="6"/>
      <c r="O496" s="6"/>
      <c r="P496" s="6"/>
      <c r="Q496" s="6"/>
      <c r="R496" s="6"/>
      <c r="S496" s="108"/>
      <c r="T496" s="111"/>
      <c r="U496" s="12"/>
    </row>
    <row r="497" spans="1:21" x14ac:dyDescent="0.3">
      <c r="A497" s="2"/>
      <c r="B497" s="2"/>
      <c r="C497" s="2"/>
      <c r="D497" s="2"/>
      <c r="E497" s="11"/>
      <c r="F497" s="11"/>
      <c r="G497" s="2"/>
      <c r="H497" s="13"/>
      <c r="I497" s="13"/>
      <c r="J497" s="13"/>
      <c r="K497" s="6"/>
      <c r="L497" s="6"/>
      <c r="M497" s="6"/>
      <c r="N497" s="6"/>
      <c r="O497" s="6"/>
      <c r="P497" s="6"/>
      <c r="Q497" s="6"/>
      <c r="R497" s="6"/>
      <c r="S497" s="108"/>
      <c r="T497" s="111"/>
      <c r="U497" s="12"/>
    </row>
    <row r="498" spans="1:21" x14ac:dyDescent="0.3">
      <c r="A498" s="2"/>
      <c r="B498" s="2"/>
      <c r="C498" s="2"/>
      <c r="D498" s="2"/>
      <c r="E498" s="11"/>
      <c r="F498" s="11"/>
      <c r="G498" s="2"/>
      <c r="H498" s="13"/>
      <c r="I498" s="13"/>
      <c r="J498" s="13"/>
      <c r="K498" s="6"/>
      <c r="L498" s="6"/>
      <c r="M498" s="6"/>
      <c r="N498" s="6"/>
      <c r="O498" s="6"/>
      <c r="P498" s="6"/>
      <c r="Q498" s="6"/>
      <c r="R498" s="6"/>
      <c r="S498" s="108"/>
      <c r="T498" s="111"/>
      <c r="U498" s="12"/>
    </row>
    <row r="499" spans="1:21" x14ac:dyDescent="0.3">
      <c r="A499" s="2"/>
      <c r="B499" s="2"/>
      <c r="C499" s="2"/>
      <c r="D499" s="2"/>
      <c r="E499" s="11"/>
      <c r="F499" s="11"/>
      <c r="G499" s="2"/>
      <c r="H499" s="13"/>
      <c r="I499" s="13"/>
      <c r="J499" s="13"/>
      <c r="K499" s="6"/>
      <c r="L499" s="6"/>
      <c r="M499" s="6"/>
      <c r="N499" s="6"/>
      <c r="O499" s="6"/>
      <c r="P499" s="6"/>
      <c r="Q499" s="6"/>
      <c r="R499" s="6"/>
      <c r="S499" s="108"/>
      <c r="T499" s="111"/>
      <c r="U499" s="12"/>
    </row>
    <row r="500" spans="1:21" x14ac:dyDescent="0.3">
      <c r="A500" s="2"/>
      <c r="B500" s="2"/>
      <c r="C500" s="2"/>
      <c r="D500" s="2"/>
      <c r="E500" s="11"/>
      <c r="F500" s="11"/>
      <c r="G500" s="2"/>
      <c r="H500" s="13"/>
      <c r="I500" s="13"/>
      <c r="J500" s="13"/>
      <c r="K500" s="6"/>
      <c r="L500" s="6"/>
      <c r="M500" s="6"/>
      <c r="N500" s="6"/>
      <c r="O500" s="6"/>
      <c r="P500" s="6"/>
      <c r="Q500" s="6"/>
      <c r="R500" s="6"/>
      <c r="S500" s="108"/>
      <c r="T500" s="111"/>
      <c r="U500" s="12"/>
    </row>
    <row r="501" spans="1:21" x14ac:dyDescent="0.3">
      <c r="A501" s="2"/>
      <c r="B501" s="2"/>
      <c r="C501" s="2"/>
      <c r="D501" s="2"/>
      <c r="E501" s="11"/>
      <c r="F501" s="11"/>
      <c r="G501" s="2"/>
      <c r="H501" s="13"/>
      <c r="I501" s="13"/>
      <c r="J501" s="13"/>
      <c r="K501" s="6"/>
      <c r="L501" s="6"/>
      <c r="M501" s="6"/>
      <c r="N501" s="6"/>
      <c r="O501" s="6"/>
      <c r="P501" s="6"/>
      <c r="Q501" s="6"/>
      <c r="R501" s="6"/>
      <c r="S501" s="108"/>
      <c r="T501" s="111"/>
      <c r="U501" s="12"/>
    </row>
    <row r="502" spans="1:21" x14ac:dyDescent="0.3">
      <c r="A502" s="2"/>
      <c r="B502" s="2"/>
      <c r="C502" s="2"/>
      <c r="D502" s="2"/>
      <c r="E502" s="11"/>
      <c r="F502" s="11"/>
      <c r="G502" s="2"/>
      <c r="H502" s="13"/>
      <c r="I502" s="13"/>
      <c r="J502" s="13"/>
      <c r="K502" s="6"/>
      <c r="L502" s="6"/>
      <c r="M502" s="6"/>
      <c r="N502" s="6"/>
      <c r="O502" s="6"/>
      <c r="P502" s="6"/>
      <c r="Q502" s="6"/>
      <c r="R502" s="6"/>
      <c r="S502" s="108"/>
      <c r="T502" s="111"/>
      <c r="U502" s="12"/>
    </row>
    <row r="503" spans="1:21" x14ac:dyDescent="0.3">
      <c r="A503" s="11"/>
      <c r="B503" s="2"/>
      <c r="C503" s="2"/>
      <c r="D503" s="2"/>
      <c r="E503" s="11"/>
      <c r="F503" s="11"/>
      <c r="G503" s="2"/>
      <c r="H503" s="13"/>
      <c r="I503" s="13"/>
      <c r="J503" s="13"/>
      <c r="K503" s="6"/>
      <c r="L503" s="6"/>
      <c r="M503" s="6"/>
      <c r="N503" s="6"/>
      <c r="O503" s="6"/>
      <c r="P503" s="6"/>
      <c r="Q503" s="6"/>
      <c r="R503" s="6"/>
      <c r="S503" s="108"/>
      <c r="T503" s="111"/>
      <c r="U503" s="12"/>
    </row>
    <row r="504" spans="1:21" x14ac:dyDescent="0.3">
      <c r="A504" s="2"/>
      <c r="B504" s="2"/>
      <c r="C504" s="2"/>
      <c r="D504" s="2"/>
      <c r="E504" s="11"/>
      <c r="F504" s="11"/>
      <c r="G504" s="2"/>
      <c r="H504" s="13"/>
      <c r="I504" s="13"/>
      <c r="J504" s="13"/>
      <c r="K504" s="6"/>
      <c r="L504" s="6"/>
      <c r="M504" s="6"/>
      <c r="N504" s="6"/>
      <c r="O504" s="6"/>
      <c r="P504" s="6"/>
      <c r="Q504" s="6"/>
      <c r="R504" s="6"/>
      <c r="S504" s="108"/>
      <c r="T504" s="111"/>
      <c r="U504" s="12"/>
    </row>
    <row r="505" spans="1:21" x14ac:dyDescent="0.3">
      <c r="A505" s="2"/>
      <c r="B505" s="2"/>
      <c r="C505" s="2"/>
      <c r="D505" s="2"/>
      <c r="E505" s="11"/>
      <c r="F505" s="11"/>
      <c r="G505" s="2"/>
      <c r="H505" s="13"/>
      <c r="I505" s="13"/>
      <c r="J505" s="13"/>
      <c r="K505" s="6"/>
      <c r="L505" s="6"/>
      <c r="M505" s="6"/>
      <c r="N505" s="6"/>
      <c r="O505" s="6"/>
      <c r="P505" s="6"/>
      <c r="Q505" s="6"/>
      <c r="R505" s="6"/>
      <c r="S505" s="108"/>
      <c r="T505" s="111"/>
      <c r="U505" s="12"/>
    </row>
    <row r="506" spans="1:21" x14ac:dyDescent="0.3">
      <c r="A506" s="2"/>
      <c r="B506" s="2"/>
      <c r="C506" s="2"/>
      <c r="D506" s="2"/>
      <c r="E506" s="11"/>
      <c r="F506" s="11"/>
      <c r="G506" s="2"/>
      <c r="H506" s="13"/>
      <c r="I506" s="13"/>
      <c r="J506" s="13"/>
      <c r="K506" s="6"/>
      <c r="L506" s="6"/>
      <c r="M506" s="6"/>
      <c r="N506" s="6"/>
      <c r="O506" s="6"/>
      <c r="P506" s="6"/>
      <c r="Q506" s="6"/>
      <c r="R506" s="6"/>
      <c r="S506" s="108"/>
      <c r="T506" s="111"/>
      <c r="U506" s="12"/>
    </row>
    <row r="507" spans="1:21" x14ac:dyDescent="0.3">
      <c r="A507" s="2"/>
      <c r="B507" s="2"/>
      <c r="C507" s="2"/>
      <c r="D507" s="2"/>
      <c r="E507" s="11"/>
      <c r="F507" s="11"/>
      <c r="G507" s="2"/>
      <c r="H507" s="13"/>
      <c r="I507" s="13"/>
      <c r="J507" s="13"/>
      <c r="K507" s="6"/>
      <c r="L507" s="6"/>
      <c r="M507" s="6"/>
      <c r="N507" s="6"/>
      <c r="O507" s="6"/>
      <c r="P507" s="6"/>
      <c r="Q507" s="6"/>
      <c r="R507" s="6"/>
      <c r="S507" s="108"/>
      <c r="T507" s="111"/>
      <c r="U507" s="12"/>
    </row>
    <row r="508" spans="1:21" x14ac:dyDescent="0.3">
      <c r="A508" s="2"/>
      <c r="B508" s="2"/>
      <c r="C508" s="2"/>
      <c r="D508" s="2"/>
      <c r="E508" s="11"/>
      <c r="F508" s="11"/>
      <c r="G508" s="2"/>
      <c r="H508" s="13"/>
      <c r="I508" s="13"/>
      <c r="J508" s="13"/>
      <c r="K508" s="6"/>
      <c r="L508" s="6"/>
      <c r="M508" s="6"/>
      <c r="N508" s="6"/>
      <c r="O508" s="6"/>
      <c r="P508" s="6"/>
      <c r="Q508" s="6"/>
      <c r="R508" s="6"/>
      <c r="S508" s="108"/>
      <c r="T508" s="111"/>
      <c r="U508" s="12"/>
    </row>
    <row r="509" spans="1:21" x14ac:dyDescent="0.3">
      <c r="A509" s="2"/>
      <c r="B509" s="2"/>
      <c r="C509" s="2"/>
      <c r="D509" s="2"/>
      <c r="E509" s="11"/>
      <c r="F509" s="11"/>
      <c r="G509" s="2"/>
      <c r="H509" s="13"/>
      <c r="I509" s="13"/>
      <c r="J509" s="13"/>
      <c r="K509" s="6"/>
      <c r="L509" s="6"/>
      <c r="M509" s="6"/>
      <c r="N509" s="6"/>
      <c r="O509" s="6"/>
      <c r="P509" s="6"/>
      <c r="Q509" s="6"/>
      <c r="R509" s="6"/>
      <c r="S509" s="108"/>
      <c r="T509" s="111"/>
      <c r="U509" s="12"/>
    </row>
    <row r="510" spans="1:21" x14ac:dyDescent="0.3">
      <c r="A510" s="2"/>
      <c r="B510" s="2"/>
      <c r="C510" s="2"/>
      <c r="D510" s="2"/>
      <c r="E510" s="11"/>
      <c r="F510" s="11"/>
      <c r="G510" s="2"/>
      <c r="H510" s="13"/>
      <c r="I510" s="13"/>
      <c r="J510" s="13"/>
      <c r="K510" s="6"/>
      <c r="L510" s="6"/>
      <c r="M510" s="6"/>
      <c r="N510" s="6"/>
      <c r="O510" s="6"/>
      <c r="P510" s="6"/>
      <c r="Q510" s="6"/>
      <c r="R510" s="6"/>
      <c r="S510" s="108"/>
      <c r="T510" s="111"/>
      <c r="U510" s="12"/>
    </row>
    <row r="511" spans="1:21" x14ac:dyDescent="0.3">
      <c r="A511" s="2"/>
      <c r="B511" s="2"/>
      <c r="C511" s="2"/>
      <c r="D511" s="2"/>
      <c r="E511" s="11"/>
      <c r="F511" s="11"/>
      <c r="G511" s="2"/>
      <c r="H511" s="13"/>
      <c r="I511" s="13"/>
      <c r="J511" s="13"/>
      <c r="K511" s="6"/>
      <c r="L511" s="6"/>
      <c r="M511" s="6"/>
      <c r="N511" s="6"/>
      <c r="O511" s="6"/>
      <c r="P511" s="6"/>
      <c r="Q511" s="6"/>
      <c r="R511" s="6"/>
      <c r="S511" s="108"/>
      <c r="T511" s="111"/>
      <c r="U511" s="12"/>
    </row>
    <row r="512" spans="1:21" x14ac:dyDescent="0.3">
      <c r="A512" s="2"/>
      <c r="B512" s="2"/>
      <c r="C512" s="2"/>
      <c r="D512" s="2"/>
      <c r="E512" s="11"/>
      <c r="F512" s="11"/>
      <c r="G512" s="2"/>
      <c r="H512" s="13"/>
      <c r="I512" s="13"/>
      <c r="J512" s="13"/>
      <c r="K512" s="6"/>
      <c r="L512" s="6"/>
      <c r="M512" s="6"/>
      <c r="N512" s="6"/>
      <c r="O512" s="6"/>
      <c r="P512" s="6"/>
      <c r="Q512" s="6"/>
      <c r="R512" s="6"/>
      <c r="S512" s="108"/>
      <c r="T512" s="111"/>
      <c r="U512" s="12"/>
    </row>
    <row r="513" spans="1:21" x14ac:dyDescent="0.3">
      <c r="A513" s="2"/>
      <c r="B513" s="2"/>
      <c r="C513" s="2"/>
      <c r="D513" s="2"/>
      <c r="E513" s="11"/>
      <c r="F513" s="11"/>
      <c r="G513" s="2"/>
      <c r="H513" s="13"/>
      <c r="I513" s="13"/>
      <c r="J513" s="13"/>
      <c r="K513" s="6"/>
      <c r="L513" s="6"/>
      <c r="M513" s="6"/>
      <c r="N513" s="6"/>
      <c r="O513" s="6"/>
      <c r="P513" s="6"/>
      <c r="Q513" s="6"/>
      <c r="R513" s="6"/>
      <c r="S513" s="108"/>
      <c r="T513" s="111"/>
      <c r="U513" s="12"/>
    </row>
    <row r="514" spans="1:21" x14ac:dyDescent="0.3">
      <c r="A514" s="2"/>
      <c r="B514" s="2"/>
      <c r="C514" s="2"/>
      <c r="D514" s="2"/>
      <c r="E514" s="11"/>
      <c r="F514" s="11"/>
      <c r="G514" s="2"/>
      <c r="H514" s="13"/>
      <c r="I514" s="13"/>
      <c r="J514" s="13"/>
      <c r="K514" s="6"/>
      <c r="L514" s="6"/>
      <c r="M514" s="6"/>
      <c r="N514" s="6"/>
      <c r="O514" s="6"/>
      <c r="P514" s="6"/>
      <c r="Q514" s="6"/>
      <c r="R514" s="6"/>
      <c r="S514" s="108"/>
      <c r="T514" s="111"/>
      <c r="U514" s="12"/>
    </row>
    <row r="515" spans="1:21" x14ac:dyDescent="0.3">
      <c r="A515" s="2"/>
      <c r="B515" s="2"/>
      <c r="C515" s="2"/>
      <c r="D515" s="2"/>
      <c r="E515" s="11"/>
      <c r="F515" s="11"/>
      <c r="G515" s="2"/>
      <c r="H515" s="13"/>
      <c r="I515" s="13"/>
      <c r="J515" s="13"/>
      <c r="K515" s="6"/>
      <c r="L515" s="6"/>
      <c r="M515" s="6"/>
      <c r="N515" s="6"/>
      <c r="O515" s="6"/>
      <c r="P515" s="6"/>
      <c r="Q515" s="6"/>
      <c r="R515" s="6"/>
      <c r="S515" s="108"/>
      <c r="T515" s="111"/>
      <c r="U515" s="12"/>
    </row>
    <row r="516" spans="1:21" x14ac:dyDescent="0.3">
      <c r="A516" s="2"/>
      <c r="B516" s="2"/>
      <c r="C516" s="2"/>
      <c r="D516" s="2"/>
      <c r="E516" s="11"/>
      <c r="F516" s="11"/>
      <c r="G516" s="2"/>
      <c r="H516" s="13"/>
      <c r="I516" s="13"/>
      <c r="J516" s="13"/>
      <c r="K516" s="6"/>
      <c r="L516" s="6"/>
      <c r="M516" s="6"/>
      <c r="N516" s="6"/>
      <c r="O516" s="6"/>
      <c r="P516" s="6"/>
      <c r="Q516" s="6"/>
      <c r="R516" s="6"/>
      <c r="S516" s="108"/>
      <c r="T516" s="111"/>
      <c r="U516" s="12"/>
    </row>
    <row r="517" spans="1:21" x14ac:dyDescent="0.3">
      <c r="A517" s="2"/>
      <c r="B517" s="2"/>
      <c r="C517" s="2"/>
      <c r="D517" s="2"/>
      <c r="E517" s="11"/>
      <c r="F517" s="11"/>
      <c r="G517" s="2"/>
      <c r="H517" s="13"/>
      <c r="I517" s="13"/>
      <c r="J517" s="13"/>
      <c r="K517" s="6"/>
      <c r="L517" s="6"/>
      <c r="M517" s="6"/>
      <c r="N517" s="6"/>
      <c r="O517" s="6"/>
      <c r="P517" s="6"/>
      <c r="Q517" s="6"/>
      <c r="R517" s="6"/>
      <c r="S517" s="108"/>
      <c r="T517" s="111"/>
      <c r="U517" s="12"/>
    </row>
    <row r="518" spans="1:21" x14ac:dyDescent="0.3">
      <c r="A518" s="2"/>
      <c r="B518" s="2"/>
      <c r="C518" s="2"/>
      <c r="D518" s="2"/>
      <c r="E518" s="11"/>
      <c r="F518" s="11"/>
      <c r="G518" s="2"/>
      <c r="H518" s="13"/>
      <c r="I518" s="13"/>
      <c r="J518" s="13"/>
      <c r="K518" s="6"/>
      <c r="L518" s="6"/>
      <c r="M518" s="6"/>
      <c r="N518" s="6"/>
      <c r="O518" s="6"/>
      <c r="P518" s="6"/>
      <c r="Q518" s="6"/>
      <c r="R518" s="6"/>
      <c r="S518" s="108"/>
      <c r="T518" s="111"/>
      <c r="U518" s="12"/>
    </row>
    <row r="519" spans="1:21" x14ac:dyDescent="0.3">
      <c r="A519" s="2"/>
      <c r="B519" s="2"/>
      <c r="C519" s="2"/>
      <c r="D519" s="2"/>
      <c r="E519" s="11"/>
      <c r="F519" s="11"/>
      <c r="G519" s="2"/>
      <c r="H519" s="13"/>
      <c r="I519" s="13"/>
      <c r="J519" s="13"/>
      <c r="K519" s="6"/>
      <c r="L519" s="6"/>
      <c r="M519" s="6"/>
      <c r="N519" s="6"/>
      <c r="O519" s="6"/>
      <c r="P519" s="6"/>
      <c r="Q519" s="6"/>
      <c r="R519" s="6"/>
      <c r="S519" s="108"/>
      <c r="T519" s="111"/>
      <c r="U519" s="12"/>
    </row>
    <row r="520" spans="1:21" x14ac:dyDescent="0.3">
      <c r="A520" s="2"/>
      <c r="B520" s="2"/>
      <c r="C520" s="2"/>
      <c r="D520" s="2"/>
      <c r="E520" s="11"/>
      <c r="F520" s="11"/>
      <c r="G520" s="2"/>
      <c r="H520" s="13"/>
      <c r="I520" s="13"/>
      <c r="J520" s="13"/>
      <c r="K520" s="6"/>
      <c r="L520" s="6"/>
      <c r="M520" s="6"/>
      <c r="N520" s="6"/>
      <c r="O520" s="6"/>
      <c r="P520" s="6"/>
      <c r="Q520" s="6"/>
      <c r="R520" s="6"/>
      <c r="S520" s="108"/>
      <c r="T520" s="111"/>
      <c r="U520" s="12"/>
    </row>
    <row r="521" spans="1:21" x14ac:dyDescent="0.3">
      <c r="A521" s="2"/>
      <c r="B521" s="2"/>
      <c r="C521" s="2"/>
      <c r="D521" s="2"/>
      <c r="E521" s="11"/>
      <c r="F521" s="11"/>
      <c r="G521" s="2"/>
      <c r="H521" s="13"/>
      <c r="I521" s="13"/>
      <c r="J521" s="13"/>
      <c r="K521" s="6"/>
      <c r="L521" s="6"/>
      <c r="M521" s="6"/>
      <c r="N521" s="6"/>
      <c r="O521" s="6"/>
      <c r="P521" s="6"/>
      <c r="Q521" s="6"/>
      <c r="R521" s="6"/>
      <c r="S521" s="108"/>
      <c r="T521" s="111"/>
      <c r="U521" s="12"/>
    </row>
    <row r="522" spans="1:21" x14ac:dyDescent="0.3">
      <c r="A522" s="2"/>
      <c r="B522" s="2"/>
      <c r="C522" s="2"/>
      <c r="D522" s="2"/>
      <c r="E522" s="11"/>
      <c r="F522" s="11"/>
      <c r="G522" s="2"/>
      <c r="H522" s="13"/>
      <c r="I522" s="13"/>
      <c r="J522" s="13"/>
      <c r="K522" s="6"/>
      <c r="L522" s="6"/>
      <c r="M522" s="6"/>
      <c r="N522" s="6"/>
      <c r="O522" s="6"/>
      <c r="P522" s="6"/>
      <c r="Q522" s="6"/>
      <c r="R522" s="6"/>
      <c r="S522" s="108"/>
      <c r="T522" s="111"/>
      <c r="U522" s="12"/>
    </row>
    <row r="523" spans="1:21" x14ac:dyDescent="0.3">
      <c r="A523" s="2"/>
      <c r="B523" s="2"/>
      <c r="C523" s="2"/>
      <c r="D523" s="2"/>
      <c r="E523" s="11"/>
      <c r="F523" s="11"/>
      <c r="G523" s="2"/>
      <c r="H523" s="13"/>
      <c r="I523" s="13"/>
      <c r="J523" s="13"/>
      <c r="K523" s="6"/>
      <c r="L523" s="6"/>
      <c r="M523" s="6"/>
      <c r="N523" s="6"/>
      <c r="O523" s="6"/>
      <c r="P523" s="6"/>
      <c r="Q523" s="6"/>
      <c r="R523" s="6"/>
      <c r="S523" s="108"/>
      <c r="T523" s="111"/>
      <c r="U523" s="12"/>
    </row>
    <row r="524" spans="1:21" x14ac:dyDescent="0.3">
      <c r="A524" s="2"/>
      <c r="B524" s="2"/>
      <c r="C524" s="2"/>
      <c r="D524" s="2"/>
      <c r="E524" s="11"/>
      <c r="F524" s="11"/>
      <c r="G524" s="2"/>
      <c r="H524" s="13"/>
      <c r="I524" s="13"/>
      <c r="J524" s="13"/>
      <c r="K524" s="6"/>
      <c r="L524" s="6"/>
      <c r="M524" s="6"/>
      <c r="N524" s="6"/>
      <c r="O524" s="6"/>
      <c r="P524" s="6"/>
      <c r="Q524" s="6"/>
      <c r="R524" s="6"/>
      <c r="S524" s="108"/>
      <c r="T524" s="111"/>
      <c r="U524" s="12"/>
    </row>
  </sheetData>
  <sortState xmlns:xlrd2="http://schemas.microsoft.com/office/spreadsheetml/2017/richdata2" ref="A26:Y500">
    <sortCondition ref="E20:E500"/>
    <sortCondition ref="C20:C500"/>
    <sortCondition ref="H20:H500"/>
  </sortState>
  <phoneticPr fontId="3" type="noConversion"/>
  <conditionalFormatting sqref="D26:D1005">
    <cfRule type="duplicateValues" dxfId="1" priority="15"/>
  </conditionalFormatting>
  <conditionalFormatting sqref="A26:U505">
    <cfRule type="expression" dxfId="0" priority="17">
      <formula>#REF!&gt;0</formula>
    </cfRule>
  </conditionalFormatting>
  <pageMargins left="0.70866141732283472" right="0.70866141732283472" top="0.74803149606299213" bottom="0.74803149606299213" header="0.31496062992125984" footer="0.31496062992125984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설명</vt:lpstr>
      <vt:lpstr>사용방법</vt:lpstr>
      <vt:lpstr>이름 일치</vt:lpstr>
      <vt:lpstr>통합-정리전</vt:lpstr>
      <vt:lpstr>임시반번호순</vt:lpstr>
      <vt:lpstr>임시반번호순!Print_Titles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박지연</dc:creator>
  <cp:lastModifiedBy>부유민</cp:lastModifiedBy>
  <cp:lastPrinted>2019-05-15T06:43:45Z</cp:lastPrinted>
  <dcterms:created xsi:type="dcterms:W3CDTF">2018-12-24T03:38:56Z</dcterms:created>
  <dcterms:modified xsi:type="dcterms:W3CDTF">2025-01-10T01:23:33Z</dcterms:modified>
</cp:coreProperties>
</file>