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roup_classification\기존 반편성 vba\"/>
    </mc:Choice>
  </mc:AlternateContent>
  <xr:revisionPtr revIDLastSave="0" documentId="8_{682CB81E-B581-4FD1-8A06-81DA2FEB5AA1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설명" sheetId="63" r:id="rId1"/>
    <sheet name="사용방법" sheetId="62" r:id="rId2"/>
    <sheet name="이름 일치" sheetId="1" r:id="rId3"/>
    <sheet name="통합-정리전" sheetId="49" r:id="rId4"/>
    <sheet name="통합-정리전 (2)" sheetId="66" r:id="rId5"/>
    <sheet name="임시반번호순" sheetId="50" r:id="rId6"/>
    <sheet name="장대중_1_반편성 Compact.xlsx" sheetId="64" r:id="rId7"/>
    <sheet name="천보중_1_반편성A(능력)_명렬표.xlsx" sheetId="65" r:id="rId8"/>
  </sheets>
  <definedNames>
    <definedName name="_xlnm._FilterDatabase" localSheetId="2" hidden="1">'이름 일치'!$O$22:$P$501</definedName>
    <definedName name="_xlnm._FilterDatabase" localSheetId="5" hidden="1">임시반번호순!$A$25:$U$25</definedName>
    <definedName name="_xlnm.Print_Titles" localSheetId="5">임시반번호순!$25:$25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96" i="50" l="1"/>
  <c r="T308" i="50"/>
  <c r="T317" i="50"/>
  <c r="T238" i="50"/>
  <c r="T97" i="50"/>
  <c r="T271" i="50"/>
  <c r="T132" i="50"/>
  <c r="T239" i="50"/>
  <c r="T98" i="50"/>
  <c r="T272" i="50"/>
  <c r="T133" i="50"/>
  <c r="T240" i="50"/>
  <c r="T99" i="50"/>
  <c r="T273" i="50"/>
  <c r="T59" i="50"/>
  <c r="T165" i="50"/>
  <c r="T26" i="50"/>
  <c r="T202" i="50"/>
  <c r="T60" i="50"/>
  <c r="T166" i="50"/>
  <c r="T27" i="50"/>
  <c r="T203" i="50"/>
  <c r="T61" i="50"/>
  <c r="T167" i="50"/>
  <c r="T28" i="50"/>
  <c r="T204" i="50"/>
  <c r="T62" i="50"/>
  <c r="T168" i="50"/>
  <c r="T100" i="50"/>
  <c r="T274" i="50"/>
  <c r="T134" i="50"/>
  <c r="T241" i="50"/>
  <c r="T101" i="50"/>
  <c r="T275" i="50"/>
  <c r="T135" i="50"/>
  <c r="T242" i="50"/>
  <c r="T102" i="50"/>
  <c r="T276" i="50"/>
  <c r="T136" i="50"/>
  <c r="T243" i="50"/>
  <c r="T103" i="50"/>
  <c r="T277" i="50"/>
  <c r="T137" i="50"/>
  <c r="T169" i="50"/>
  <c r="T29" i="50"/>
  <c r="T205" i="50"/>
  <c r="T63" i="50"/>
  <c r="T170" i="50"/>
  <c r="T30" i="50"/>
  <c r="T206" i="50"/>
  <c r="T64" i="50"/>
  <c r="T171" i="50"/>
  <c r="T311" i="50"/>
  <c r="T207" i="50"/>
  <c r="T65" i="50"/>
  <c r="T172" i="50"/>
  <c r="T31" i="50"/>
  <c r="T208" i="50"/>
  <c r="T138" i="50"/>
  <c r="T244" i="50"/>
  <c r="T104" i="50"/>
  <c r="T278" i="50"/>
  <c r="T139" i="50"/>
  <c r="T245" i="50"/>
  <c r="T105" i="50"/>
  <c r="T279" i="50"/>
  <c r="T140" i="50"/>
  <c r="T246" i="50"/>
  <c r="T106" i="50"/>
  <c r="T280" i="50"/>
  <c r="T141" i="50"/>
  <c r="T247" i="50"/>
  <c r="T107" i="50"/>
  <c r="T209" i="50"/>
  <c r="T66" i="50"/>
  <c r="T173" i="50"/>
  <c r="T32" i="50"/>
  <c r="T210" i="50"/>
  <c r="T67" i="50"/>
  <c r="T174" i="50"/>
  <c r="T33" i="50"/>
  <c r="T211" i="50"/>
  <c r="T68" i="50"/>
  <c r="T175" i="50"/>
  <c r="T34" i="50"/>
  <c r="T212" i="50"/>
  <c r="T69" i="50"/>
  <c r="T176" i="50"/>
  <c r="T108" i="50"/>
  <c r="T281" i="50"/>
  <c r="T142" i="50"/>
  <c r="T248" i="50"/>
  <c r="T109" i="50"/>
  <c r="T282" i="50"/>
  <c r="T143" i="50"/>
  <c r="T249" i="50"/>
  <c r="T110" i="50"/>
  <c r="T309" i="50"/>
  <c r="T144" i="50"/>
  <c r="T250" i="50"/>
  <c r="T111" i="50"/>
  <c r="T283" i="50"/>
  <c r="T313" i="50"/>
  <c r="T177" i="50"/>
  <c r="T35" i="50"/>
  <c r="T213" i="50"/>
  <c r="T70" i="50"/>
  <c r="T178" i="50"/>
  <c r="T36" i="50"/>
  <c r="T214" i="50"/>
  <c r="T71" i="50"/>
  <c r="T179" i="50"/>
  <c r="T37" i="50"/>
  <c r="T215" i="50"/>
  <c r="T72" i="50"/>
  <c r="T180" i="50"/>
  <c r="T112" i="50"/>
  <c r="T284" i="50"/>
  <c r="T145" i="50"/>
  <c r="T251" i="50"/>
  <c r="T113" i="50"/>
  <c r="T285" i="50"/>
  <c r="T318" i="50"/>
  <c r="T252" i="50"/>
  <c r="T315" i="50"/>
  <c r="T286" i="50"/>
  <c r="T146" i="50"/>
  <c r="T253" i="50"/>
  <c r="T114" i="50"/>
  <c r="T287" i="50"/>
  <c r="T73" i="50"/>
  <c r="T181" i="50"/>
  <c r="T38" i="50"/>
  <c r="T216" i="50"/>
  <c r="T74" i="50"/>
  <c r="T182" i="50"/>
  <c r="T39" i="50"/>
  <c r="T217" i="50"/>
  <c r="T75" i="50"/>
  <c r="T183" i="50"/>
  <c r="T40" i="50"/>
  <c r="T218" i="50"/>
  <c r="T76" i="50"/>
  <c r="T184" i="50"/>
  <c r="T41" i="50"/>
  <c r="T288" i="50"/>
  <c r="T147" i="50"/>
  <c r="T254" i="50"/>
  <c r="T316" i="50"/>
  <c r="T289" i="50"/>
  <c r="T148" i="50"/>
  <c r="T255" i="50"/>
  <c r="T115" i="50"/>
  <c r="T290" i="50"/>
  <c r="T149" i="50"/>
  <c r="T306" i="50"/>
  <c r="T116" i="50"/>
  <c r="T291" i="50"/>
  <c r="T150" i="50"/>
  <c r="T256" i="50"/>
  <c r="T42" i="50"/>
  <c r="T219" i="50"/>
  <c r="T77" i="50"/>
  <c r="T185" i="50"/>
  <c r="T43" i="50"/>
  <c r="T220" i="50"/>
  <c r="T78" i="50"/>
  <c r="T186" i="50"/>
  <c r="T44" i="50"/>
  <c r="T221" i="50"/>
  <c r="T79" i="50"/>
  <c r="T187" i="50"/>
  <c r="T45" i="50"/>
  <c r="T222" i="50"/>
  <c r="T314" i="50"/>
  <c r="T257" i="50"/>
  <c r="T117" i="50"/>
  <c r="T292" i="50"/>
  <c r="T151" i="50"/>
  <c r="T258" i="50"/>
  <c r="T118" i="50"/>
  <c r="T293" i="50"/>
  <c r="T152" i="50"/>
  <c r="T259" i="50"/>
  <c r="T119" i="50"/>
  <c r="T294" i="50"/>
  <c r="T153" i="50"/>
  <c r="T260" i="50"/>
  <c r="T120" i="50"/>
  <c r="T223" i="50"/>
  <c r="T80" i="50"/>
  <c r="T188" i="50"/>
  <c r="T46" i="50"/>
  <c r="T224" i="50"/>
  <c r="T81" i="50"/>
  <c r="T189" i="50"/>
  <c r="T47" i="50"/>
  <c r="T225" i="50"/>
  <c r="T82" i="50"/>
  <c r="T190" i="50"/>
  <c r="T48" i="50"/>
  <c r="T226" i="50"/>
  <c r="T83" i="50"/>
  <c r="T191" i="50"/>
  <c r="T49" i="50"/>
  <c r="T295" i="50"/>
  <c r="T154" i="50"/>
  <c r="T261" i="50"/>
  <c r="T121" i="50"/>
  <c r="T296" i="50"/>
  <c r="T155" i="50"/>
  <c r="T262" i="50"/>
  <c r="T122" i="50"/>
  <c r="T297" i="50"/>
  <c r="T156" i="50"/>
  <c r="T263" i="50"/>
  <c r="T123" i="50"/>
  <c r="T298" i="50"/>
  <c r="T157" i="50"/>
  <c r="T192" i="50"/>
  <c r="T50" i="50"/>
  <c r="T227" i="50"/>
  <c r="T84" i="50"/>
  <c r="T193" i="50"/>
  <c r="T51" i="50"/>
  <c r="T228" i="50"/>
  <c r="T85" i="50"/>
  <c r="T194" i="50"/>
  <c r="T52" i="50"/>
  <c r="T229" i="50"/>
  <c r="T86" i="50"/>
  <c r="T195" i="50"/>
  <c r="T312" i="50"/>
  <c r="T310" i="50"/>
  <c r="T158" i="50"/>
  <c r="T264" i="50"/>
  <c r="T124" i="50"/>
  <c r="T299" i="50"/>
  <c r="T159" i="50"/>
  <c r="T265" i="50"/>
  <c r="T125" i="50"/>
  <c r="T300" i="50"/>
  <c r="T160" i="50"/>
  <c r="T266" i="50"/>
  <c r="T126" i="50"/>
  <c r="T301" i="50"/>
  <c r="T161" i="50"/>
  <c r="T267" i="50"/>
  <c r="T127" i="50"/>
  <c r="T230" i="50"/>
  <c r="T87" i="50"/>
  <c r="T196" i="50"/>
  <c r="T53" i="50"/>
  <c r="T231" i="50"/>
  <c r="T88" i="50"/>
  <c r="T197" i="50"/>
  <c r="T54" i="50"/>
  <c r="T232" i="50"/>
  <c r="T89" i="50"/>
  <c r="T198" i="50"/>
  <c r="T55" i="50"/>
  <c r="T305" i="50"/>
  <c r="T90" i="50"/>
  <c r="T268" i="50"/>
  <c r="T128" i="50"/>
  <c r="T302" i="50"/>
  <c r="T162" i="50"/>
  <c r="T269" i="50"/>
  <c r="T129" i="50"/>
  <c r="T303" i="50"/>
  <c r="T163" i="50"/>
  <c r="T307" i="50"/>
  <c r="T130" i="50"/>
  <c r="T304" i="50"/>
  <c r="T164" i="50"/>
  <c r="T270" i="50"/>
  <c r="T131" i="50"/>
  <c r="T233" i="50"/>
  <c r="T91" i="50"/>
  <c r="T199" i="50"/>
  <c r="T56" i="50"/>
  <c r="T234" i="50"/>
  <c r="T92" i="50"/>
  <c r="T200" i="50"/>
  <c r="T57" i="50"/>
  <c r="T235" i="50"/>
  <c r="T93" i="50"/>
  <c r="T201" i="50"/>
  <c r="T58" i="50"/>
  <c r="T236" i="50"/>
  <c r="T94" i="50"/>
  <c r="T95" i="50"/>
  <c r="T237" i="50"/>
  <c r="E238" i="50"/>
  <c r="E97" i="50"/>
  <c r="E132" i="50"/>
  <c r="E98" i="50"/>
  <c r="E272" i="50"/>
  <c r="E133" i="50"/>
  <c r="E240" i="50"/>
  <c r="E273" i="50"/>
  <c r="E59" i="50"/>
  <c r="E241" i="50"/>
  <c r="E175" i="50"/>
  <c r="E108" i="50"/>
  <c r="E147" i="50"/>
  <c r="E254" i="50"/>
  <c r="E190" i="50"/>
  <c r="E48" i="50"/>
  <c r="E226" i="50"/>
  <c r="E83" i="50"/>
  <c r="E191" i="50"/>
  <c r="E295" i="50"/>
  <c r="E154" i="50"/>
  <c r="E54" i="50"/>
  <c r="E232" i="50"/>
  <c r="E89" i="50"/>
  <c r="E198" i="50"/>
  <c r="E55" i="50"/>
  <c r="E305" i="50"/>
  <c r="E90" i="50"/>
  <c r="E268" i="50"/>
  <c r="U96" i="50"/>
  <c r="E96" i="50" s="1"/>
  <c r="U308" i="50"/>
  <c r="E308" i="50" s="1"/>
  <c r="U317" i="50"/>
  <c r="E317" i="50" s="1"/>
  <c r="U238" i="50"/>
  <c r="U97" i="50"/>
  <c r="U271" i="50"/>
  <c r="E271" i="50" s="1"/>
  <c r="U132" i="50"/>
  <c r="U239" i="50"/>
  <c r="E239" i="50" s="1"/>
  <c r="U98" i="50"/>
  <c r="U272" i="50"/>
  <c r="U133" i="50"/>
  <c r="U240" i="50"/>
  <c r="U99" i="50"/>
  <c r="E99" i="50" s="1"/>
  <c r="U273" i="50"/>
  <c r="U59" i="50"/>
  <c r="U165" i="50"/>
  <c r="E165" i="50" s="1"/>
  <c r="U26" i="50"/>
  <c r="E26" i="50" s="1"/>
  <c r="U202" i="50"/>
  <c r="E202" i="50" s="1"/>
  <c r="U60" i="50"/>
  <c r="E60" i="50" s="1"/>
  <c r="U166" i="50"/>
  <c r="E166" i="50" s="1"/>
  <c r="U27" i="50"/>
  <c r="E27" i="50" s="1"/>
  <c r="U203" i="50"/>
  <c r="E203" i="50" s="1"/>
  <c r="U61" i="50"/>
  <c r="E61" i="50" s="1"/>
  <c r="U167" i="50"/>
  <c r="E167" i="50" s="1"/>
  <c r="U28" i="50"/>
  <c r="E28" i="50" s="1"/>
  <c r="U204" i="50"/>
  <c r="E204" i="50" s="1"/>
  <c r="U62" i="50"/>
  <c r="E62" i="50" s="1"/>
  <c r="U168" i="50"/>
  <c r="E168" i="50" s="1"/>
  <c r="U100" i="50"/>
  <c r="E100" i="50" s="1"/>
  <c r="U274" i="50"/>
  <c r="E274" i="50" s="1"/>
  <c r="U134" i="50"/>
  <c r="E134" i="50" s="1"/>
  <c r="U241" i="50"/>
  <c r="U101" i="50"/>
  <c r="E101" i="50" s="1"/>
  <c r="U275" i="50"/>
  <c r="E275" i="50" s="1"/>
  <c r="U135" i="50"/>
  <c r="E135" i="50" s="1"/>
  <c r="U242" i="50"/>
  <c r="E242" i="50" s="1"/>
  <c r="U102" i="50"/>
  <c r="E102" i="50" s="1"/>
  <c r="U276" i="50"/>
  <c r="E276" i="50" s="1"/>
  <c r="U136" i="50"/>
  <c r="E136" i="50" s="1"/>
  <c r="U243" i="50"/>
  <c r="E243" i="50" s="1"/>
  <c r="U103" i="50"/>
  <c r="E103" i="50" s="1"/>
  <c r="U277" i="50"/>
  <c r="E277" i="50" s="1"/>
  <c r="U137" i="50"/>
  <c r="E137" i="50" s="1"/>
  <c r="U169" i="50"/>
  <c r="E169" i="50" s="1"/>
  <c r="U29" i="50"/>
  <c r="E29" i="50" s="1"/>
  <c r="U205" i="50"/>
  <c r="E205" i="50" s="1"/>
  <c r="U63" i="50"/>
  <c r="E63" i="50" s="1"/>
  <c r="U170" i="50"/>
  <c r="E170" i="50" s="1"/>
  <c r="U30" i="50"/>
  <c r="E30" i="50" s="1"/>
  <c r="U206" i="50"/>
  <c r="E206" i="50" s="1"/>
  <c r="U64" i="50"/>
  <c r="E64" i="50" s="1"/>
  <c r="U171" i="50"/>
  <c r="E171" i="50" s="1"/>
  <c r="U311" i="50"/>
  <c r="E311" i="50" s="1"/>
  <c r="U207" i="50"/>
  <c r="E207" i="50" s="1"/>
  <c r="U65" i="50"/>
  <c r="E65" i="50" s="1"/>
  <c r="U172" i="50"/>
  <c r="E172" i="50" s="1"/>
  <c r="U31" i="50"/>
  <c r="E31" i="50" s="1"/>
  <c r="U208" i="50"/>
  <c r="E208" i="50" s="1"/>
  <c r="U138" i="50"/>
  <c r="E138" i="50" s="1"/>
  <c r="U244" i="50"/>
  <c r="E244" i="50" s="1"/>
  <c r="U104" i="50"/>
  <c r="E104" i="50" s="1"/>
  <c r="U278" i="50"/>
  <c r="E278" i="50" s="1"/>
  <c r="U139" i="50"/>
  <c r="E139" i="50" s="1"/>
  <c r="U245" i="50"/>
  <c r="E245" i="50" s="1"/>
  <c r="U105" i="50"/>
  <c r="E105" i="50" s="1"/>
  <c r="U279" i="50"/>
  <c r="E279" i="50" s="1"/>
  <c r="U140" i="50"/>
  <c r="E140" i="50" s="1"/>
  <c r="U246" i="50"/>
  <c r="E246" i="50" s="1"/>
  <c r="U106" i="50"/>
  <c r="E106" i="50" s="1"/>
  <c r="U280" i="50"/>
  <c r="E280" i="50" s="1"/>
  <c r="U141" i="50"/>
  <c r="E141" i="50" s="1"/>
  <c r="U247" i="50"/>
  <c r="E247" i="50" s="1"/>
  <c r="U107" i="50"/>
  <c r="E107" i="50" s="1"/>
  <c r="U209" i="50"/>
  <c r="E209" i="50" s="1"/>
  <c r="U66" i="50"/>
  <c r="E66" i="50" s="1"/>
  <c r="U173" i="50"/>
  <c r="E173" i="50" s="1"/>
  <c r="U32" i="50"/>
  <c r="E32" i="50" s="1"/>
  <c r="U210" i="50"/>
  <c r="E210" i="50" s="1"/>
  <c r="U67" i="50"/>
  <c r="E67" i="50" s="1"/>
  <c r="U174" i="50"/>
  <c r="E174" i="50" s="1"/>
  <c r="U33" i="50"/>
  <c r="E33" i="50" s="1"/>
  <c r="U211" i="50"/>
  <c r="E211" i="50" s="1"/>
  <c r="U68" i="50"/>
  <c r="E68" i="50" s="1"/>
  <c r="U175" i="50"/>
  <c r="U34" i="50"/>
  <c r="E34" i="50" s="1"/>
  <c r="U212" i="50"/>
  <c r="E212" i="50" s="1"/>
  <c r="U69" i="50"/>
  <c r="E69" i="50" s="1"/>
  <c r="U176" i="50"/>
  <c r="E176" i="50" s="1"/>
  <c r="U108" i="50"/>
  <c r="U281" i="50"/>
  <c r="E281" i="50" s="1"/>
  <c r="U142" i="50"/>
  <c r="E142" i="50" s="1"/>
  <c r="U248" i="50"/>
  <c r="E248" i="50" s="1"/>
  <c r="U109" i="50"/>
  <c r="E109" i="50" s="1"/>
  <c r="U282" i="50"/>
  <c r="E282" i="50" s="1"/>
  <c r="U143" i="50"/>
  <c r="E143" i="50" s="1"/>
  <c r="U249" i="50"/>
  <c r="E249" i="50" s="1"/>
  <c r="U110" i="50"/>
  <c r="E110" i="50" s="1"/>
  <c r="U309" i="50"/>
  <c r="E309" i="50" s="1"/>
  <c r="U144" i="50"/>
  <c r="E144" i="50" s="1"/>
  <c r="U250" i="50"/>
  <c r="E250" i="50" s="1"/>
  <c r="U111" i="50"/>
  <c r="E111" i="50" s="1"/>
  <c r="U283" i="50"/>
  <c r="E283" i="50" s="1"/>
  <c r="U313" i="50"/>
  <c r="E313" i="50" s="1"/>
  <c r="U177" i="50"/>
  <c r="E177" i="50" s="1"/>
  <c r="U35" i="50"/>
  <c r="E35" i="50" s="1"/>
  <c r="U213" i="50"/>
  <c r="E213" i="50" s="1"/>
  <c r="U70" i="50"/>
  <c r="E70" i="50" s="1"/>
  <c r="U178" i="50"/>
  <c r="E178" i="50" s="1"/>
  <c r="U36" i="50"/>
  <c r="E36" i="50" s="1"/>
  <c r="U214" i="50"/>
  <c r="E214" i="50" s="1"/>
  <c r="U71" i="50"/>
  <c r="E71" i="50" s="1"/>
  <c r="U179" i="50"/>
  <c r="E179" i="50" s="1"/>
  <c r="U37" i="50"/>
  <c r="E37" i="50" s="1"/>
  <c r="U215" i="50"/>
  <c r="E215" i="50" s="1"/>
  <c r="U72" i="50"/>
  <c r="E72" i="50" s="1"/>
  <c r="U180" i="50"/>
  <c r="E180" i="50" s="1"/>
  <c r="U112" i="50"/>
  <c r="E112" i="50" s="1"/>
  <c r="U284" i="50"/>
  <c r="E284" i="50" s="1"/>
  <c r="U145" i="50"/>
  <c r="E145" i="50" s="1"/>
  <c r="U251" i="50"/>
  <c r="E251" i="50" s="1"/>
  <c r="U113" i="50"/>
  <c r="E113" i="50" s="1"/>
  <c r="U285" i="50"/>
  <c r="E285" i="50" s="1"/>
  <c r="U318" i="50"/>
  <c r="E318" i="50" s="1"/>
  <c r="U252" i="50"/>
  <c r="E252" i="50" s="1"/>
  <c r="U315" i="50"/>
  <c r="E315" i="50" s="1"/>
  <c r="U286" i="50"/>
  <c r="E286" i="50" s="1"/>
  <c r="U146" i="50"/>
  <c r="E146" i="50" s="1"/>
  <c r="U253" i="50"/>
  <c r="E253" i="50" s="1"/>
  <c r="U114" i="50"/>
  <c r="E114" i="50" s="1"/>
  <c r="U287" i="50"/>
  <c r="E287" i="50" s="1"/>
  <c r="U73" i="50"/>
  <c r="E73" i="50" s="1"/>
  <c r="U181" i="50"/>
  <c r="E181" i="50" s="1"/>
  <c r="U38" i="50"/>
  <c r="E38" i="50" s="1"/>
  <c r="U216" i="50"/>
  <c r="E216" i="50" s="1"/>
  <c r="U74" i="50"/>
  <c r="E74" i="50" s="1"/>
  <c r="U182" i="50"/>
  <c r="E182" i="50" s="1"/>
  <c r="U39" i="50"/>
  <c r="E39" i="50" s="1"/>
  <c r="U217" i="50"/>
  <c r="E217" i="50" s="1"/>
  <c r="U75" i="50"/>
  <c r="E75" i="50" s="1"/>
  <c r="U183" i="50"/>
  <c r="E183" i="50" s="1"/>
  <c r="U40" i="50"/>
  <c r="E40" i="50" s="1"/>
  <c r="U218" i="50"/>
  <c r="E218" i="50" s="1"/>
  <c r="U76" i="50"/>
  <c r="E76" i="50" s="1"/>
  <c r="U184" i="50"/>
  <c r="E184" i="50" s="1"/>
  <c r="U41" i="50"/>
  <c r="E41" i="50" s="1"/>
  <c r="U288" i="50"/>
  <c r="E288" i="50" s="1"/>
  <c r="U147" i="50"/>
  <c r="U254" i="50"/>
  <c r="U316" i="50"/>
  <c r="E316" i="50" s="1"/>
  <c r="U289" i="50"/>
  <c r="E289" i="50" s="1"/>
  <c r="U148" i="50"/>
  <c r="E148" i="50" s="1"/>
  <c r="U255" i="50"/>
  <c r="E255" i="50" s="1"/>
  <c r="U115" i="50"/>
  <c r="E115" i="50" s="1"/>
  <c r="U290" i="50"/>
  <c r="E290" i="50" s="1"/>
  <c r="U149" i="50"/>
  <c r="E149" i="50" s="1"/>
  <c r="U306" i="50"/>
  <c r="E306" i="50" s="1"/>
  <c r="U116" i="50"/>
  <c r="E116" i="50" s="1"/>
  <c r="U291" i="50"/>
  <c r="E291" i="50" s="1"/>
  <c r="U150" i="50"/>
  <c r="E150" i="50" s="1"/>
  <c r="U256" i="50"/>
  <c r="E256" i="50" s="1"/>
  <c r="U42" i="50"/>
  <c r="E42" i="50" s="1"/>
  <c r="U219" i="50"/>
  <c r="E219" i="50" s="1"/>
  <c r="U77" i="50"/>
  <c r="E77" i="50" s="1"/>
  <c r="U185" i="50"/>
  <c r="E185" i="50" s="1"/>
  <c r="U43" i="50"/>
  <c r="E43" i="50" s="1"/>
  <c r="U220" i="50"/>
  <c r="E220" i="50" s="1"/>
  <c r="U78" i="50"/>
  <c r="E78" i="50" s="1"/>
  <c r="U186" i="50"/>
  <c r="E186" i="50" s="1"/>
  <c r="U44" i="50"/>
  <c r="E44" i="50" s="1"/>
  <c r="U221" i="50"/>
  <c r="E221" i="50" s="1"/>
  <c r="U79" i="50"/>
  <c r="E79" i="50" s="1"/>
  <c r="U187" i="50"/>
  <c r="E187" i="50" s="1"/>
  <c r="U45" i="50"/>
  <c r="E45" i="50" s="1"/>
  <c r="U222" i="50"/>
  <c r="E222" i="50" s="1"/>
  <c r="U314" i="50"/>
  <c r="E314" i="50" s="1"/>
  <c r="U257" i="50"/>
  <c r="E257" i="50" s="1"/>
  <c r="U117" i="50"/>
  <c r="E117" i="50" s="1"/>
  <c r="U292" i="50"/>
  <c r="E292" i="50" s="1"/>
  <c r="U151" i="50"/>
  <c r="E151" i="50" s="1"/>
  <c r="U258" i="50"/>
  <c r="E258" i="50" s="1"/>
  <c r="U118" i="50"/>
  <c r="E118" i="50" s="1"/>
  <c r="U293" i="50"/>
  <c r="E293" i="50" s="1"/>
  <c r="U152" i="50"/>
  <c r="E152" i="50" s="1"/>
  <c r="U259" i="50"/>
  <c r="E259" i="50" s="1"/>
  <c r="U119" i="50"/>
  <c r="E119" i="50" s="1"/>
  <c r="U294" i="50"/>
  <c r="E294" i="50" s="1"/>
  <c r="U153" i="50"/>
  <c r="E153" i="50" s="1"/>
  <c r="U260" i="50"/>
  <c r="E260" i="50" s="1"/>
  <c r="U120" i="50"/>
  <c r="E120" i="50" s="1"/>
  <c r="U223" i="50"/>
  <c r="E223" i="50" s="1"/>
  <c r="U80" i="50"/>
  <c r="E80" i="50" s="1"/>
  <c r="U188" i="50"/>
  <c r="E188" i="50" s="1"/>
  <c r="U46" i="50"/>
  <c r="E46" i="50" s="1"/>
  <c r="U224" i="50"/>
  <c r="E224" i="50" s="1"/>
  <c r="U81" i="50"/>
  <c r="E81" i="50" s="1"/>
  <c r="U189" i="50"/>
  <c r="E189" i="50" s="1"/>
  <c r="U47" i="50"/>
  <c r="E47" i="50" s="1"/>
  <c r="U225" i="50"/>
  <c r="E225" i="50" s="1"/>
  <c r="U82" i="50"/>
  <c r="E82" i="50" s="1"/>
  <c r="U190" i="50"/>
  <c r="U48" i="50"/>
  <c r="U226" i="50"/>
  <c r="U83" i="50"/>
  <c r="U191" i="50"/>
  <c r="U49" i="50"/>
  <c r="E49" i="50" s="1"/>
  <c r="U295" i="50"/>
  <c r="U154" i="50"/>
  <c r="U261" i="50"/>
  <c r="E261" i="50" s="1"/>
  <c r="U121" i="50"/>
  <c r="E121" i="50" s="1"/>
  <c r="U296" i="50"/>
  <c r="E296" i="50" s="1"/>
  <c r="U155" i="50"/>
  <c r="E155" i="50" s="1"/>
  <c r="U262" i="50"/>
  <c r="E262" i="50" s="1"/>
  <c r="U122" i="50"/>
  <c r="E122" i="50" s="1"/>
  <c r="U297" i="50"/>
  <c r="E297" i="50" s="1"/>
  <c r="U156" i="50"/>
  <c r="E156" i="50" s="1"/>
  <c r="U263" i="50"/>
  <c r="E263" i="50" s="1"/>
  <c r="U123" i="50"/>
  <c r="E123" i="50" s="1"/>
  <c r="U298" i="50"/>
  <c r="E298" i="50" s="1"/>
  <c r="U157" i="50"/>
  <c r="E157" i="50" s="1"/>
  <c r="U192" i="50"/>
  <c r="E192" i="50" s="1"/>
  <c r="U50" i="50"/>
  <c r="E50" i="50" s="1"/>
  <c r="U227" i="50"/>
  <c r="E227" i="50" s="1"/>
  <c r="U84" i="50"/>
  <c r="E84" i="50" s="1"/>
  <c r="U193" i="50"/>
  <c r="E193" i="50" s="1"/>
  <c r="U51" i="50"/>
  <c r="E51" i="50" s="1"/>
  <c r="U228" i="50"/>
  <c r="E228" i="50" s="1"/>
  <c r="U85" i="50"/>
  <c r="E85" i="50" s="1"/>
  <c r="U194" i="50"/>
  <c r="E194" i="50" s="1"/>
  <c r="U52" i="50"/>
  <c r="E52" i="50" s="1"/>
  <c r="U229" i="50"/>
  <c r="E229" i="50" s="1"/>
  <c r="U86" i="50"/>
  <c r="E86" i="50" s="1"/>
  <c r="U195" i="50"/>
  <c r="E195" i="50" s="1"/>
  <c r="U312" i="50"/>
  <c r="E312" i="50" s="1"/>
  <c r="U310" i="50"/>
  <c r="E310" i="50" s="1"/>
  <c r="U158" i="50"/>
  <c r="E158" i="50" s="1"/>
  <c r="U264" i="50"/>
  <c r="E264" i="50" s="1"/>
  <c r="U124" i="50"/>
  <c r="E124" i="50" s="1"/>
  <c r="U299" i="50"/>
  <c r="E299" i="50" s="1"/>
  <c r="U159" i="50"/>
  <c r="E159" i="50" s="1"/>
  <c r="U265" i="50"/>
  <c r="E265" i="50" s="1"/>
  <c r="U125" i="50"/>
  <c r="E125" i="50" s="1"/>
  <c r="U300" i="50"/>
  <c r="E300" i="50" s="1"/>
  <c r="U160" i="50"/>
  <c r="E160" i="50" s="1"/>
  <c r="U266" i="50"/>
  <c r="E266" i="50" s="1"/>
  <c r="U126" i="50"/>
  <c r="E126" i="50" s="1"/>
  <c r="U301" i="50"/>
  <c r="E301" i="50" s="1"/>
  <c r="U161" i="50"/>
  <c r="E161" i="50" s="1"/>
  <c r="U267" i="50"/>
  <c r="E267" i="50" s="1"/>
  <c r="U127" i="50"/>
  <c r="E127" i="50" s="1"/>
  <c r="U230" i="50"/>
  <c r="E230" i="50" s="1"/>
  <c r="U87" i="50"/>
  <c r="E87" i="50" s="1"/>
  <c r="U196" i="50"/>
  <c r="E196" i="50" s="1"/>
  <c r="U53" i="50"/>
  <c r="E53" i="50" s="1"/>
  <c r="U231" i="50"/>
  <c r="E231" i="50" s="1"/>
  <c r="U88" i="50"/>
  <c r="E88" i="50" s="1"/>
  <c r="U197" i="50"/>
  <c r="E197" i="50" s="1"/>
  <c r="U54" i="50"/>
  <c r="U232" i="50"/>
  <c r="U89" i="50"/>
  <c r="U198" i="50"/>
  <c r="U55" i="50"/>
  <c r="U305" i="50"/>
  <c r="U90" i="50"/>
  <c r="U268" i="50"/>
  <c r="U128" i="50"/>
  <c r="E128" i="50" s="1"/>
  <c r="U302" i="50"/>
  <c r="E302" i="50" s="1"/>
  <c r="U162" i="50"/>
  <c r="E162" i="50" s="1"/>
  <c r="U269" i="50"/>
  <c r="E269" i="50" s="1"/>
  <c r="U129" i="50"/>
  <c r="E129" i="50" s="1"/>
  <c r="U303" i="50"/>
  <c r="E303" i="50" s="1"/>
  <c r="U163" i="50"/>
  <c r="E163" i="50" s="1"/>
  <c r="U307" i="50"/>
  <c r="E307" i="50" s="1"/>
  <c r="U130" i="50"/>
  <c r="E130" i="50" s="1"/>
  <c r="U304" i="50"/>
  <c r="E304" i="50" s="1"/>
  <c r="U164" i="50"/>
  <c r="E164" i="50" s="1"/>
  <c r="U270" i="50"/>
  <c r="E270" i="50" s="1"/>
  <c r="U131" i="50"/>
  <c r="E131" i="50" s="1"/>
  <c r="U233" i="50"/>
  <c r="E233" i="50" s="1"/>
  <c r="U91" i="50"/>
  <c r="E91" i="50" s="1"/>
  <c r="U199" i="50"/>
  <c r="E199" i="50" s="1"/>
  <c r="U56" i="50"/>
  <c r="E56" i="50" s="1"/>
  <c r="U234" i="50"/>
  <c r="E234" i="50" s="1"/>
  <c r="U92" i="50"/>
  <c r="E92" i="50" s="1"/>
  <c r="U200" i="50"/>
  <c r="E200" i="50" s="1"/>
  <c r="U57" i="50"/>
  <c r="E57" i="50" s="1"/>
  <c r="U235" i="50"/>
  <c r="E235" i="50" s="1"/>
  <c r="U93" i="50"/>
  <c r="E93" i="50" s="1"/>
  <c r="U201" i="50"/>
  <c r="E201" i="50" s="1"/>
  <c r="U58" i="50"/>
  <c r="E58" i="50" s="1"/>
  <c r="U236" i="50"/>
  <c r="E236" i="50" s="1"/>
  <c r="U94" i="50"/>
  <c r="E94" i="50" s="1"/>
  <c r="U95" i="50"/>
  <c r="E95" i="50" s="1"/>
  <c r="U237" i="50"/>
  <c r="E237" i="50" s="1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4" i="50"/>
  <c r="A2" i="50"/>
  <c r="D2" i="50" s="1"/>
  <c r="A3" i="50"/>
  <c r="P3" i="1"/>
  <c r="S3" i="1"/>
  <c r="R3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B2" i="50" l="1"/>
  <c r="M20" i="50"/>
  <c r="M19" i="50"/>
  <c r="M18" i="50"/>
  <c r="M17" i="50"/>
  <c r="M13" i="50"/>
  <c r="M12" i="50"/>
  <c r="M11" i="50"/>
  <c r="M10" i="50"/>
  <c r="M5" i="50"/>
  <c r="M4" i="50"/>
  <c r="M3" i="50"/>
  <c r="M2" i="50"/>
  <c r="C12" i="50"/>
  <c r="C11" i="50"/>
  <c r="C5" i="50"/>
  <c r="C4" i="50"/>
  <c r="C20" i="50"/>
  <c r="C19" i="50"/>
  <c r="C18" i="50"/>
  <c r="C13" i="50"/>
  <c r="C3" i="50"/>
  <c r="C2" i="50"/>
  <c r="B20" i="50"/>
  <c r="B19" i="50"/>
  <c r="B13" i="50"/>
  <c r="B12" i="50"/>
  <c r="B11" i="50"/>
  <c r="B10" i="50"/>
  <c r="B9" i="50"/>
  <c r="E9" i="50" s="1"/>
  <c r="B5" i="50"/>
  <c r="B4" i="50"/>
  <c r="B3" i="50"/>
  <c r="F21" i="50"/>
  <c r="L20" i="50"/>
  <c r="I20" i="50"/>
  <c r="H20" i="50"/>
  <c r="G20" i="50"/>
  <c r="F20" i="50"/>
  <c r="L19" i="50"/>
  <c r="K19" i="50"/>
  <c r="J19" i="50"/>
  <c r="I19" i="50"/>
  <c r="J18" i="50"/>
  <c r="I18" i="50"/>
  <c r="H18" i="50"/>
  <c r="G18" i="50"/>
  <c r="F18" i="50"/>
  <c r="L17" i="50"/>
  <c r="G17" i="50"/>
  <c r="F17" i="50"/>
  <c r="L16" i="50"/>
  <c r="L13" i="50"/>
  <c r="J13" i="50"/>
  <c r="I13" i="50"/>
  <c r="H13" i="50"/>
  <c r="G13" i="50"/>
  <c r="F13" i="50"/>
  <c r="L12" i="50"/>
  <c r="I12" i="50"/>
  <c r="H12" i="50"/>
  <c r="G12" i="50"/>
  <c r="F12" i="50"/>
  <c r="L11" i="50"/>
  <c r="K11" i="50"/>
  <c r="J11" i="50"/>
  <c r="I11" i="50"/>
  <c r="F11" i="50"/>
  <c r="L10" i="50"/>
  <c r="K10" i="50"/>
  <c r="J10" i="50"/>
  <c r="I10" i="50"/>
  <c r="H10" i="50"/>
  <c r="G10" i="50"/>
  <c r="F10" i="50"/>
  <c r="L9" i="50"/>
  <c r="H9" i="50"/>
  <c r="G9" i="50"/>
  <c r="F9" i="50"/>
  <c r="L8" i="50"/>
  <c r="H6" i="50"/>
  <c r="G6" i="50"/>
  <c r="F6" i="50"/>
  <c r="L5" i="50"/>
  <c r="J5" i="50"/>
  <c r="I5" i="50"/>
  <c r="H5" i="50"/>
  <c r="G5" i="50"/>
  <c r="F5" i="50"/>
  <c r="L4" i="50"/>
  <c r="H4" i="50"/>
  <c r="G4" i="50"/>
  <c r="F4" i="50"/>
  <c r="L3" i="50"/>
  <c r="K3" i="50"/>
  <c r="J3" i="50"/>
  <c r="I3" i="50"/>
  <c r="K2" i="50"/>
  <c r="J2" i="50"/>
  <c r="I2" i="50"/>
  <c r="H2" i="50"/>
  <c r="G2" i="50"/>
  <c r="F2" i="50"/>
  <c r="K21" i="50"/>
  <c r="K20" i="50"/>
  <c r="H19" i="50"/>
  <c r="B18" i="50"/>
  <c r="C17" i="50"/>
  <c r="M16" i="50"/>
  <c r="M15" i="50"/>
  <c r="M14" i="50"/>
  <c r="D13" i="50"/>
  <c r="K12" i="50"/>
  <c r="D11" i="50"/>
  <c r="C10" i="50"/>
  <c r="K9" i="50"/>
  <c r="K8" i="50"/>
  <c r="M7" i="50"/>
  <c r="B6" i="50"/>
  <c r="K5" i="50"/>
  <c r="K4" i="50"/>
  <c r="H3" i="50"/>
  <c r="K4" i="1"/>
  <c r="K5" i="1"/>
  <c r="K6" i="1"/>
  <c r="K7" i="1"/>
  <c r="K8" i="1"/>
  <c r="M8" i="1" s="1"/>
  <c r="K9" i="1"/>
  <c r="M9" i="1" s="1"/>
  <c r="K10" i="1"/>
  <c r="K11" i="1"/>
  <c r="K12" i="1"/>
  <c r="K13" i="1"/>
  <c r="M13" i="1" s="1"/>
  <c r="K14" i="1"/>
  <c r="K15" i="1"/>
  <c r="K16" i="1"/>
  <c r="K17" i="1"/>
  <c r="K18" i="1"/>
  <c r="K19" i="1"/>
  <c r="K20" i="1"/>
  <c r="K21" i="1"/>
  <c r="M21" i="1" s="1"/>
  <c r="K22" i="1"/>
  <c r="K23" i="1"/>
  <c r="K24" i="1"/>
  <c r="K25" i="1"/>
  <c r="K26" i="1"/>
  <c r="K27" i="1"/>
  <c r="M27" i="1" s="1"/>
  <c r="K28" i="1"/>
  <c r="M28" i="1" s="1"/>
  <c r="K29" i="1"/>
  <c r="M29" i="1" s="1"/>
  <c r="K30" i="1"/>
  <c r="M30" i="1" s="1"/>
  <c r="K31" i="1"/>
  <c r="M31" i="1" s="1"/>
  <c r="K32" i="1"/>
  <c r="K33" i="1"/>
  <c r="M33" i="1" s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M61" i="1" s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M89" i="1" s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M115" i="1" s="1"/>
  <c r="K116" i="1"/>
  <c r="K117" i="1"/>
  <c r="M117" i="1" s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M143" i="1" s="1"/>
  <c r="K144" i="1"/>
  <c r="K145" i="1"/>
  <c r="M145" i="1" s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M173" i="1" s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M201" i="1" s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M225" i="1" s="1"/>
  <c r="K226" i="1"/>
  <c r="K227" i="1"/>
  <c r="M227" i="1" s="1"/>
  <c r="K228" i="1"/>
  <c r="K229" i="1"/>
  <c r="M229" i="1" s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M255" i="1" s="1"/>
  <c r="K256" i="1"/>
  <c r="K257" i="1"/>
  <c r="M257" i="1" s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M282" i="1" s="1"/>
  <c r="K283" i="1"/>
  <c r="M283" i="1" s="1"/>
  <c r="K284" i="1"/>
  <c r="K285" i="1"/>
  <c r="M285" i="1" s="1"/>
  <c r="K286" i="1"/>
  <c r="K287" i="1"/>
  <c r="K288" i="1"/>
  <c r="K289" i="1"/>
  <c r="M289" i="1" s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3" i="1"/>
  <c r="M86" i="1" l="1"/>
  <c r="M168" i="1"/>
  <c r="M223" i="1"/>
  <c r="M274" i="1"/>
  <c r="M246" i="1"/>
  <c r="M218" i="1"/>
  <c r="M190" i="1"/>
  <c r="M162" i="1"/>
  <c r="M134" i="1"/>
  <c r="M106" i="1"/>
  <c r="M78" i="1"/>
  <c r="M50" i="1"/>
  <c r="M22" i="1"/>
  <c r="M58" i="1"/>
  <c r="M196" i="1"/>
  <c r="M161" i="1"/>
  <c r="M272" i="1"/>
  <c r="M244" i="1"/>
  <c r="M216" i="1"/>
  <c r="M188" i="1"/>
  <c r="M160" i="1"/>
  <c r="M132" i="1"/>
  <c r="M104" i="1"/>
  <c r="M76" i="1"/>
  <c r="M48" i="1"/>
  <c r="M20" i="1"/>
  <c r="M271" i="1"/>
  <c r="M142" i="1"/>
  <c r="M224" i="1"/>
  <c r="M105" i="1"/>
  <c r="M47" i="1"/>
  <c r="M242" i="1"/>
  <c r="M186" i="1"/>
  <c r="M158" i="1"/>
  <c r="M130" i="1"/>
  <c r="M102" i="1"/>
  <c r="M74" i="1"/>
  <c r="M46" i="1"/>
  <c r="M18" i="1"/>
  <c r="M254" i="1"/>
  <c r="M280" i="1"/>
  <c r="M159" i="1"/>
  <c r="M241" i="1"/>
  <c r="M157" i="1"/>
  <c r="M101" i="1"/>
  <c r="M73" i="1"/>
  <c r="M45" i="1"/>
  <c r="M17" i="1"/>
  <c r="M199" i="1"/>
  <c r="M170" i="1"/>
  <c r="M85" i="1"/>
  <c r="M273" i="1"/>
  <c r="M77" i="1"/>
  <c r="M243" i="1"/>
  <c r="M19" i="1"/>
  <c r="M270" i="1"/>
  <c r="M214" i="1"/>
  <c r="M269" i="1"/>
  <c r="M213" i="1"/>
  <c r="M185" i="1"/>
  <c r="M129" i="1"/>
  <c r="M268" i="1"/>
  <c r="M240" i="1"/>
  <c r="M212" i="1"/>
  <c r="M184" i="1"/>
  <c r="M156" i="1"/>
  <c r="M128" i="1"/>
  <c r="M100" i="1"/>
  <c r="M72" i="1"/>
  <c r="M44" i="1"/>
  <c r="M16" i="1"/>
  <c r="M197" i="1"/>
  <c r="M84" i="1"/>
  <c r="M49" i="1"/>
  <c r="M187" i="1"/>
  <c r="M295" i="1"/>
  <c r="M267" i="1"/>
  <c r="M239" i="1"/>
  <c r="M211" i="1"/>
  <c r="M183" i="1"/>
  <c r="M155" i="1"/>
  <c r="M127" i="1"/>
  <c r="M99" i="1"/>
  <c r="M71" i="1"/>
  <c r="M43" i="1"/>
  <c r="M15" i="1"/>
  <c r="M141" i="1"/>
  <c r="M215" i="1"/>
  <c r="M294" i="1"/>
  <c r="M266" i="1"/>
  <c r="M238" i="1"/>
  <c r="M210" i="1"/>
  <c r="M182" i="1"/>
  <c r="M154" i="1"/>
  <c r="M126" i="1"/>
  <c r="M98" i="1"/>
  <c r="M70" i="1"/>
  <c r="M42" i="1"/>
  <c r="M14" i="1"/>
  <c r="M87" i="1"/>
  <c r="M281" i="1"/>
  <c r="M57" i="1"/>
  <c r="M245" i="1"/>
  <c r="M133" i="1"/>
  <c r="M131" i="1"/>
  <c r="M237" i="1"/>
  <c r="M181" i="1"/>
  <c r="M153" i="1"/>
  <c r="M125" i="1"/>
  <c r="M97" i="1"/>
  <c r="M69" i="1"/>
  <c r="M41" i="1"/>
  <c r="M292" i="1"/>
  <c r="M264" i="1"/>
  <c r="M236" i="1"/>
  <c r="M208" i="1"/>
  <c r="M180" i="1"/>
  <c r="M152" i="1"/>
  <c r="M124" i="1"/>
  <c r="M96" i="1"/>
  <c r="M68" i="1"/>
  <c r="M40" i="1"/>
  <c r="M12" i="1"/>
  <c r="M140" i="1"/>
  <c r="M103" i="1"/>
  <c r="M265" i="1"/>
  <c r="M263" i="1"/>
  <c r="M179" i="1"/>
  <c r="M123" i="1"/>
  <c r="M95" i="1"/>
  <c r="M67" i="1"/>
  <c r="M39" i="1"/>
  <c r="M11" i="1"/>
  <c r="M59" i="1"/>
  <c r="M253" i="1"/>
  <c r="M113" i="1"/>
  <c r="M217" i="1"/>
  <c r="M189" i="1"/>
  <c r="M75" i="1"/>
  <c r="M293" i="1"/>
  <c r="M209" i="1"/>
  <c r="M291" i="1"/>
  <c r="M235" i="1"/>
  <c r="M207" i="1"/>
  <c r="M151" i="1"/>
  <c r="M290" i="1"/>
  <c r="M262" i="1"/>
  <c r="M234" i="1"/>
  <c r="M206" i="1"/>
  <c r="M178" i="1"/>
  <c r="M150" i="1"/>
  <c r="M122" i="1"/>
  <c r="M94" i="1"/>
  <c r="M66" i="1"/>
  <c r="M38" i="1"/>
  <c r="M10" i="1"/>
  <c r="M261" i="1"/>
  <c r="M205" i="1"/>
  <c r="M149" i="1"/>
  <c r="M121" i="1"/>
  <c r="M93" i="1"/>
  <c r="M37" i="1"/>
  <c r="M288" i="1"/>
  <c r="M260" i="1"/>
  <c r="M232" i="1"/>
  <c r="M204" i="1"/>
  <c r="M176" i="1"/>
  <c r="M148" i="1"/>
  <c r="M120" i="1"/>
  <c r="M92" i="1"/>
  <c r="M64" i="1"/>
  <c r="M36" i="1"/>
  <c r="M287" i="1"/>
  <c r="M259" i="1"/>
  <c r="M231" i="1"/>
  <c r="M203" i="1"/>
  <c r="M175" i="1"/>
  <c r="M147" i="1"/>
  <c r="M119" i="1"/>
  <c r="M91" i="1"/>
  <c r="M63" i="1"/>
  <c r="M35" i="1"/>
  <c r="M7" i="1"/>
  <c r="M233" i="1"/>
  <c r="M177" i="1"/>
  <c r="M65" i="1"/>
  <c r="M286" i="1"/>
  <c r="M258" i="1"/>
  <c r="M230" i="1"/>
  <c r="M202" i="1"/>
  <c r="M174" i="1"/>
  <c r="M146" i="1"/>
  <c r="M118" i="1"/>
  <c r="M90" i="1"/>
  <c r="M62" i="1"/>
  <c r="M34" i="1"/>
  <c r="M6" i="1"/>
  <c r="M5" i="1"/>
  <c r="M284" i="1"/>
  <c r="M256" i="1"/>
  <c r="M228" i="1"/>
  <c r="M200" i="1"/>
  <c r="M172" i="1"/>
  <c r="M144" i="1"/>
  <c r="M116" i="1"/>
  <c r="M88" i="1"/>
  <c r="M60" i="1"/>
  <c r="M32" i="1"/>
  <c r="M4" i="1"/>
  <c r="M198" i="1"/>
  <c r="M252" i="1"/>
  <c r="M111" i="1"/>
  <c r="M222" i="1"/>
  <c r="M194" i="1"/>
  <c r="M166" i="1"/>
  <c r="M138" i="1"/>
  <c r="M110" i="1"/>
  <c r="M82" i="1"/>
  <c r="M54" i="1"/>
  <c r="M26" i="1"/>
  <c r="M279" i="1"/>
  <c r="M83" i="1"/>
  <c r="M165" i="1"/>
  <c r="M53" i="1"/>
  <c r="M25" i="1"/>
  <c r="M171" i="1"/>
  <c r="M226" i="1"/>
  <c r="M169" i="1"/>
  <c r="M56" i="1"/>
  <c r="M251" i="1"/>
  <c r="M195" i="1"/>
  <c r="M139" i="1"/>
  <c r="M3" i="1"/>
  <c r="M250" i="1"/>
  <c r="M277" i="1"/>
  <c r="M221" i="1"/>
  <c r="M193" i="1"/>
  <c r="M109" i="1"/>
  <c r="M81" i="1"/>
  <c r="M276" i="1"/>
  <c r="M248" i="1"/>
  <c r="M220" i="1"/>
  <c r="M192" i="1"/>
  <c r="M164" i="1"/>
  <c r="M136" i="1"/>
  <c r="M108" i="1"/>
  <c r="M80" i="1"/>
  <c r="M52" i="1"/>
  <c r="M24" i="1"/>
  <c r="M114" i="1"/>
  <c r="M112" i="1"/>
  <c r="M167" i="1"/>
  <c r="M55" i="1"/>
  <c r="M278" i="1"/>
  <c r="M249" i="1"/>
  <c r="M137" i="1"/>
  <c r="M275" i="1"/>
  <c r="M247" i="1"/>
  <c r="M219" i="1"/>
  <c r="M191" i="1"/>
  <c r="M163" i="1"/>
  <c r="M135" i="1"/>
  <c r="M107" i="1"/>
  <c r="M79" i="1"/>
  <c r="M51" i="1"/>
  <c r="M23" i="1"/>
  <c r="C21" i="50"/>
  <c r="C6" i="50"/>
  <c r="L21" i="50"/>
  <c r="F14" i="50"/>
  <c r="H14" i="50"/>
  <c r="I6" i="50"/>
  <c r="I14" i="50"/>
  <c r="B7" i="50"/>
  <c r="E7" i="50" s="1"/>
  <c r="M21" i="50"/>
  <c r="J6" i="50"/>
  <c r="J14" i="50"/>
  <c r="K6" i="50"/>
  <c r="K14" i="50"/>
  <c r="K18" i="50"/>
  <c r="L2" i="50"/>
  <c r="L6" i="50"/>
  <c r="L14" i="50"/>
  <c r="L18" i="50"/>
  <c r="C7" i="50"/>
  <c r="F3" i="50"/>
  <c r="F7" i="50"/>
  <c r="F15" i="50"/>
  <c r="F19" i="50"/>
  <c r="C8" i="50"/>
  <c r="G3" i="50"/>
  <c r="G7" i="50"/>
  <c r="G11" i="50"/>
  <c r="G15" i="50"/>
  <c r="G19" i="50"/>
  <c r="C9" i="50"/>
  <c r="H7" i="50"/>
  <c r="H11" i="50"/>
  <c r="H15" i="50"/>
  <c r="B14" i="50"/>
  <c r="E14" i="50" s="1"/>
  <c r="I7" i="50"/>
  <c r="I15" i="50"/>
  <c r="B15" i="50"/>
  <c r="E15" i="50" s="1"/>
  <c r="G14" i="50"/>
  <c r="K7" i="50"/>
  <c r="F16" i="50"/>
  <c r="J7" i="50"/>
  <c r="J15" i="50"/>
  <c r="B16" i="50"/>
  <c r="K15" i="50"/>
  <c r="B17" i="50"/>
  <c r="E17" i="50" s="1"/>
  <c r="L7" i="50"/>
  <c r="L15" i="50"/>
  <c r="D9" i="50"/>
  <c r="F8" i="50"/>
  <c r="G8" i="50"/>
  <c r="G16" i="50"/>
  <c r="H8" i="50"/>
  <c r="H16" i="50"/>
  <c r="B21" i="50"/>
  <c r="E21" i="50" s="1"/>
  <c r="M6" i="50"/>
  <c r="I4" i="50"/>
  <c r="I8" i="50"/>
  <c r="I16" i="50"/>
  <c r="B8" i="50"/>
  <c r="E8" i="50" s="1"/>
  <c r="J4" i="50"/>
  <c r="J8" i="50"/>
  <c r="J12" i="50"/>
  <c r="J16" i="50"/>
  <c r="J20" i="50"/>
  <c r="M8" i="50"/>
  <c r="K16" i="50"/>
  <c r="M9" i="50"/>
  <c r="G21" i="50"/>
  <c r="H17" i="50"/>
  <c r="H21" i="50"/>
  <c r="C14" i="50"/>
  <c r="I9" i="50"/>
  <c r="I17" i="50"/>
  <c r="I21" i="50"/>
  <c r="C15" i="50"/>
  <c r="J9" i="50"/>
  <c r="J17" i="50"/>
  <c r="J21" i="50"/>
  <c r="C16" i="50"/>
  <c r="K13" i="50"/>
  <c r="K17" i="50"/>
  <c r="E16" i="50"/>
  <c r="E12" i="50"/>
  <c r="D12" i="50"/>
  <c r="D4" i="50"/>
  <c r="E3" i="50"/>
  <c r="D14" i="50"/>
  <c r="E4" i="50"/>
  <c r="E5" i="50"/>
  <c r="D7" i="50"/>
  <c r="E18" i="50"/>
  <c r="D16" i="50"/>
  <c r="D19" i="50"/>
  <c r="E2" i="50"/>
  <c r="D17" i="50"/>
  <c r="E13" i="50"/>
  <c r="D15" i="50"/>
  <c r="D18" i="50"/>
  <c r="E6" i="50"/>
  <c r="D8" i="50"/>
  <c r="E19" i="50"/>
  <c r="D6" i="50"/>
  <c r="E11" i="50"/>
  <c r="E20" i="50"/>
  <c r="D20" i="50"/>
  <c r="D5" i="50"/>
  <c r="D3" i="50"/>
  <c r="E10" i="50"/>
  <c r="D10" i="50"/>
  <c r="D21" i="50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3" i="1"/>
  <c r="M23" i="50" l="1"/>
  <c r="I23" i="50"/>
  <c r="F23" i="50"/>
  <c r="K23" i="50"/>
  <c r="H23" i="50"/>
  <c r="G23" i="50"/>
  <c r="J23" i="50"/>
  <c r="E23" i="50"/>
  <c r="L22" i="50"/>
  <c r="L23" i="50" s="1"/>
  <c r="K22" i="50"/>
  <c r="G22" i="50"/>
  <c r="J22" i="50"/>
  <c r="M22" i="50"/>
  <c r="I22" i="50"/>
  <c r="F22" i="50"/>
  <c r="H22" i="50"/>
  <c r="E22" i="50"/>
  <c r="T6" i="1"/>
  <c r="T5" i="1" l="1"/>
  <c r="T3" i="1" l="1"/>
  <c r="R4" i="1"/>
  <c r="S4" i="1"/>
  <c r="L500" i="1" l="1"/>
  <c r="L498" i="1"/>
  <c r="L496" i="1"/>
  <c r="L495" i="1"/>
  <c r="L493" i="1"/>
  <c r="L491" i="1"/>
  <c r="L489" i="1"/>
  <c r="L487" i="1"/>
  <c r="L485" i="1"/>
  <c r="L483" i="1"/>
  <c r="L482" i="1"/>
  <c r="L501" i="1"/>
  <c r="L499" i="1"/>
  <c r="L497" i="1"/>
  <c r="L494" i="1"/>
  <c r="L492" i="1"/>
  <c r="L490" i="1"/>
  <c r="L488" i="1"/>
  <c r="L486" i="1"/>
  <c r="L484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3" i="1" l="1"/>
  <c r="L22" i="1"/>
  <c r="L20" i="1"/>
  <c r="L18" i="1"/>
  <c r="L16" i="1"/>
  <c r="L14" i="1"/>
  <c r="L12" i="1"/>
  <c r="L10" i="1"/>
  <c r="L8" i="1"/>
  <c r="L6" i="1"/>
  <c r="L4" i="1"/>
  <c r="L21" i="1"/>
  <c r="L19" i="1"/>
  <c r="L17" i="1"/>
  <c r="L15" i="1"/>
  <c r="L13" i="1"/>
  <c r="L11" i="1"/>
  <c r="L9" i="1"/>
  <c r="L7" i="1"/>
  <c r="L5" i="1"/>
  <c r="L88" i="1"/>
  <c r="L260" i="1"/>
  <c r="L258" i="1"/>
  <c r="L256" i="1"/>
  <c r="L254" i="1"/>
  <c r="L252" i="1"/>
  <c r="L250" i="1"/>
  <c r="L248" i="1"/>
  <c r="L246" i="1"/>
  <c r="L244" i="1"/>
  <c r="L242" i="1"/>
  <c r="L240" i="1"/>
  <c r="L238" i="1"/>
  <c r="L236" i="1"/>
  <c r="L234" i="1"/>
  <c r="L232" i="1"/>
  <c r="L230" i="1"/>
  <c r="L228" i="1"/>
  <c r="L226" i="1"/>
  <c r="L224" i="1"/>
  <c r="L222" i="1"/>
  <c r="L220" i="1"/>
  <c r="L218" i="1"/>
  <c r="L216" i="1"/>
  <c r="L214" i="1"/>
  <c r="L212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72" i="1"/>
  <c r="L170" i="1"/>
  <c r="L168" i="1"/>
  <c r="L166" i="1"/>
  <c r="L164" i="1"/>
  <c r="L162" i="1"/>
  <c r="L160" i="1"/>
  <c r="L158" i="1"/>
  <c r="L156" i="1"/>
  <c r="L154" i="1"/>
  <c r="L152" i="1"/>
  <c r="L150" i="1"/>
  <c r="L148" i="1"/>
  <c r="L146" i="1"/>
  <c r="L144" i="1"/>
  <c r="L142" i="1"/>
  <c r="L140" i="1"/>
  <c r="L138" i="1"/>
  <c r="L136" i="1"/>
  <c r="L134" i="1"/>
  <c r="L132" i="1"/>
  <c r="L130" i="1"/>
  <c r="L128" i="1"/>
  <c r="L126" i="1"/>
  <c r="L124" i="1"/>
  <c r="L122" i="1"/>
  <c r="L120" i="1"/>
  <c r="L118" i="1"/>
  <c r="L116" i="1"/>
  <c r="L114" i="1"/>
  <c r="L112" i="1"/>
  <c r="L110" i="1"/>
  <c r="L108" i="1"/>
  <c r="L106" i="1"/>
  <c r="L104" i="1"/>
  <c r="L102" i="1"/>
  <c r="L100" i="1"/>
  <c r="L98" i="1"/>
  <c r="L96" i="1"/>
  <c r="L94" i="1"/>
  <c r="L92" i="1"/>
  <c r="L90" i="1"/>
  <c r="L86" i="1"/>
  <c r="L84" i="1"/>
  <c r="L82" i="1"/>
  <c r="L80" i="1"/>
  <c r="L78" i="1"/>
  <c r="L76" i="1"/>
  <c r="L74" i="1"/>
  <c r="L72" i="1"/>
  <c r="L70" i="1"/>
  <c r="L68" i="1"/>
  <c r="L66" i="1"/>
  <c r="L64" i="1"/>
  <c r="L62" i="1"/>
  <c r="L60" i="1"/>
  <c r="L58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L261" i="1"/>
  <c r="L259" i="1"/>
  <c r="L257" i="1"/>
  <c r="L255" i="1"/>
  <c r="L253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5" i="1"/>
  <c r="L133" i="1"/>
  <c r="L131" i="1"/>
  <c r="L129" i="1"/>
  <c r="L127" i="1"/>
  <c r="L125" i="1"/>
  <c r="L123" i="1"/>
  <c r="L121" i="1"/>
  <c r="L119" i="1"/>
  <c r="L117" i="1"/>
  <c r="L115" i="1"/>
  <c r="L113" i="1"/>
  <c r="L111" i="1"/>
  <c r="L109" i="1"/>
  <c r="L107" i="1"/>
  <c r="L105" i="1"/>
  <c r="L103" i="1"/>
  <c r="L101" i="1"/>
  <c r="L99" i="1"/>
  <c r="L97" i="1"/>
  <c r="L95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</calcChain>
</file>

<file path=xl/sharedStrings.xml><?xml version="1.0" encoding="utf-8"?>
<sst xmlns="http://schemas.openxmlformats.org/spreadsheetml/2006/main" count="15979" uniqueCount="532">
  <si>
    <t>학년반번호</t>
  </si>
  <si>
    <t>일치 결과</t>
    <phoneticPr fontId="3" type="noConversion"/>
  </si>
  <si>
    <t>동명이인</t>
    <phoneticPr fontId="3" type="noConversion"/>
  </si>
  <si>
    <t>이름</t>
  </si>
  <si>
    <t>비고</t>
    <phoneticPr fontId="3" type="noConversion"/>
  </si>
  <si>
    <t>전체인원수</t>
    <phoneticPr fontId="3" type="noConversion"/>
  </si>
  <si>
    <t>남</t>
    <phoneticPr fontId="3" type="noConversion"/>
  </si>
  <si>
    <t>여</t>
    <phoneticPr fontId="3" type="noConversion"/>
  </si>
  <si>
    <t>이름</t>
    <phoneticPr fontId="3" type="noConversion"/>
  </si>
  <si>
    <t>명이인</t>
  </si>
  <si>
    <t>성+이름</t>
    <phoneticPr fontId="3" type="noConversion"/>
  </si>
  <si>
    <t>학교명</t>
  </si>
  <si>
    <t>성별</t>
  </si>
  <si>
    <t>*붙여넣기</t>
    <phoneticPr fontId="3" type="noConversion"/>
  </si>
  <si>
    <t>*일치하지 않으면 999</t>
    <phoneticPr fontId="3" type="noConversion"/>
  </si>
  <si>
    <t>*동명이인일 때 빨간색 셀-&gt;</t>
    <phoneticPr fontId="3" type="noConversion"/>
  </si>
  <si>
    <t>한 반 인원</t>
    <phoneticPr fontId="3" type="noConversion"/>
  </si>
  <si>
    <t>상담여부</t>
  </si>
  <si>
    <t>비고</t>
  </si>
  <si>
    <t>신규반</t>
  </si>
  <si>
    <t>신규번호</t>
  </si>
  <si>
    <t>로우데이터 불러오기</t>
    <phoneticPr fontId="3" type="noConversion"/>
  </si>
  <si>
    <t>반</t>
    <phoneticPr fontId="3" type="noConversion"/>
  </si>
  <si>
    <t>성비</t>
    <phoneticPr fontId="3" type="noConversion"/>
  </si>
  <si>
    <t>전체</t>
    <phoneticPr fontId="3" type="noConversion"/>
  </si>
  <si>
    <t>무응답</t>
  </si>
  <si>
    <t/>
  </si>
  <si>
    <t>남자 반</t>
    <phoneticPr fontId="3" type="noConversion"/>
  </si>
  <si>
    <t>여자 반</t>
    <phoneticPr fontId="3" type="noConversion"/>
  </si>
  <si>
    <t>남녀 합반</t>
    <phoneticPr fontId="3" type="noConversion"/>
  </si>
  <si>
    <t>남녀 분반</t>
    <phoneticPr fontId="3" type="noConversion"/>
  </si>
  <si>
    <t>학교 양식 시트나눔</t>
    <phoneticPr fontId="3" type="noConversion"/>
  </si>
  <si>
    <t>★ 검수 ★</t>
    <phoneticPr fontId="3" type="noConversion"/>
  </si>
  <si>
    <t>1 )로우데이터 불러오기</t>
    <phoneticPr fontId="3" type="noConversion"/>
  </si>
  <si>
    <t xml:space="preserve"> - 폴더 내 로우데이터만 있어야함</t>
    <phoneticPr fontId="3" type="noConversion"/>
  </si>
  <si>
    <t>2) 이름확인 - 비고작성</t>
    <phoneticPr fontId="3" type="noConversion"/>
  </si>
  <si>
    <t xml:space="preserve"> - 종합, 능력&amp;인성 선택</t>
    <phoneticPr fontId="3" type="noConversion"/>
  </si>
  <si>
    <t xml:space="preserve">    누락된 학생 확인 -&gt; 누락된 검사 같은 위치에 빈 행 삽입해줘야함!</t>
    <phoneticPr fontId="3" type="noConversion"/>
  </si>
  <si>
    <t>3) 정렬 &amp; 저장</t>
    <phoneticPr fontId="3" type="noConversion"/>
  </si>
  <si>
    <t xml:space="preserve"> - 종합, 능력, 인성 선택</t>
    <phoneticPr fontId="3" type="noConversion"/>
  </si>
  <si>
    <t>4) 반 입력 매크로</t>
    <phoneticPr fontId="3" type="noConversion"/>
  </si>
  <si>
    <t xml:space="preserve"> - 남녀 합반, 분반 선택</t>
    <phoneticPr fontId="3" type="noConversion"/>
  </si>
  <si>
    <t>5)  검수 ★</t>
    <phoneticPr fontId="3" type="noConversion"/>
  </si>
  <si>
    <t>6) 학교 양식 시트나눔</t>
    <phoneticPr fontId="3" type="noConversion"/>
  </si>
  <si>
    <t>합반 →</t>
    <phoneticPr fontId="3" type="noConversion"/>
  </si>
  <si>
    <t>분반 →</t>
    <phoneticPr fontId="3" type="noConversion"/>
  </si>
  <si>
    <t>전체 반 수</t>
    <phoneticPr fontId="3" type="noConversion"/>
  </si>
  <si>
    <t xml:space="preserve"> - 인원 수 및 이름 확인</t>
    <phoneticPr fontId="3" type="noConversion"/>
  </si>
  <si>
    <t xml:space="preserve">    ( 오류 시 '이름일치' 탭 반 수 입력되어 있는지 확인! )</t>
    <phoneticPr fontId="3" type="noConversion"/>
  </si>
  <si>
    <r>
      <t xml:space="preserve">* 분반 오류 시 </t>
    </r>
    <r>
      <rPr>
        <b/>
        <sz val="11"/>
        <color rgb="FFFF0000"/>
        <rFont val="맑은 고딕"/>
        <family val="3"/>
        <charset val="129"/>
        <scheme val="minor"/>
      </rPr>
      <t>반 수</t>
    </r>
    <r>
      <rPr>
        <sz val="11"/>
        <color rgb="FFFF0000"/>
        <rFont val="맑은 고딕"/>
        <family val="2"/>
        <charset val="129"/>
        <scheme val="minor"/>
      </rPr>
      <t xml:space="preserve"> 입력했는지 확인</t>
    </r>
    <phoneticPr fontId="3" type="noConversion"/>
  </si>
  <si>
    <t xml:space="preserve">    ( '학교명_반편성'으로 자동저장 )</t>
  </si>
  <si>
    <t xml:space="preserve"> - '통합 - 정리 전' 시트 : 리딩된 로우데이터 값 보존 </t>
  </si>
  <si>
    <t xml:space="preserve"> - '통합 - 정리 전(2)' 시트 : 학교에 보낼 하위척도 정리 (임시반번호순 복사용) </t>
    <phoneticPr fontId="3" type="noConversion"/>
  </si>
  <si>
    <t xml:space="preserve">    ( 수기로 분배 필요 / 분배 후 검수 )</t>
  </si>
  <si>
    <t xml:space="preserve"> - 학교에 보낼 파일로 정리</t>
    <phoneticPr fontId="3" type="noConversion"/>
  </si>
  <si>
    <t xml:space="preserve">    ( 기존반번호순, 임시반번호순, 각반별 시트로 정리 )</t>
    <phoneticPr fontId="3" type="noConversion"/>
  </si>
  <si>
    <t>※ 무응답 수가 많으면 음수값 결과, 신경증 점수 상승, 상담여부 체크 등 신뢰롭지 못한 검사결과가 산출될 수 있으므로 해석에 유의하시기 바랍니다.</t>
    <phoneticPr fontId="3" type="noConversion"/>
  </si>
  <si>
    <t xml:space="preserve"> 신경증 척도중(불안/적대감/우울/충동성/사회적위축/정서충격)이 타 학생들에 비해 요인이 높거나 낮은 학생들로 구성되었습니다.</t>
    <phoneticPr fontId="3" type="noConversion"/>
  </si>
  <si>
    <t>※ 상담 대상군에 속한 학생의 근거치는 5요인(외향성,개방성,친화성,성실성,신경증)을 포함하여</t>
    <phoneticPr fontId="3" type="noConversion"/>
  </si>
  <si>
    <t>단순히 본 결과를 누설하거나 전문적 상담절차 없이 본인에게 잘못 전달하여 심리적인 큰 상처를 주지 않도록 해야 합니다.</t>
  </si>
  <si>
    <t>검사 결과에 따른 상담 대상은 하나의 가능성일 뿐이며, 검사자의 개인적 성장을 위하여 상담을 권장하기 위한 것입니다.</t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</si>
  <si>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B형(인성) 검사 해석 시 유의사항&gt;</t>
    </r>
    <phoneticPr fontId="3" type="noConversion"/>
  </si>
  <si>
    <t>예를 들어, 하위검사의 T점수가 60점인 경우 해당 영역의 능력을 ‘해당영역 60점’으로 해석하기 보다는 ‘보통상’에 속해있다고 해석하는 것이 검사의 결과를 이해하는 데 더 적절합니다.</t>
    <phoneticPr fontId="3" type="noConversion"/>
  </si>
  <si>
    <t>시간이 지남에 따라 상당한 변화와 발달이 발생한다는 점에서 볼 때, 검사에서 얻은 점수는 전체 영역의 단일점수로서보다는 각 하위검사의 점수대 즉, 수준으로서 해석하는 것이 좋습니다. </t>
    <phoneticPr fontId="3" type="noConversion"/>
  </si>
  <si>
    <t xml:space="preserve">※ T점수: 평균이 50, 표준편차가 10인 표준점수로써 50점을 기준으로 이보다 위의 점수는 평균점보다 높고, 아래의 점수는 평균점보다 낮은 것을 의미합니다. </t>
    <phoneticPr fontId="3" type="noConversion"/>
  </si>
  <si>
    <t xml:space="preserve">           일반적으로 T점수가 70점 이상이면 전국기준 2.5% 이내에 해당하는 상당히 높은 점수라고 할 수 있습니다.</t>
    <phoneticPr fontId="3" type="noConversion"/>
  </si>
  <si>
    <t xml:space="preserve">                 자기보다 낮은 점수를 받은 학생이 79명, 높은 학생이 20명 있다는 뜻입니다.</t>
    <phoneticPr fontId="3" type="noConversion"/>
  </si>
  <si>
    <t xml:space="preserve">※ 수준 </t>
    <phoneticPr fontId="3" type="noConversion"/>
  </si>
  <si>
    <t> &lt;잠재능력진단검사 A형(능력) 검사 해석 시 유의사항&gt;</t>
    <phoneticPr fontId="3" type="noConversion"/>
  </si>
  <si>
    <t xml:space="preserve">    (쌍둥이 : 쌍1, 쌍2 / 분리배치필요 : 분1, 분2 ..)</t>
    <phoneticPr fontId="3" type="noConversion"/>
  </si>
  <si>
    <t xml:space="preserve">    ( 홈 - 정렬 및 필터 - 사용자지정 정렬 - 기준추가 - 신규반 가장 위 배치 - 확인 )</t>
    <phoneticPr fontId="3" type="noConversion"/>
  </si>
  <si>
    <t>합계</t>
    <phoneticPr fontId="3" type="noConversion"/>
  </si>
  <si>
    <t>평균</t>
    <phoneticPr fontId="3" type="noConversion"/>
  </si>
  <si>
    <t>(ex. 남자 1-5반, 여자 6-10반일 경우</t>
    <phoneticPr fontId="3" type="noConversion"/>
  </si>
  <si>
    <r>
      <t xml:space="preserve">      </t>
    </r>
    <r>
      <rPr>
        <b/>
        <sz val="11"/>
        <color rgb="FFFF0000"/>
        <rFont val="맑은 고딕"/>
        <family val="3"/>
        <charset val="129"/>
        <scheme val="minor"/>
      </rPr>
      <t>남자 : 5 / 여자 : 10</t>
    </r>
    <r>
      <rPr>
        <sz val="11"/>
        <color rgb="FFFF0000"/>
        <rFont val="맑은 고딕"/>
        <family val="3"/>
        <charset val="129"/>
        <scheme val="minor"/>
      </rPr>
      <t>으로 작성)</t>
    </r>
    <phoneticPr fontId="3" type="noConversion"/>
  </si>
  <si>
    <t xml:space="preserve">* 학교양식으로 시트 나누기 전 </t>
    <phoneticPr fontId="3" type="noConversion"/>
  </si>
  <si>
    <r>
      <t xml:space="preserve">  </t>
    </r>
    <r>
      <rPr>
        <b/>
        <sz val="11"/>
        <color rgb="FFFF0000"/>
        <rFont val="맑은 고딕"/>
        <family val="3"/>
        <charset val="129"/>
        <scheme val="minor"/>
      </rPr>
      <t xml:space="preserve">신규반번호순으로 정렬 </t>
    </r>
    <r>
      <rPr>
        <sz val="11"/>
        <color rgb="FFFF0000"/>
        <rFont val="맑은 고딕"/>
        <family val="3"/>
        <charset val="129"/>
        <scheme val="minor"/>
      </rPr>
      <t>필요</t>
    </r>
    <phoneticPr fontId="3" type="noConversion"/>
  </si>
  <si>
    <t>* 검수 후 신규반번호순 정렬</t>
    <phoneticPr fontId="3" type="noConversion"/>
  </si>
  <si>
    <t xml:space="preserve">   홈 - 정렬 및 필터 - 사용자지정 정렬 - 기준추가 - 확인 </t>
    <phoneticPr fontId="3" type="noConversion"/>
  </si>
  <si>
    <t>* 해당 시트 반번호 기준으로 학교에 보낼 OUTPUT파일 생성</t>
    <phoneticPr fontId="3" type="noConversion"/>
  </si>
  <si>
    <t xml:space="preserve">    ( 남녀 합반 : 전체 반, 분반 : 각 성별 마지막 반 입력 )</t>
    <phoneticPr fontId="3" type="noConversion"/>
  </si>
  <si>
    <t>* 각 성별 마지막 반 적어야 함</t>
    <phoneticPr fontId="3" type="noConversion"/>
  </si>
  <si>
    <r>
      <t xml:space="preserve"> - 검수 후 학교에서 요청한 번호부여순 </t>
    </r>
    <r>
      <rPr>
        <b/>
        <sz val="11"/>
        <color rgb="FFFF0000"/>
        <rFont val="맑은 고딕"/>
        <family val="3"/>
        <charset val="129"/>
        <scheme val="minor"/>
      </rPr>
      <t>정렬★</t>
    </r>
    <phoneticPr fontId="3" type="noConversion"/>
  </si>
  <si>
    <t>&lt; '임시반번호순' 시트에서 수기 작업 / 검수 &gt;</t>
    <phoneticPr fontId="3" type="noConversion"/>
  </si>
  <si>
    <t xml:space="preserve"> - '이름 일치'시트 노란색 음영에 반 입력★</t>
    <phoneticPr fontId="3" type="noConversion"/>
  </si>
  <si>
    <t xml:space="preserve"> - 비고 작성★ </t>
    <phoneticPr fontId="3" type="noConversion"/>
  </si>
  <si>
    <t xml:space="preserve"> - 저장 시 암호설정★</t>
    <phoneticPr fontId="3" type="noConversion"/>
  </si>
  <si>
    <t xml:space="preserve">   ( 로우데이터 시트가 추가로 생성됨 )</t>
    <phoneticPr fontId="3" type="noConversion"/>
  </si>
  <si>
    <t>①</t>
    <phoneticPr fontId="3" type="noConversion"/>
  </si>
  <si>
    <t>②</t>
    <phoneticPr fontId="3" type="noConversion"/>
  </si>
  <si>
    <t>③</t>
    <phoneticPr fontId="3" type="noConversion"/>
  </si>
  <si>
    <t>⑤</t>
    <phoneticPr fontId="3" type="noConversion"/>
  </si>
  <si>
    <t>⑥</t>
    <phoneticPr fontId="3" type="noConversion"/>
  </si>
  <si>
    <t>④</t>
    <phoneticPr fontId="3" type="noConversion"/>
  </si>
  <si>
    <t>원하는 형태 선택</t>
    <phoneticPr fontId="3" type="noConversion"/>
  </si>
  <si>
    <t>여자반-남자반 순서일 경우</t>
    <phoneticPr fontId="3" type="noConversion"/>
  </si>
  <si>
    <t>남자-여자 기준 작업 후 '임시반번호순' 시트에서 마지막으로 수정하세요</t>
    <phoneticPr fontId="3" type="noConversion"/>
  </si>
  <si>
    <t>사용 전
클릭!</t>
    <phoneticPr fontId="3" type="noConversion"/>
  </si>
  <si>
    <t xml:space="preserve"> 파일을 열고, 콘텐츠 사용을 클릭합니다.</t>
    <phoneticPr fontId="3" type="noConversion"/>
  </si>
  <si>
    <t xml:space="preserve"> - 결시생 포함 시 이름 일치 시트와 로우데이터 시트에 인적사항 추가 필요</t>
    <phoneticPr fontId="3" type="noConversion"/>
  </si>
  <si>
    <t>※ 종합지수P: 전체 집단을 100으로 보았을 때, 한 개인의 점수가 아래에서부터 몇 번째에 해당하는가를 나타내는 수치입니다. 예를 들어, 백분위 80은 전체를 100으로 보았을 때</t>
  </si>
  <si>
    <t xml:space="preserve"> - 반 인원 수, 분리배치 필요한 학생, 종합지수, 상담필요학생 등 요청사항에 따라 분배★</t>
  </si>
  <si>
    <t>잠재능력 B Type(인성) Raw Data 중 만성적 학업부진 컬럼 삭제</t>
    <phoneticPr fontId="3" type="noConversion"/>
  </si>
  <si>
    <t>임시반번호순 summary 부분 기존 15반에서 20반으로 수정</t>
    <phoneticPr fontId="3" type="noConversion"/>
  </si>
  <si>
    <t>교육청 NEIS 시트 추가(표시형식 텍스트)</t>
    <phoneticPr fontId="3" type="noConversion"/>
  </si>
  <si>
    <t>* 200922 수정사항</t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</si>
  <si>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C형(학습) 검사 해석 시 유의사항&gt;</t>
    </r>
    <phoneticPr fontId="3" type="noConversion"/>
  </si>
  <si>
    <t>자기주도 학습지수(LQ)는 학습자의 현재 주도학습 수준을 단일지표로 보여줍니다.</t>
    <phoneticPr fontId="3" type="noConversion"/>
  </si>
  <si>
    <t xml:space="preserve">자기주도 학습과 가장 관련성이 높은 요인인 성격 특성, 행동 특성, 학습 동기 세 가지 요인의 총점을 표준화시켜 합산하여 그 값의 평균을 100, 표준편차 15로 환산한 점수입니다. </t>
    <phoneticPr fontId="3" type="noConversion"/>
  </si>
  <si>
    <t xml:space="preserve"> </t>
    <phoneticPr fontId="3" type="noConversion"/>
  </si>
  <si>
    <t xml:space="preserve">※ 수준 </t>
  </si>
  <si>
    <r>
      <rPr>
        <b/>
        <sz val="11"/>
        <color theme="1"/>
        <rFont val="맑은 고딕"/>
        <family val="3"/>
        <charset val="129"/>
        <scheme val="minor"/>
      </rPr>
      <t>잠재능력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</si>
  <si>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잠재능력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</si>
  <si>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t>잠재능력</t>
    <phoneticPr fontId="3" type="noConversion"/>
  </si>
  <si>
    <t>성별</t>
    <phoneticPr fontId="3" type="noConversion"/>
  </si>
  <si>
    <t>담임선생님용 생기부 참고자료 상세형</t>
    <phoneticPr fontId="3" type="noConversion"/>
  </si>
  <si>
    <t>담임선생님용 생기부 참고자료 단축형</t>
    <phoneticPr fontId="3" type="noConversion"/>
  </si>
  <si>
    <t>언어 T점수</t>
    <phoneticPr fontId="3" type="noConversion"/>
  </si>
  <si>
    <t>언어 수준</t>
    <phoneticPr fontId="3" type="noConversion"/>
  </si>
  <si>
    <t>논리수학 T점수</t>
    <phoneticPr fontId="3" type="noConversion"/>
  </si>
  <si>
    <t>논리수학 수준</t>
    <phoneticPr fontId="3" type="noConversion"/>
  </si>
  <si>
    <t>공간 T점수</t>
    <phoneticPr fontId="3" type="noConversion"/>
  </si>
  <si>
    <t>공간 수준</t>
    <phoneticPr fontId="3" type="noConversion"/>
  </si>
  <si>
    <t>무응답</t>
    <phoneticPr fontId="3" type="noConversion"/>
  </si>
  <si>
    <t>무응답 해석</t>
    <phoneticPr fontId="3" type="noConversion"/>
  </si>
  <si>
    <t>응답성실도</t>
    <phoneticPr fontId="3" type="noConversion"/>
  </si>
  <si>
    <t>응답성실도 해석</t>
    <phoneticPr fontId="3" type="noConversion"/>
  </si>
  <si>
    <t>반응 왜곡 지수</t>
    <phoneticPr fontId="3" type="noConversion"/>
  </si>
  <si>
    <t>반응 왜곡 지수 해석</t>
    <phoneticPr fontId="3" type="noConversion"/>
  </si>
  <si>
    <t>우울 T점수</t>
    <phoneticPr fontId="3" type="noConversion"/>
  </si>
  <si>
    <t>우울 수준</t>
    <phoneticPr fontId="3" type="noConversion"/>
  </si>
  <si>
    <t>정서충격 T점수</t>
    <phoneticPr fontId="3" type="noConversion"/>
  </si>
  <si>
    <t>정서충격 수준</t>
    <phoneticPr fontId="3" type="noConversion"/>
  </si>
  <si>
    <t>특이성 T점수</t>
    <phoneticPr fontId="3" type="noConversion"/>
  </si>
  <si>
    <t>특이성 수준</t>
    <phoneticPr fontId="3" type="noConversion"/>
  </si>
  <si>
    <t>예민성 T점수</t>
    <phoneticPr fontId="3" type="noConversion"/>
  </si>
  <si>
    <t>예민성 수준</t>
    <phoneticPr fontId="3" type="noConversion"/>
  </si>
  <si>
    <t>부정적 대인정서 T점수</t>
    <phoneticPr fontId="3" type="noConversion"/>
  </si>
  <si>
    <t>부정적 대인정서 수준</t>
    <phoneticPr fontId="3" type="noConversion"/>
  </si>
  <si>
    <t>과잉행동 T점수</t>
    <phoneticPr fontId="3" type="noConversion"/>
  </si>
  <si>
    <t>과잉행동 수준</t>
    <phoneticPr fontId="3" type="noConversion"/>
  </si>
  <si>
    <t>언어 T점수</t>
  </si>
  <si>
    <t>논리수학 T점수</t>
  </si>
  <si>
    <t>공간 T점수</t>
  </si>
  <si>
    <t>응답성실도</t>
  </si>
  <si>
    <t>반응 왜곡 지수</t>
  </si>
  <si>
    <t>우울 수준</t>
  </si>
  <si>
    <t>정서충격 수준</t>
  </si>
  <si>
    <t>특이성 수준</t>
  </si>
  <si>
    <t>예민성 수준</t>
  </si>
  <si>
    <t>부정적 대인정서 수준</t>
  </si>
  <si>
    <t>과잉행동 수준</t>
  </si>
  <si>
    <t>총점</t>
    <phoneticPr fontId="3" type="noConversion"/>
  </si>
  <si>
    <t>우울 높음</t>
    <phoneticPr fontId="3" type="noConversion"/>
  </si>
  <si>
    <t>정서충격 높음</t>
    <phoneticPr fontId="3" type="noConversion"/>
  </si>
  <si>
    <t>특이성 높음</t>
    <phoneticPr fontId="3" type="noConversion"/>
  </si>
  <si>
    <t>예민성 높음</t>
    <phoneticPr fontId="3" type="noConversion"/>
  </si>
  <si>
    <t>부정적 대인정서 높음</t>
    <phoneticPr fontId="3" type="noConversion"/>
  </si>
  <si>
    <t>과잉행동 높음</t>
    <phoneticPr fontId="3" type="noConversion"/>
  </si>
  <si>
    <t>상담여부 학생</t>
  </si>
  <si>
    <t>* 우울~과잉행동 수준이 높은인 개수</t>
    <phoneticPr fontId="3" type="noConversion"/>
  </si>
  <si>
    <t>학년/반/번호</t>
  </si>
  <si>
    <t>성별 
(남=1,여=2)</t>
  </si>
  <si>
    <t>담임선생님용 생기부 참고자료 상세형</t>
  </si>
  <si>
    <t>담임선생님용 생기부 참고자료 단축형</t>
  </si>
  <si>
    <t>기초학습역량</t>
  </si>
  <si>
    <t>타당도 지표</t>
  </si>
  <si>
    <t>외향성</t>
  </si>
  <si>
    <t>정서적 민감성</t>
  </si>
  <si>
    <t>언어</t>
  </si>
  <si>
    <t>논리수학</t>
  </si>
  <si>
    <t>공간</t>
  </si>
  <si>
    <t>사회적 친밀성</t>
  </si>
  <si>
    <t>공동체 지향성</t>
  </si>
  <si>
    <t>우울</t>
  </si>
  <si>
    <t>부정적 
대인정서</t>
  </si>
  <si>
    <t>예민성</t>
  </si>
  <si>
    <t>과잉행동</t>
  </si>
  <si>
    <t>T점수</t>
  </si>
  <si>
    <t>수준</t>
  </si>
  <si>
    <t>점수</t>
  </si>
  <si>
    <t>해석</t>
  </si>
  <si>
    <t>장대중학교</t>
    <phoneticPr fontId="3" type="noConversion"/>
  </si>
  <si>
    <t>강성미</t>
  </si>
  <si>
    <t>잠재능력 진단검사(20240925) 결과, 강성미 학생은 기초학습역량에서 공간적인 상징체계를 익히고, 이를 통해 시각적 · 공간적인 창조물을 만들어 내거나 문제를 해결하는 능력이 보통 수준으로 관찰되었음. 또한 음운, 어문, 의미 등의 언어 상징 체계를 빠르게 익히고, 관련된 문제를 해결할 수 있으며, 상징체계를 창조할 수 있는 능력이 평균 수준으로 관찰되었음. 정서적 민감성에선 과잉행동 요인이 높은 수준으로 관찰되어, 학생의 특성에 따라 학업 및 진로 지도하였음.</t>
  </si>
  <si>
    <t>잠재능력 진단검사(20240925) 결과, 강성미 학생은 기초학습역량에서 시각적 · 공간적인 창조물을 만들어 내거나 문제를 해결하는 능력이 보통 수준으로 관찰되며, 정서적 민감성에선 과잉행동 요인이 높은 수준으로 관찰되어, 학생의 특성에 따라 학업 및 진로 지도하였음.</t>
  </si>
  <si>
    <t>부족</t>
  </si>
  <si>
    <t>낮음</t>
  </si>
  <si>
    <t>무응답 수가 5개 미만으로, 검사 결과 해석이 가능합니다.</t>
  </si>
  <si>
    <t>성실하게 응답하였습니다.</t>
  </si>
  <si>
    <t>자신의 부정적 특성을 부인하기 위해 반응을 왜곡하지 않았습니다.</t>
  </si>
  <si>
    <t>보통</t>
  </si>
  <si>
    <t>높음</t>
  </si>
  <si>
    <t>김민주</t>
  </si>
  <si>
    <t>잠재능력 진단검사(20240925) 결과, 김민주 학생은 기초학습역량에서 음운, 어문, 의미 등의 언어 상징 체계를 빠르게 익히고, 관련된 문제를 해결할 수 있으며, 상징체계를 창조할 수 있는 능력이 보통 수준으로 관찰되었음. 또한 추상적으로 구성된 체계에 대한 분류, 통합, 추론, 일반화 등을 통해 체계 속에서 규칙이나 법칙을 발견할 수 있는 능력이 보통 수준으로 관찰되었음, 정서적 민감성에선 우울, 부정적 대인정서, 특이성, 예민성, 과잉행동, 정서 충격 모두 바람직한 수준으로 나타나, 학생의 특성에 맞춰 학업 및 진로 지도하였음.</t>
  </si>
  <si>
    <t>잠재능력 진단검사(20240925) 결과, 김민주 학생은 기초학습역량에서 언어 상징 체계를 빠르게 익히고, 관련된 문제를 해결할 수 있는 능력이 보통 수준으로 관찰되며, 정서적 민감성에선 우울, 부정적 대인정서, 특이성, 예민성, 과잉행동, 정서 충격 모두 바람직한 수준으로 나타나, 학생의 특성에 맞춰 학업 및 진로 지도하였음.</t>
  </si>
  <si>
    <t>매우 낮음</t>
  </si>
  <si>
    <t>성실하게 응답하지 않았습니다.</t>
  </si>
  <si>
    <t>김민지</t>
  </si>
  <si>
    <t>잠재능력 진단검사(20240925) 결과, 김민지 학생은 기초학습역량에서 음운, 어문, 의미 등의 언어 상징 체계를 빠르게 익히고, 관련된 문제를 해결할 수 있으며, 상징체계를 창조할 수 있는 능력이 매우 우수한 수준으로 관찰되었음. 또한 공간적인 상징체계를 익히고, 이를 통해 시각적 · 공간적인 창조물을 만들어 내거나 문제를 해결하는 능력이 매우 우수한 수준으로 관찰되었음. 정서적 민감성에선 우울, 부정적 대인정서, 특이성, 예민성, 과잉행동, 정서 충격 요인이 높은 수준으로 관찰되어, 학생의 특성에 따라 학업 및 진로 지도하였음.</t>
  </si>
  <si>
    <t>잠재능력 진단검사(20240925) 결과, 김민지 학생은 기초학습역량에서 언어 상징 체계를 빠르게 익히고, 관련된 문제를 해결할 수 있는 능력이 매우 우수한 수준으로 관찰되며, 정서적 민감성에선 우울, 부정적 대인정서, 특이성, 예민성, 과잉행동, 정서 충격 요인이 높은 수준으로 관찰되어, 학생의 특성에 따라 학업 및 진로 지도하였음.</t>
  </si>
  <si>
    <t>최우수</t>
  </si>
  <si>
    <t>우수</t>
  </si>
  <si>
    <t>자신의 부정적 특성을 부인하기 위해 반응을 왜곡하였을 가능성이 있습니다.</t>
  </si>
  <si>
    <t>김혜원</t>
  </si>
  <si>
    <t>잠재능력 진단검사(20240925) 결과, 김혜원 학생은 기초학습역량에서 추상적으로 구성된 체계에 대한 분류, 통합, 추론, 일반화 등을 통해 체계 속에서 규칙이나 법칙을 발견할 수 있는 능력이 매우 우수한 수준으로 관찰되었음, 또한 음운, 어문, 의미 등의 언어 상징 체계를 빠르게 익히고, 관련된 문제를 해결할 수 있으며, 상징체계를 창조할 수 있는 능력이 매우 우수한 수준으로 관찰되었음. 정서적 민감성에선 우울, 부정적 대인정서, 특이성, 예민성, 과잉행동, 정서 충격 모두 바람직한 수준으로 나타나, 학생의 특성에 맞춰 학업 및 진로 지도하였음.</t>
  </si>
  <si>
    <t>잠재능력 진단검사(20240925) 결과, 김혜원 학생은 기초학습역량에서 분류, 통합, 추론, 일반화를 통해 규칙이나 법칙을 발견할 수 있는 능력이 매우 우수한 수준으로 관찰되었음, 정서적 민감성에선 우울, 부정적 대인정서, 특이성, 예민성, 과잉행동, 정서 충격 모두 바람직한 수준으로 나타나, 학생의 특성에 맞춰 학업 및 진로 지도하였음.</t>
  </si>
  <si>
    <t>노지원</t>
  </si>
  <si>
    <t>박혜빈</t>
  </si>
  <si>
    <t>성민주</t>
  </si>
  <si>
    <t>안혜영</t>
  </si>
  <si>
    <t>우지민</t>
  </si>
  <si>
    <t>이경아</t>
  </si>
  <si>
    <t>이단희</t>
  </si>
  <si>
    <t>이도연</t>
  </si>
  <si>
    <t>이수민</t>
  </si>
  <si>
    <t>이지향</t>
  </si>
  <si>
    <t>정지원</t>
  </si>
  <si>
    <t>김범준</t>
  </si>
  <si>
    <t>김동준</t>
  </si>
  <si>
    <t>김시몬</t>
  </si>
  <si>
    <t>박시영</t>
  </si>
  <si>
    <t>배준서</t>
  </si>
  <si>
    <t>백승현</t>
  </si>
  <si>
    <t>봉승민</t>
  </si>
  <si>
    <t>안재희</t>
  </si>
  <si>
    <t>윤현진</t>
  </si>
  <si>
    <t>이지학</t>
  </si>
  <si>
    <t>이훈희</t>
  </si>
  <si>
    <t>임도균</t>
  </si>
  <si>
    <t>최병주</t>
  </si>
  <si>
    <t>최현민</t>
  </si>
  <si>
    <t>권보예</t>
  </si>
  <si>
    <t>김민서</t>
  </si>
  <si>
    <t>김소희</t>
  </si>
  <si>
    <t>김예진</t>
  </si>
  <si>
    <t>김윤아</t>
  </si>
  <si>
    <t>박지우</t>
  </si>
  <si>
    <t>배수민</t>
  </si>
  <si>
    <t>원이빈</t>
  </si>
  <si>
    <t>이유진</t>
  </si>
  <si>
    <t>이은서</t>
  </si>
  <si>
    <t>이지윤</t>
  </si>
  <si>
    <t>임지유</t>
  </si>
  <si>
    <t>정지유</t>
  </si>
  <si>
    <t>조아름</t>
  </si>
  <si>
    <t>황시현</t>
  </si>
  <si>
    <t>강민우</t>
  </si>
  <si>
    <t>김도영</t>
  </si>
  <si>
    <t>김민규</t>
  </si>
  <si>
    <t>김환희</t>
  </si>
  <si>
    <t>목하균</t>
  </si>
  <si>
    <t>왕원호</t>
  </si>
  <si>
    <t>이건우</t>
  </si>
  <si>
    <t>이재욱</t>
  </si>
  <si>
    <t>이환</t>
  </si>
  <si>
    <t>임승민</t>
  </si>
  <si>
    <t>장재혁</t>
  </si>
  <si>
    <t>전민구</t>
  </si>
  <si>
    <t>조영광</t>
  </si>
  <si>
    <t>황현우</t>
  </si>
  <si>
    <t>권동근</t>
  </si>
  <si>
    <t>김시윤</t>
  </si>
  <si>
    <t>명지혜</t>
  </si>
  <si>
    <t>문정민</t>
  </si>
  <si>
    <t>박혜림</t>
  </si>
  <si>
    <t>박혜원</t>
  </si>
  <si>
    <t>서유림</t>
  </si>
  <si>
    <t>소유빈</t>
  </si>
  <si>
    <t>송정아</t>
  </si>
  <si>
    <t>이가은</t>
  </si>
  <si>
    <t>이새봄</t>
  </si>
  <si>
    <t>이지수</t>
  </si>
  <si>
    <t>정다영</t>
  </si>
  <si>
    <t>최윤정</t>
  </si>
  <si>
    <t>홍연주</t>
  </si>
  <si>
    <t>홍예림</t>
  </si>
  <si>
    <t>강민서</t>
  </si>
  <si>
    <t>고준서</t>
  </si>
  <si>
    <t>김민재</t>
  </si>
  <si>
    <t>김태윤</t>
  </si>
  <si>
    <t>박다옴</t>
  </si>
  <si>
    <t>박준수</t>
  </si>
  <si>
    <t>박지호</t>
  </si>
  <si>
    <t>방성재</t>
  </si>
  <si>
    <t>배준한</t>
  </si>
  <si>
    <t>신동민</t>
  </si>
  <si>
    <t>윤재원</t>
  </si>
  <si>
    <t>이서진</t>
  </si>
  <si>
    <t>임혜준</t>
  </si>
  <si>
    <t>정환희</t>
  </si>
  <si>
    <t>최형민</t>
  </si>
  <si>
    <t>김하진</t>
  </si>
  <si>
    <t>노은채</t>
  </si>
  <si>
    <t>박가은</t>
  </si>
  <si>
    <t>배서연</t>
  </si>
  <si>
    <t>백지우</t>
  </si>
  <si>
    <t>윤예영</t>
  </si>
  <si>
    <t>이다은</t>
  </si>
  <si>
    <t>이채영</t>
  </si>
  <si>
    <t>전혜리</t>
  </si>
  <si>
    <t>정유빈</t>
  </si>
  <si>
    <t>정윤아</t>
  </si>
  <si>
    <t>정채연</t>
  </si>
  <si>
    <t>최인서</t>
  </si>
  <si>
    <t>한주미</t>
  </si>
  <si>
    <t>김도연</t>
  </si>
  <si>
    <t>김동윤</t>
  </si>
  <si>
    <t>김호태</t>
  </si>
  <si>
    <t>노건우</t>
  </si>
  <si>
    <t>도현수</t>
  </si>
  <si>
    <t>박재우</t>
  </si>
  <si>
    <t>신재원</t>
  </si>
  <si>
    <t>윤기영</t>
  </si>
  <si>
    <t>이민성</t>
  </si>
  <si>
    <t>이민우</t>
  </si>
  <si>
    <t>이성원</t>
  </si>
  <si>
    <t>정이찬</t>
  </si>
  <si>
    <t>천예준</t>
  </si>
  <si>
    <t>홍지호</t>
  </si>
  <si>
    <t>강보경</t>
  </si>
  <si>
    <t>고근영</t>
  </si>
  <si>
    <t>국은지</t>
  </si>
  <si>
    <t>김서연</t>
  </si>
  <si>
    <t>김서윤</t>
  </si>
  <si>
    <t>김지호</t>
  </si>
  <si>
    <t>박세은</t>
  </si>
  <si>
    <t>박지인</t>
  </si>
  <si>
    <t>서경란</t>
  </si>
  <si>
    <t>송해린</t>
  </si>
  <si>
    <t>이가현</t>
  </si>
  <si>
    <t>이은교</t>
  </si>
  <si>
    <t>황현서</t>
  </si>
  <si>
    <t>강동기</t>
  </si>
  <si>
    <t>권원준</t>
  </si>
  <si>
    <t>김태산</t>
  </si>
  <si>
    <t>문찬호</t>
  </si>
  <si>
    <t>송지민</t>
  </si>
  <si>
    <t>신승환</t>
  </si>
  <si>
    <t>윤현빈</t>
  </si>
  <si>
    <t>이정하</t>
  </si>
  <si>
    <t>이준오</t>
  </si>
  <si>
    <t>임채민</t>
  </si>
  <si>
    <t>전원규</t>
  </si>
  <si>
    <t>정우진</t>
  </si>
  <si>
    <t>조성훈</t>
  </si>
  <si>
    <t>진현우</t>
  </si>
  <si>
    <t>한태훈</t>
  </si>
  <si>
    <t>이예원</t>
  </si>
  <si>
    <t>국경이</t>
  </si>
  <si>
    <t>김가은</t>
  </si>
  <si>
    <t>김아현</t>
  </si>
  <si>
    <t>김예은</t>
  </si>
  <si>
    <t>김하랑</t>
  </si>
  <si>
    <t>서효빈</t>
  </si>
  <si>
    <t>이수아</t>
  </si>
  <si>
    <t>임수미</t>
  </si>
  <si>
    <t>정채미</t>
  </si>
  <si>
    <t>정희진</t>
  </si>
  <si>
    <t>현시영</t>
  </si>
  <si>
    <t>황한별</t>
  </si>
  <si>
    <t>김완</t>
  </si>
  <si>
    <t>남병현</t>
  </si>
  <si>
    <t>문승두</t>
  </si>
  <si>
    <t>박지유</t>
  </si>
  <si>
    <t>손성현</t>
  </si>
  <si>
    <t>유연태</t>
  </si>
  <si>
    <t>은세원</t>
  </si>
  <si>
    <t>이동주</t>
  </si>
  <si>
    <t>이승현</t>
  </si>
  <si>
    <t>이준수</t>
  </si>
  <si>
    <t>인예관</t>
  </si>
  <si>
    <t>임현서</t>
  </si>
  <si>
    <t>전희재</t>
  </si>
  <si>
    <t>정가람</t>
  </si>
  <si>
    <t>최서현</t>
  </si>
  <si>
    <t>김가영</t>
  </si>
  <si>
    <t>김가윤</t>
  </si>
  <si>
    <t>문서희</t>
  </si>
  <si>
    <t>안슬기</t>
  </si>
  <si>
    <t>오나경</t>
  </si>
  <si>
    <t>오채린</t>
  </si>
  <si>
    <t>이서현</t>
  </si>
  <si>
    <t>이준경</t>
  </si>
  <si>
    <t>전혜민</t>
  </si>
  <si>
    <t>정주은</t>
  </si>
  <si>
    <t>조하은</t>
  </si>
  <si>
    <t>최은주</t>
  </si>
  <si>
    <t>최인영</t>
  </si>
  <si>
    <t>한서연</t>
  </si>
  <si>
    <t>김덕일</t>
  </si>
  <si>
    <t>김재석</t>
  </si>
  <si>
    <t>김태규</t>
  </si>
  <si>
    <t>김태양</t>
  </si>
  <si>
    <t>도현준</t>
  </si>
  <si>
    <t>박건희</t>
  </si>
  <si>
    <t>박도현</t>
  </si>
  <si>
    <t>송현우</t>
  </si>
  <si>
    <t>윤선호</t>
  </si>
  <si>
    <t>이다한</t>
  </si>
  <si>
    <t>이병조</t>
  </si>
  <si>
    <t>정건우</t>
  </si>
  <si>
    <t>정휘우</t>
  </si>
  <si>
    <t>주건우</t>
  </si>
  <si>
    <t>홍준기</t>
  </si>
  <si>
    <t>김재헌</t>
  </si>
  <si>
    <t>김경민</t>
  </si>
  <si>
    <t>김보라</t>
  </si>
  <si>
    <t>김서현</t>
  </si>
  <si>
    <t>김여진</t>
  </si>
  <si>
    <t>김예빈</t>
  </si>
  <si>
    <t>김하늘</t>
  </si>
  <si>
    <t>류다현</t>
  </si>
  <si>
    <t>백지혜</t>
  </si>
  <si>
    <t>설이담</t>
  </si>
  <si>
    <t>송민아</t>
  </si>
  <si>
    <t>염원</t>
  </si>
  <si>
    <t>정아영</t>
  </si>
  <si>
    <t>정예빈</t>
  </si>
  <si>
    <t>진혜주</t>
  </si>
  <si>
    <t>김정원</t>
  </si>
  <si>
    <t>김태연</t>
  </si>
  <si>
    <t>두서율</t>
  </si>
  <si>
    <t>류재환</t>
  </si>
  <si>
    <t>설예환</t>
  </si>
  <si>
    <t>신인철</t>
  </si>
  <si>
    <t>오현빈</t>
  </si>
  <si>
    <t>이동건</t>
  </si>
  <si>
    <t>이연빈</t>
  </si>
  <si>
    <t>이현빈</t>
  </si>
  <si>
    <t>이현준</t>
  </si>
  <si>
    <t>전우현</t>
  </si>
  <si>
    <t>정문경</t>
  </si>
  <si>
    <t>구나경</t>
  </si>
  <si>
    <t>기현희</t>
  </si>
  <si>
    <t>김정서</t>
  </si>
  <si>
    <t>김해원</t>
  </si>
  <si>
    <t>김현수</t>
  </si>
  <si>
    <t>우지수</t>
  </si>
  <si>
    <t>이아현</t>
  </si>
  <si>
    <t>이윤희</t>
  </si>
  <si>
    <t>장혜리</t>
  </si>
  <si>
    <t>정선영</t>
  </si>
  <si>
    <t>정재희</t>
  </si>
  <si>
    <t>최고은</t>
  </si>
  <si>
    <t>최서영</t>
  </si>
  <si>
    <t>하수빈</t>
  </si>
  <si>
    <t>황보</t>
  </si>
  <si>
    <t>고건중</t>
  </si>
  <si>
    <t>김시혁</t>
  </si>
  <si>
    <t>박건</t>
  </si>
  <si>
    <t>박민규</t>
  </si>
  <si>
    <t>박정서</t>
  </si>
  <si>
    <t>변아성</t>
  </si>
  <si>
    <t>변영준</t>
  </si>
  <si>
    <t>봉승준</t>
  </si>
  <si>
    <t>유준수</t>
  </si>
  <si>
    <t>유창현</t>
  </si>
  <si>
    <t>윤하셉</t>
  </si>
  <si>
    <t>이인용</t>
  </si>
  <si>
    <t>정진욱</t>
  </si>
  <si>
    <t>서정민</t>
  </si>
  <si>
    <t>권은선</t>
  </si>
  <si>
    <t>김나현</t>
  </si>
  <si>
    <t>김도경</t>
  </si>
  <si>
    <t>김예나</t>
  </si>
  <si>
    <t>김채령</t>
  </si>
  <si>
    <t>문지유</t>
  </si>
  <si>
    <t>박소윤</t>
  </si>
  <si>
    <t>이새안</t>
  </si>
  <si>
    <t>이은임</t>
  </si>
  <si>
    <t>정진이</t>
  </si>
  <si>
    <t>조수빈</t>
  </si>
  <si>
    <t>호유진</t>
  </si>
  <si>
    <t>강선우</t>
  </si>
  <si>
    <t>강현우</t>
  </si>
  <si>
    <t>고욱진</t>
  </si>
  <si>
    <t>김윤규</t>
  </si>
  <si>
    <t>김지원</t>
  </si>
  <si>
    <t>박찬혁</t>
  </si>
  <si>
    <t>송민욱</t>
  </si>
  <si>
    <t>이승준</t>
  </si>
  <si>
    <t>이연호</t>
  </si>
  <si>
    <t>이재석</t>
  </si>
  <si>
    <t>정기혁</t>
  </si>
  <si>
    <t>조승빈</t>
  </si>
  <si>
    <t>차승인</t>
  </si>
  <si>
    <t>편중운</t>
  </si>
  <si>
    <t>하승민</t>
  </si>
  <si>
    <t>학년</t>
  </si>
  <si>
    <t>임시반</t>
  </si>
  <si>
    <t>임시번호</t>
  </si>
  <si>
    <t>특이사항</t>
  </si>
  <si>
    <t>여</t>
  </si>
  <si>
    <t>특수(1학년6반 또는 1학년 7반 배정)
10820 유진석(특수)과 다른반으로 배정</t>
  </si>
  <si>
    <t>10421 최서연과 동명이인(다른 반 배정)</t>
  </si>
  <si>
    <t>10608 김민경과 동명이인(다른 반 배정)</t>
  </si>
  <si>
    <t>10110 김은희와 쌍생아(상관없음)</t>
  </si>
  <si>
    <t>10109 김은정과 쌍생아(상관없음)</t>
  </si>
  <si>
    <t>독감으로 진단검사 미응시</t>
  </si>
  <si>
    <t>입학배정포기원 제출(반 배정 금지)</t>
  </si>
  <si>
    <t>남</t>
  </si>
  <si>
    <t>10512 김서율과 동명이인(다른 반 배정)</t>
  </si>
  <si>
    <t>10409 이정훈과 쌍생아(반 배정 상관없음)</t>
  </si>
  <si>
    <t>10502 김지연과 다른 반 배정</t>
  </si>
  <si>
    <t>10309 홍남경과 쌍생아(반 배정 상관없음)</t>
  </si>
  <si>
    <t>10707 박소윤과 동명이인(다른 반 배정)</t>
  </si>
  <si>
    <t>10224 홍남길과 쌍생아(반 배정 상관없음)</t>
  </si>
  <si>
    <t>10206 이현준과 쌍생아(반 배정 상관없음)</t>
  </si>
  <si>
    <t>독감으로 진단검사 미응시
10106 최서연과 동명이인(다른 반 배정)
10427 김다연과 다른 반 배정</t>
  </si>
  <si>
    <t>반 배정(추후 정원외 학적관리 예정)</t>
  </si>
  <si>
    <t>10421 최서연과 다른 반 배정</t>
  </si>
  <si>
    <t>10612 김연서와 동명이인(다른 반 배정)</t>
  </si>
  <si>
    <t>병원진료로 진단검사 미응시</t>
  </si>
  <si>
    <t>독감으로 진단검사 미응시
10209 김사랑과 다른 반 배정</t>
  </si>
  <si>
    <t>10508 황지우와 쌍생아(같은 반 배정)</t>
  </si>
  <si>
    <t>10507 황서우와 쌍생아(같은 반 배정)</t>
  </si>
  <si>
    <t>10125 김서율과 동명이인(다른 반 배정)</t>
  </si>
  <si>
    <t>10108 김민경과 동명이인(다른 반 배정)
10621 우태경과 다른 반 배정
(반 거리도 가장 멀리)</t>
  </si>
  <si>
    <t>10428 김연서와 동명이인(다른 반 배정)</t>
  </si>
  <si>
    <t>10608 김민경과 다른 반 배정
(반 거리도 가장 멀리)</t>
  </si>
  <si>
    <t>입학포기배정원 제출(반 배정 금지)</t>
  </si>
  <si>
    <t>입학포기배정원 제출( 반 배정 금지)</t>
  </si>
  <si>
    <t>10302 박소윤과 동명이인(다른 반 배정)</t>
  </si>
  <si>
    <t>10803 장원우와 쌍생아(다른 반 배정)</t>
  </si>
  <si>
    <t>여행으로 진단검사 미응시</t>
  </si>
  <si>
    <t>10805 정인과 다른 반 배정
 (반 거리도 가장 멀리)</t>
  </si>
  <si>
    <t>10716 장원준과 쌍생아(다른 반 배정)</t>
  </si>
  <si>
    <t>10722 고한별과 다른 반 배정
(반 거리도 가장 멀리)</t>
  </si>
  <si>
    <t>특수(1학년6반 또는 1학년 7반 배정)
10101 구명주(특수)와 다른반으로 배정</t>
  </si>
  <si>
    <t>동명</t>
  </si>
  <si>
    <t>장대중학교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</si>
</sst>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3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/>
      <name val="맑은 고딕"/>
      <family val="2"/>
      <charset val="129"/>
      <scheme val="minor"/>
    </font>
    <font>
      <sz val="11"/>
      <color theme="4"/>
      <name val="맑은 고딕"/>
      <family val="3"/>
      <charset val="129"/>
      <scheme val="minor"/>
    </font>
    <font>
      <sz val="11"/>
      <color theme="9"/>
      <name val="맑은 고딕"/>
      <family val="2"/>
      <charset val="129"/>
      <scheme val="minor"/>
    </font>
    <font>
      <sz val="11"/>
      <color theme="9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</fonts>
  <fills count="5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indexed="10"/>
        <bgColor auto="1"/>
      </patternFill>
    </fill>
  </fills>
  <borders count="5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</borders>
  <cellStyleXfs count="47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8" applyNumberFormat="0" applyAlignment="0" applyProtection="0">
      <alignment vertical="center"/>
    </xf>
    <xf numFmtId="0" fontId="17" fillId="8" borderId="9" applyNumberFormat="0" applyAlignment="0" applyProtection="0">
      <alignment vertical="center"/>
    </xf>
    <xf numFmtId="0" fontId="18" fillId="8" borderId="8" applyNumberFormat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9" borderId="1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10" borderId="12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3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1" fillId="0" borderId="0">
      <alignment vertical="center"/>
    </xf>
    <xf numFmtId="0" fontId="39" fillId="0" borderId="0">
      <alignment vertical="center"/>
    </xf>
    <xf numFmtId="0" fontId="42" fillId="0" borderId="0" applyNumberFormat="0" applyFill="0" applyBorder="0" applyProtection="0">
      <alignment vertical="center"/>
    </xf>
  </cellStyleXfs>
  <cellXfs count="20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>
      <alignment vertical="center"/>
    </xf>
    <xf numFmtId="0" fontId="0" fillId="3" borderId="2" xfId="0" applyFill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0" fontId="0" fillId="35" borderId="3" xfId="0" applyFill="1" applyBorder="1">
      <alignment vertical="center"/>
    </xf>
    <xf numFmtId="0" fontId="0" fillId="38" borderId="2" xfId="0" applyFill="1" applyBorder="1" applyAlignment="1">
      <alignment vertical="center" wrapText="1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5" fillId="0" borderId="2" xfId="0" applyFont="1" applyBorder="1" applyAlignment="1">
      <alignment vertical="center" wrapText="1"/>
    </xf>
    <xf numFmtId="0" fontId="25" fillId="0" borderId="3" xfId="0" applyFont="1" applyBorder="1">
      <alignment vertical="center"/>
    </xf>
    <xf numFmtId="0" fontId="25" fillId="0" borderId="4" xfId="0" applyFont="1" applyBorder="1" applyAlignment="1">
      <alignment vertical="center" wrapText="1"/>
    </xf>
    <xf numFmtId="0" fontId="25" fillId="0" borderId="0" xfId="0" applyFont="1">
      <alignment vertical="center"/>
    </xf>
    <xf numFmtId="0" fontId="0" fillId="38" borderId="2" xfId="0" applyFill="1" applyBorder="1">
      <alignment vertical="center"/>
    </xf>
    <xf numFmtId="0" fontId="0" fillId="3" borderId="2" xfId="0" applyFill="1" applyBorder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76" fontId="25" fillId="0" borderId="0" xfId="0" applyNumberFormat="1" applyFont="1">
      <alignment vertical="center"/>
    </xf>
    <xf numFmtId="0" fontId="25" fillId="0" borderId="2" xfId="0" applyFont="1" applyBorder="1">
      <alignment vertical="center"/>
    </xf>
    <xf numFmtId="0" fontId="25" fillId="38" borderId="2" xfId="0" applyFont="1" applyFill="1" applyBorder="1" applyAlignment="1">
      <alignment vertical="center" wrapText="1"/>
    </xf>
    <xf numFmtId="0" fontId="25" fillId="39" borderId="2" xfId="0" applyFont="1" applyFill="1" applyBorder="1" applyAlignment="1">
      <alignment vertical="center" wrapText="1"/>
    </xf>
    <xf numFmtId="0" fontId="25" fillId="3" borderId="2" xfId="0" applyFont="1" applyFill="1" applyBorder="1" applyAlignment="1">
      <alignment vertical="center" wrapText="1"/>
    </xf>
    <xf numFmtId="0" fontId="25" fillId="3" borderId="1" xfId="0" applyFont="1" applyFill="1" applyBorder="1" applyAlignment="1">
      <alignment vertical="center" wrapText="1"/>
    </xf>
    <xf numFmtId="0" fontId="25" fillId="35" borderId="3" xfId="0" applyFont="1" applyFill="1" applyBorder="1">
      <alignment vertical="center"/>
    </xf>
    <xf numFmtId="0" fontId="0" fillId="0" borderId="0" xfId="0" quotePrefix="1">
      <alignment vertical="center"/>
    </xf>
    <xf numFmtId="0" fontId="21" fillId="0" borderId="0" xfId="0" applyFont="1">
      <alignment vertical="center"/>
    </xf>
    <xf numFmtId="0" fontId="27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quotePrefix="1" applyBorder="1" applyAlignment="1">
      <alignment horizontal="left" vertical="center"/>
    </xf>
    <xf numFmtId="0" fontId="0" fillId="0" borderId="21" xfId="0" applyBorder="1">
      <alignment vertical="center"/>
    </xf>
    <xf numFmtId="0" fontId="21" fillId="0" borderId="20" xfId="0" applyFont="1" applyBorder="1">
      <alignment vertical="center"/>
    </xf>
    <xf numFmtId="0" fontId="0" fillId="0" borderId="14" xfId="0" quotePrefix="1" applyBorder="1" applyAlignment="1">
      <alignment horizontal="left" vertical="center"/>
    </xf>
    <xf numFmtId="0" fontId="0" fillId="0" borderId="14" xfId="0" quotePrefix="1" applyBorder="1">
      <alignment vertical="center"/>
    </xf>
    <xf numFmtId="0" fontId="29" fillId="0" borderId="20" xfId="0" applyFont="1" applyBorder="1">
      <alignment vertical="center"/>
    </xf>
    <xf numFmtId="0" fontId="0" fillId="0" borderId="20" xfId="0" quotePrefix="1" applyBorder="1">
      <alignment vertical="center"/>
    </xf>
    <xf numFmtId="0" fontId="0" fillId="0" borderId="17" xfId="0" quotePrefix="1" applyBorder="1">
      <alignment vertical="center"/>
    </xf>
    <xf numFmtId="0" fontId="29" fillId="0" borderId="0" xfId="0" applyFont="1">
      <alignment vertical="center"/>
    </xf>
    <xf numFmtId="0" fontId="0" fillId="0" borderId="22" xfId="0" applyBorder="1" applyAlignment="1">
      <alignment vertical="center" wrapText="1"/>
    </xf>
    <xf numFmtId="0" fontId="21" fillId="0" borderId="18" xfId="0" quotePrefix="1" applyFont="1" applyBorder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justify" vertical="center"/>
    </xf>
    <xf numFmtId="0" fontId="32" fillId="0" borderId="20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21" xfId="0" applyFont="1" applyBorder="1" applyAlignment="1">
      <alignment horizontal="left" vertical="center"/>
    </xf>
    <xf numFmtId="0" fontId="32" fillId="0" borderId="17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1" fillId="0" borderId="19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21" xfId="0" applyFont="1" applyBorder="1" applyAlignment="1">
      <alignment horizontal="left" vertical="center"/>
    </xf>
    <xf numFmtId="0" fontId="32" fillId="0" borderId="20" xfId="0" applyFont="1" applyBorder="1">
      <alignment vertical="center"/>
    </xf>
    <xf numFmtId="0" fontId="32" fillId="0" borderId="0" xfId="0" applyFont="1">
      <alignment vertical="center"/>
    </xf>
    <xf numFmtId="0" fontId="31" fillId="0" borderId="20" xfId="0" applyFont="1" applyBorder="1">
      <alignment vertical="center"/>
    </xf>
    <xf numFmtId="0" fontId="30" fillId="0" borderId="0" xfId="0" applyFont="1">
      <alignment vertical="center"/>
    </xf>
    <xf numFmtId="0" fontId="34" fillId="2" borderId="3" xfId="0" applyFont="1" applyFill="1" applyBorder="1">
      <alignment vertical="center"/>
    </xf>
    <xf numFmtId="0" fontId="29" fillId="0" borderId="17" xfId="0" applyFont="1" applyBorder="1">
      <alignment vertical="center"/>
    </xf>
    <xf numFmtId="0" fontId="21" fillId="0" borderId="17" xfId="0" applyFont="1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44" borderId="32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25" fillId="46" borderId="23" xfId="0" applyFont="1" applyFill="1" applyBorder="1">
      <alignment vertical="center"/>
    </xf>
    <xf numFmtId="0" fontId="25" fillId="46" borderId="0" xfId="0" applyFont="1" applyFill="1">
      <alignment vertical="center"/>
    </xf>
    <xf numFmtId="0" fontId="25" fillId="46" borderId="24" xfId="0" applyFont="1" applyFill="1" applyBorder="1">
      <alignment vertical="center"/>
    </xf>
    <xf numFmtId="0" fontId="25" fillId="46" borderId="25" xfId="0" applyFont="1" applyFill="1" applyBorder="1">
      <alignment vertical="center"/>
    </xf>
    <xf numFmtId="0" fontId="25" fillId="45" borderId="31" xfId="0" applyFont="1" applyFill="1" applyBorder="1" applyAlignment="1">
      <alignment horizontal="center" vertical="center"/>
    </xf>
    <xf numFmtId="176" fontId="25" fillId="47" borderId="31" xfId="0" applyNumberFormat="1" applyFont="1" applyFill="1" applyBorder="1">
      <alignment vertical="center"/>
    </xf>
    <xf numFmtId="0" fontId="35" fillId="0" borderId="0" xfId="0" applyFont="1">
      <alignment vertical="center"/>
    </xf>
    <xf numFmtId="0" fontId="30" fillId="0" borderId="14" xfId="0" applyFont="1" applyBorder="1">
      <alignment vertical="center"/>
    </xf>
    <xf numFmtId="0" fontId="0" fillId="0" borderId="0" xfId="0" applyAlignment="1">
      <alignment horizontal="right" vertical="center"/>
    </xf>
    <xf numFmtId="0" fontId="34" fillId="0" borderId="0" xfId="0" applyFont="1">
      <alignment vertical="center"/>
    </xf>
    <xf numFmtId="0" fontId="38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0" fillId="0" borderId="34" xfId="0" applyBorder="1">
      <alignment vertical="center"/>
    </xf>
    <xf numFmtId="0" fontId="25" fillId="45" borderId="35" xfId="0" applyFont="1" applyFill="1" applyBorder="1" applyAlignment="1">
      <alignment horizontal="center" vertical="center"/>
    </xf>
    <xf numFmtId="0" fontId="25" fillId="47" borderId="35" xfId="0" applyFont="1" applyFill="1" applyBorder="1">
      <alignment vertical="center"/>
    </xf>
    <xf numFmtId="0" fontId="31" fillId="0" borderId="0" xfId="0" applyFont="1" applyAlignment="1">
      <alignment vertical="center" wrapText="1"/>
    </xf>
    <xf numFmtId="0" fontId="31" fillId="0" borderId="21" xfId="0" applyFont="1" applyBorder="1">
      <alignment vertical="center"/>
    </xf>
    <xf numFmtId="0" fontId="31" fillId="0" borderId="20" xfId="0" applyFont="1" applyBorder="1" applyAlignment="1">
      <alignment vertical="center" wrapText="1"/>
    </xf>
    <xf numFmtId="0" fontId="31" fillId="0" borderId="21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1" fillId="0" borderId="18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0" fillId="0" borderId="36" xfId="0" applyBorder="1" applyAlignment="1">
      <alignment vertical="center" wrapText="1"/>
    </xf>
    <xf numFmtId="0" fontId="25" fillId="0" borderId="36" xfId="0" applyFont="1" applyBorder="1">
      <alignment vertical="center"/>
    </xf>
    <xf numFmtId="0" fontId="0" fillId="48" borderId="0" xfId="0" applyFill="1">
      <alignment vertical="center"/>
    </xf>
    <xf numFmtId="0" fontId="25" fillId="48" borderId="0" xfId="0" applyFont="1" applyFill="1" applyAlignment="1">
      <alignment vertical="center" wrapText="1"/>
    </xf>
    <xf numFmtId="0" fontId="25" fillId="48" borderId="0" xfId="0" applyFont="1" applyFill="1">
      <alignment vertical="center"/>
    </xf>
    <xf numFmtId="0" fontId="0" fillId="0" borderId="37" xfId="0" applyBorder="1" applyAlignment="1">
      <alignment vertical="center" wrapText="1"/>
    </xf>
    <xf numFmtId="0" fontId="25" fillId="0" borderId="3" xfId="0" applyFont="1" applyBorder="1" applyAlignment="1">
      <alignment vertical="center" wrapText="1"/>
    </xf>
    <xf numFmtId="0" fontId="38" fillId="0" borderId="3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25" fillId="3" borderId="38" xfId="0" applyFont="1" applyFill="1" applyBorder="1" applyAlignment="1">
      <alignment vertical="center" wrapText="1"/>
    </xf>
    <xf numFmtId="0" fontId="0" fillId="3" borderId="4" xfId="0" applyFill="1" applyBorder="1" applyAlignment="1">
      <alignment vertical="center" wrapText="1"/>
    </xf>
    <xf numFmtId="0" fontId="25" fillId="3" borderId="4" xfId="0" applyFont="1" applyFill="1" applyBorder="1" applyAlignment="1">
      <alignment vertical="center" wrapText="1"/>
    </xf>
    <xf numFmtId="0" fontId="0" fillId="3" borderId="4" xfId="0" applyFill="1" applyBorder="1">
      <alignment vertical="center"/>
    </xf>
    <xf numFmtId="0" fontId="0" fillId="39" borderId="3" xfId="0" applyFill="1" applyBorder="1" applyAlignment="1">
      <alignment vertical="center" wrapText="1"/>
    </xf>
    <xf numFmtId="0" fontId="0" fillId="44" borderId="39" xfId="0" applyFill="1" applyBorder="1" applyAlignment="1">
      <alignment horizontal="center" vertical="center"/>
    </xf>
    <xf numFmtId="0" fontId="25" fillId="47" borderId="44" xfId="0" applyFont="1" applyFill="1" applyBorder="1">
      <alignment vertical="center"/>
    </xf>
    <xf numFmtId="0" fontId="25" fillId="47" borderId="45" xfId="0" applyFont="1" applyFill="1" applyBorder="1">
      <alignment vertical="center"/>
    </xf>
    <xf numFmtId="0" fontId="25" fillId="47" borderId="31" xfId="0" applyFont="1" applyFill="1" applyBorder="1">
      <alignment vertical="center"/>
    </xf>
    <xf numFmtId="0" fontId="25" fillId="47" borderId="46" xfId="0" applyFont="1" applyFill="1" applyBorder="1">
      <alignment vertical="center"/>
    </xf>
    <xf numFmtId="0" fontId="34" fillId="0" borderId="29" xfId="0" applyFont="1" applyBorder="1">
      <alignment vertical="center"/>
    </xf>
    <xf numFmtId="1" fontId="34" fillId="0" borderId="29" xfId="0" applyNumberFormat="1" applyFont="1" applyBorder="1">
      <alignment vertical="center"/>
    </xf>
    <xf numFmtId="176" fontId="34" fillId="0" borderId="29" xfId="0" applyNumberFormat="1" applyFont="1" applyBorder="1">
      <alignment vertical="center"/>
    </xf>
    <xf numFmtId="0" fontId="34" fillId="0" borderId="40" xfId="0" applyFont="1" applyBorder="1">
      <alignment vertical="center"/>
    </xf>
    <xf numFmtId="0" fontId="34" fillId="0" borderId="41" xfId="0" applyFont="1" applyBorder="1">
      <alignment vertical="center"/>
    </xf>
    <xf numFmtId="0" fontId="34" fillId="0" borderId="27" xfId="0" applyFont="1" applyBorder="1">
      <alignment vertical="center"/>
    </xf>
    <xf numFmtId="1" fontId="34" fillId="0" borderId="27" xfId="0" applyNumberFormat="1" applyFont="1" applyBorder="1">
      <alignment vertical="center"/>
    </xf>
    <xf numFmtId="176" fontId="34" fillId="0" borderId="27" xfId="0" applyNumberFormat="1" applyFont="1" applyBorder="1">
      <alignment vertical="center"/>
    </xf>
    <xf numFmtId="0" fontId="34" fillId="0" borderId="42" xfId="0" applyFont="1" applyBorder="1">
      <alignment vertical="center"/>
    </xf>
    <xf numFmtId="0" fontId="34" fillId="0" borderId="34" xfId="0" applyFont="1" applyBorder="1">
      <alignment vertical="center"/>
    </xf>
    <xf numFmtId="1" fontId="34" fillId="0" borderId="34" xfId="0" applyNumberFormat="1" applyFont="1" applyBorder="1">
      <alignment vertical="center"/>
    </xf>
    <xf numFmtId="176" fontId="34" fillId="0" borderId="34" xfId="0" applyNumberFormat="1" applyFont="1" applyBorder="1">
      <alignment vertical="center"/>
    </xf>
    <xf numFmtId="0" fontId="34" fillId="0" borderId="43" xfId="0" applyFont="1" applyBorder="1">
      <alignment vertical="center"/>
    </xf>
    <xf numFmtId="0" fontId="31" fillId="0" borderId="20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21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31" fillId="0" borderId="20" xfId="0" applyFont="1" applyBorder="1" applyAlignment="1">
      <alignment horizontal="left" vertical="center" wrapText="1"/>
    </xf>
    <xf numFmtId="0" fontId="32" fillId="0" borderId="20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21" xfId="0" applyFont="1" applyBorder="1" applyAlignment="1">
      <alignment horizontal="left" vertical="center"/>
    </xf>
    <xf numFmtId="0" fontId="33" fillId="0" borderId="14" xfId="0" applyFont="1" applyBorder="1" applyAlignment="1">
      <alignment horizontal="left" vertical="center"/>
    </xf>
    <xf numFmtId="0" fontId="33" fillId="0" borderId="15" xfId="0" applyFont="1" applyBorder="1" applyAlignment="1">
      <alignment horizontal="left" vertical="center"/>
    </xf>
    <xf numFmtId="0" fontId="33" fillId="0" borderId="16" xfId="0" applyFont="1" applyBorder="1" applyAlignment="1">
      <alignment horizontal="left" vertical="center"/>
    </xf>
    <xf numFmtId="0" fontId="31" fillId="0" borderId="17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24" fillId="41" borderId="20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41" borderId="17" xfId="0" applyFont="1" applyFill="1" applyBorder="1" applyAlignment="1">
      <alignment horizontal="center" vertical="center"/>
    </xf>
    <xf numFmtId="0" fontId="24" fillId="41" borderId="18" xfId="0" applyFont="1" applyFill="1" applyBorder="1" applyAlignment="1">
      <alignment horizontal="center" vertical="center"/>
    </xf>
    <xf numFmtId="0" fontId="28" fillId="40" borderId="14" xfId="0" applyFont="1" applyFill="1" applyBorder="1" applyAlignment="1">
      <alignment horizontal="center" vertical="center"/>
    </xf>
    <xf numFmtId="0" fontId="28" fillId="40" borderId="16" xfId="0" applyFont="1" applyFill="1" applyBorder="1" applyAlignment="1">
      <alignment horizontal="center" vertical="center"/>
    </xf>
    <xf numFmtId="0" fontId="28" fillId="40" borderId="20" xfId="0" applyFont="1" applyFill="1" applyBorder="1" applyAlignment="1">
      <alignment horizontal="center" vertical="center"/>
    </xf>
    <xf numFmtId="0" fontId="28" fillId="40" borderId="21" xfId="0" applyFont="1" applyFill="1" applyBorder="1" applyAlignment="1">
      <alignment horizontal="center" vertical="center"/>
    </xf>
    <xf numFmtId="0" fontId="28" fillId="40" borderId="17" xfId="0" applyFont="1" applyFill="1" applyBorder="1" applyAlignment="1">
      <alignment horizontal="center" vertical="center"/>
    </xf>
    <xf numFmtId="0" fontId="28" fillId="40" borderId="19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30" fillId="48" borderId="3" xfId="0" applyFont="1" applyFill="1" applyBorder="1" applyAlignment="1">
      <alignment horizontal="center" vertical="center" wrapText="1"/>
    </xf>
    <xf numFmtId="0" fontId="30" fillId="48" borderId="3" xfId="0" applyFont="1" applyFill="1" applyBorder="1" applyAlignment="1">
      <alignment horizontal="center" vertical="center"/>
    </xf>
    <xf numFmtId="0" fontId="38" fillId="48" borderId="3" xfId="0" applyFont="1" applyFill="1" applyBorder="1" applyAlignment="1">
      <alignment horizontal="left" vertical="center"/>
    </xf>
    <xf numFmtId="0" fontId="0" fillId="37" borderId="14" xfId="0" applyFill="1" applyBorder="1" applyAlignment="1">
      <alignment horizontal="center" vertical="center"/>
    </xf>
    <xf numFmtId="0" fontId="0" fillId="37" borderId="15" xfId="0" applyFill="1" applyBorder="1" applyAlignment="1">
      <alignment horizontal="center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42" borderId="14" xfId="0" applyFill="1" applyBorder="1" applyAlignment="1">
      <alignment horizontal="center" vertical="center"/>
    </xf>
    <xf numFmtId="0" fontId="0" fillId="42" borderId="15" xfId="0" applyFill="1" applyBorder="1" applyAlignment="1">
      <alignment horizontal="center" vertical="center"/>
    </xf>
    <xf numFmtId="0" fontId="0" fillId="42" borderId="17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36" borderId="20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17" xfId="0" applyFill="1" applyBorder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36" fillId="0" borderId="20" xfId="0" applyFont="1" applyBorder="1" applyAlignment="1">
      <alignment horizontal="right" vertical="center"/>
    </xf>
    <xf numFmtId="0" fontId="37" fillId="0" borderId="20" xfId="0" applyFont="1" applyBorder="1" applyAlignment="1">
      <alignment horizontal="right" vertical="center"/>
    </xf>
    <xf numFmtId="0" fontId="0" fillId="43" borderId="3" xfId="0" applyFill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28" fillId="40" borderId="0" xfId="0" applyFont="1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25" fillId="36" borderId="0" xfId="0" applyFont="1" applyFill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40" fillId="0" borderId="47" xfId="0" applyFont="1" applyBorder="1" applyAlignment="1">
      <alignment horizontal="center" vertical="center" wrapText="1"/>
    </xf>
    <xf numFmtId="0" fontId="40" fillId="0" borderId="48" xfId="0" applyFont="1" applyBorder="1" applyAlignment="1">
      <alignment horizontal="center" vertical="center" wrapText="1"/>
    </xf>
    <xf numFmtId="0" fontId="40" fillId="0" borderId="49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1" fillId="0" borderId="50" xfId="0" applyFont="1" applyBorder="1" applyAlignment="1">
      <alignment vertical="center" wrapText="1"/>
    </xf>
    <xf numFmtId="49" fontId="42" fillId="49" borderId="51" xfId="46" applyNumberFormat="1" applyFill="1" applyBorder="1">
      <alignment vertical="center"/>
    </xf>
    <xf numFmtId="0" fontId="42" fillId="0" borderId="0" xfId="46" applyNumberFormat="1">
      <alignment vertical="center"/>
    </xf>
    <xf numFmtId="0" fontId="42" fillId="50" borderId="52" xfId="46" applyNumberFormat="1" applyFill="1" applyBorder="1" applyAlignment="1">
      <alignment vertical="center" wrapText="1"/>
    </xf>
    <xf numFmtId="0" fontId="42" fillId="50" borderId="53" xfId="46" applyNumberFormat="1" applyFill="1" applyBorder="1">
      <alignment vertical="center"/>
    </xf>
    <xf numFmtId="49" fontId="42" fillId="50" borderId="53" xfId="46" applyNumberFormat="1" applyFill="1" applyBorder="1" applyAlignment="1">
      <alignment vertical="center" wrapText="1"/>
    </xf>
    <xf numFmtId="49" fontId="42" fillId="50" borderId="54" xfId="46" applyNumberFormat="1" applyFill="1" applyBorder="1" applyAlignment="1">
      <alignment vertical="center" wrapText="1"/>
    </xf>
    <xf numFmtId="0" fontId="42" fillId="50" borderId="55" xfId="46" applyNumberFormat="1" applyFill="1" applyBorder="1" applyAlignment="1">
      <alignment vertical="center" wrapText="1"/>
    </xf>
    <xf numFmtId="0" fontId="42" fillId="50" borderId="56" xfId="46" applyNumberFormat="1" applyFill="1" applyBorder="1">
      <alignment vertical="center"/>
    </xf>
    <xf numFmtId="49" fontId="42" fillId="50" borderId="56" xfId="46" applyNumberFormat="1" applyFill="1" applyBorder="1" applyAlignment="1">
      <alignment vertical="center" wrapText="1"/>
    </xf>
    <xf numFmtId="0" fontId="42" fillId="50" borderId="57" xfId="46" applyFill="1" applyBorder="1" applyAlignment="1">
      <alignment vertical="center" wrapText="1"/>
    </xf>
    <xf numFmtId="49" fontId="42" fillId="50" borderId="57" xfId="46" applyNumberFormat="1" applyFill="1" applyBorder="1" applyAlignment="1">
      <alignment vertical="center" wrapText="1"/>
    </xf>
  </cellXfs>
  <cellStyles count="47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 xr:uid="{341FD411-2A12-420F-92F7-AA0FEAE36BF6}"/>
    <cellStyle name="표준 3" xfId="43" xr:uid="{D5947716-552D-417C-9AC0-0FA638D6EE50}"/>
    <cellStyle name="표준 4" xfId="44" xr:uid="{CE6F18C4-89DA-4BB6-B9D6-66D18946067C}"/>
    <cellStyle name="표준 4 2" xfId="45" xr:uid="{1AD4747D-3150-4272-BBEE-43EB66A6B840}"/>
    <cellStyle name="표준 5" xfId="46" xr:uid="{951E31DF-3CB8-48B0-B8D5-14D4FB367C4D}"/>
  </cellStyles>
  <dxfs count="5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10</xdr:row>
      <xdr:rowOff>0</xdr:rowOff>
    </xdr:from>
    <xdr:to>
      <xdr:col>5</xdr:col>
      <xdr:colOff>222817</xdr:colOff>
      <xdr:row>20</xdr:row>
      <xdr:rowOff>228600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982" t="17932" r="818" b="34810"/>
        <a:stretch>
          <a:fillRect/>
        </a:stretch>
      </xdr:blipFill>
      <xdr:spPr bwMode="auto">
        <a:xfrm>
          <a:off x="9524" y="2105025"/>
          <a:ext cx="7271317" cy="27146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134470</xdr:colOff>
      <xdr:row>34</xdr:row>
      <xdr:rowOff>89649</xdr:rowOff>
    </xdr:from>
    <xdr:to>
      <xdr:col>4</xdr:col>
      <xdr:colOff>2211481</xdr:colOff>
      <xdr:row>45</xdr:row>
      <xdr:rowOff>788336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94" y="8213914"/>
          <a:ext cx="6917952" cy="429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57149</xdr:colOff>
      <xdr:row>1</xdr:row>
      <xdr:rowOff>145677</xdr:rowOff>
    </xdr:from>
    <xdr:to>
      <xdr:col>9</xdr:col>
      <xdr:colOff>112058</xdr:colOff>
      <xdr:row>3</xdr:row>
      <xdr:rowOff>134471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25973" y="268942"/>
          <a:ext cx="6453467" cy="526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2495550</xdr:colOff>
          <xdr:row>2</xdr:row>
          <xdr:rowOff>400050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657226</xdr:colOff>
      <xdr:row>13</xdr:row>
      <xdr:rowOff>171451</xdr:rowOff>
    </xdr:from>
    <xdr:to>
      <xdr:col>17</xdr:col>
      <xdr:colOff>23813</xdr:colOff>
      <xdr:row>16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414398" y="2880123"/>
          <a:ext cx="1563290" cy="501252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666751</xdr:colOff>
      <xdr:row>16</xdr:row>
      <xdr:rowOff>161926</xdr:rowOff>
    </xdr:from>
    <xdr:to>
      <xdr:col>17</xdr:col>
      <xdr:colOff>14574</xdr:colOff>
      <xdr:row>19</xdr:row>
      <xdr:rowOff>38100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423923" y="3495676"/>
          <a:ext cx="1544526" cy="501252"/>
        </a:xfrm>
        <a:prstGeom prst="rect">
          <a:avLst/>
        </a:prstGeom>
        <a:noFill/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9526</xdr:colOff>
      <xdr:row>19</xdr:row>
      <xdr:rowOff>161926</xdr:rowOff>
    </xdr:from>
    <xdr:to>
      <xdr:col>20</xdr:col>
      <xdr:colOff>19051</xdr:colOff>
      <xdr:row>22</xdr:row>
      <xdr:rowOff>38100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782176" y="4143376"/>
          <a:ext cx="3638550" cy="504824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19050</xdr:rowOff>
        </xdr:from>
        <xdr:to>
          <xdr:col>16</xdr:col>
          <xdr:colOff>666750</xdr:colOff>
          <xdr:row>12</xdr:row>
          <xdr:rowOff>190500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9525</xdr:rowOff>
        </xdr:from>
        <xdr:to>
          <xdr:col>16</xdr:col>
          <xdr:colOff>676275</xdr:colOff>
          <xdr:row>18</xdr:row>
          <xdr:rowOff>200025</xdr:rowOff>
        </xdr:to>
        <xdr:sp macro="" textlink="">
          <xdr:nvSpPr>
            <xdr:cNvPr id="3074" name="Labe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20</xdr:row>
          <xdr:rowOff>19050</xdr:rowOff>
        </xdr:from>
        <xdr:to>
          <xdr:col>16</xdr:col>
          <xdr:colOff>676275</xdr:colOff>
          <xdr:row>22</xdr:row>
          <xdr:rowOff>0</xdr:rowOff>
        </xdr:to>
        <xdr:sp macro="" textlink="">
          <xdr:nvSpPr>
            <xdr:cNvPr id="3077" name="Label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20</xdr:row>
          <xdr:rowOff>19050</xdr:rowOff>
        </xdr:from>
        <xdr:to>
          <xdr:col>19</xdr:col>
          <xdr:colOff>704850</xdr:colOff>
          <xdr:row>22</xdr:row>
          <xdr:rowOff>0</xdr:rowOff>
        </xdr:to>
        <xdr:sp macro="" textlink="">
          <xdr:nvSpPr>
            <xdr:cNvPr id="3078" name="Label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9525</xdr:rowOff>
        </xdr:from>
        <xdr:to>
          <xdr:col>16</xdr:col>
          <xdr:colOff>676275</xdr:colOff>
          <xdr:row>15</xdr:row>
          <xdr:rowOff>200025</xdr:rowOff>
        </xdr:to>
        <xdr:sp macro="" textlink="">
          <xdr:nvSpPr>
            <xdr:cNvPr id="3079" name="Label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19050</xdr:rowOff>
        </xdr:from>
        <xdr:to>
          <xdr:col>16</xdr:col>
          <xdr:colOff>676275</xdr:colOff>
          <xdr:row>28</xdr:row>
          <xdr:rowOff>0</xdr:rowOff>
        </xdr:to>
        <xdr:sp macro="" textlink="">
          <xdr:nvSpPr>
            <xdr:cNvPr id="3081" name="Label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48"/>
  <sheetViews>
    <sheetView showGridLines="0" zoomScale="85" zoomScaleNormal="85" workbookViewId="0">
      <selection activeCell="J12" sqref="J12"/>
    </sheetView>
  </sheetViews>
  <sheetFormatPr defaultRowHeight="20.100000000000001" customHeight="1" x14ac:dyDescent="0.3"/>
  <cols>
    <col min="1" max="1" width="3.125" style="50" customWidth="1"/>
    <col min="2" max="2" width="5.25" style="50" customWidth="1"/>
    <col min="3" max="6" width="29.125" style="50" customWidth="1"/>
    <col min="7" max="7" width="17.875" style="50" customWidth="1"/>
    <col min="8" max="9" width="14.125" style="50" customWidth="1"/>
    <col min="10" max="10" width="62.5" style="50" customWidth="1"/>
    <col min="11" max="16384" width="9" style="50"/>
  </cols>
  <sheetData>
    <row r="1" spans="2:10" ht="18" customHeight="1" x14ac:dyDescent="0.3"/>
    <row r="2" spans="2:10" ht="20.100000000000001" customHeight="1" x14ac:dyDescent="0.3">
      <c r="B2" s="140" t="s">
        <v>68</v>
      </c>
      <c r="C2" s="141"/>
      <c r="D2" s="141"/>
      <c r="E2" s="141"/>
      <c r="F2" s="141"/>
      <c r="G2" s="142"/>
      <c r="H2" s="61"/>
      <c r="I2" s="61"/>
      <c r="J2" s="61"/>
    </row>
    <row r="3" spans="2:10" ht="20.100000000000001" customHeight="1" x14ac:dyDescent="0.3">
      <c r="B3" s="52" t="s">
        <v>63</v>
      </c>
      <c r="C3" s="58"/>
      <c r="D3" s="58"/>
      <c r="E3" s="58"/>
      <c r="F3" s="58"/>
      <c r="G3" s="59"/>
      <c r="H3" s="61"/>
      <c r="I3" s="61"/>
      <c r="J3" s="61"/>
    </row>
    <row r="4" spans="2:10" ht="20.100000000000001" customHeight="1" x14ac:dyDescent="0.3">
      <c r="B4" s="137" t="s">
        <v>62</v>
      </c>
      <c r="C4" s="138"/>
      <c r="D4" s="138"/>
      <c r="E4" s="138"/>
      <c r="F4" s="138"/>
      <c r="G4" s="139"/>
      <c r="H4" s="61"/>
      <c r="I4" s="61"/>
      <c r="J4" s="61"/>
    </row>
    <row r="5" spans="2:10" ht="9.75" customHeight="1" x14ac:dyDescent="0.3">
      <c r="B5" s="137"/>
      <c r="C5" s="138"/>
      <c r="D5" s="138"/>
      <c r="E5" s="138"/>
      <c r="F5" s="138"/>
      <c r="G5" s="139"/>
      <c r="H5" s="61"/>
      <c r="I5" s="61"/>
      <c r="J5" s="61"/>
    </row>
    <row r="6" spans="2:10" ht="20.100000000000001" customHeight="1" x14ac:dyDescent="0.3">
      <c r="B6" s="137" t="s">
        <v>64</v>
      </c>
      <c r="C6" s="138"/>
      <c r="D6" s="138"/>
      <c r="E6" s="138"/>
      <c r="F6" s="138"/>
      <c r="G6" s="139"/>
      <c r="H6" s="61"/>
      <c r="I6" s="61"/>
      <c r="J6" s="61"/>
    </row>
    <row r="7" spans="2:10" ht="20.100000000000001" customHeight="1" x14ac:dyDescent="0.3">
      <c r="B7" s="137" t="s">
        <v>65</v>
      </c>
      <c r="C7" s="138"/>
      <c r="D7" s="138"/>
      <c r="E7" s="138"/>
      <c r="F7" s="138"/>
      <c r="G7" s="139"/>
      <c r="H7" s="61"/>
      <c r="I7" s="61"/>
      <c r="J7" s="61"/>
    </row>
    <row r="8" spans="2:10" ht="20.100000000000001" customHeight="1" x14ac:dyDescent="0.3">
      <c r="B8" s="137" t="s">
        <v>100</v>
      </c>
      <c r="C8" s="138"/>
      <c r="D8" s="138"/>
      <c r="E8" s="138"/>
      <c r="F8" s="138"/>
      <c r="G8" s="139"/>
      <c r="H8" s="61"/>
      <c r="I8" s="61"/>
      <c r="J8" s="61"/>
    </row>
    <row r="9" spans="2:10" ht="20.100000000000001" customHeight="1" x14ac:dyDescent="0.3">
      <c r="B9" s="137" t="s">
        <v>66</v>
      </c>
      <c r="C9" s="138"/>
      <c r="D9" s="138"/>
      <c r="E9" s="138"/>
      <c r="F9" s="138"/>
      <c r="G9" s="139"/>
      <c r="H9" s="61"/>
      <c r="I9" s="61"/>
      <c r="J9" s="61"/>
    </row>
    <row r="10" spans="2:10" ht="20.100000000000001" customHeight="1" x14ac:dyDescent="0.3">
      <c r="B10" s="52" t="s">
        <v>67</v>
      </c>
      <c r="C10" s="58"/>
      <c r="D10" s="58"/>
      <c r="E10" s="58"/>
      <c r="F10" s="58"/>
      <c r="G10" s="59"/>
      <c r="H10" s="61"/>
      <c r="I10" s="61"/>
      <c r="J10" s="61"/>
    </row>
    <row r="11" spans="2:10" ht="20.100000000000001" customHeight="1" x14ac:dyDescent="0.3">
      <c r="B11" s="52"/>
      <c r="C11" s="58"/>
      <c r="D11" s="58"/>
      <c r="E11" s="58"/>
      <c r="F11" s="58"/>
      <c r="G11" s="59"/>
      <c r="H11" s="61"/>
      <c r="I11" s="61"/>
      <c r="J11" s="61"/>
    </row>
    <row r="12" spans="2:10" ht="20.100000000000001" customHeight="1" x14ac:dyDescent="0.3">
      <c r="B12" s="52"/>
      <c r="C12" s="58"/>
      <c r="D12" s="58"/>
      <c r="E12" s="58"/>
      <c r="F12" s="58"/>
      <c r="G12" s="59"/>
      <c r="H12" s="61"/>
      <c r="I12" s="61"/>
      <c r="J12" s="61"/>
    </row>
    <row r="13" spans="2:10" ht="20.100000000000001" customHeight="1" x14ac:dyDescent="0.3">
      <c r="B13" s="52"/>
      <c r="C13" s="58"/>
      <c r="D13" s="58"/>
      <c r="E13" s="58"/>
      <c r="F13" s="58"/>
      <c r="G13" s="59"/>
      <c r="H13" s="61"/>
      <c r="I13" s="61"/>
      <c r="J13" s="61"/>
    </row>
    <row r="14" spans="2:10" ht="20.100000000000001" customHeight="1" x14ac:dyDescent="0.3">
      <c r="B14" s="52"/>
      <c r="C14" s="58"/>
      <c r="D14" s="58"/>
      <c r="E14" s="58"/>
      <c r="F14" s="58"/>
      <c r="G14" s="59"/>
      <c r="H14" s="61"/>
      <c r="I14" s="61"/>
      <c r="J14" s="61"/>
    </row>
    <row r="15" spans="2:10" ht="20.100000000000001" customHeight="1" x14ac:dyDescent="0.3">
      <c r="B15" s="52"/>
      <c r="C15" s="58"/>
      <c r="D15" s="58"/>
      <c r="E15" s="58"/>
      <c r="F15" s="58"/>
      <c r="G15" s="59"/>
      <c r="H15" s="61"/>
      <c r="I15" s="61"/>
      <c r="J15" s="61"/>
    </row>
    <row r="16" spans="2:10" ht="20.100000000000001" customHeight="1" x14ac:dyDescent="0.3">
      <c r="B16" s="52"/>
      <c r="C16" s="58"/>
      <c r="D16" s="58"/>
      <c r="E16" s="58"/>
      <c r="F16" s="58"/>
      <c r="G16" s="59"/>
      <c r="H16" s="61"/>
      <c r="I16" s="61"/>
      <c r="J16" s="61"/>
    </row>
    <row r="17" spans="2:10" ht="20.100000000000001" customHeight="1" x14ac:dyDescent="0.3">
      <c r="B17" s="52"/>
      <c r="C17" s="58"/>
      <c r="D17" s="58"/>
      <c r="E17" s="58"/>
      <c r="F17" s="58"/>
      <c r="G17" s="59"/>
      <c r="H17" s="58"/>
      <c r="I17" s="58"/>
      <c r="J17" s="58"/>
    </row>
    <row r="18" spans="2:10" ht="20.100000000000001" customHeight="1" x14ac:dyDescent="0.3">
      <c r="B18" s="52"/>
      <c r="C18" s="58"/>
      <c r="D18" s="58"/>
      <c r="E18" s="58"/>
      <c r="F18" s="58"/>
      <c r="G18" s="59"/>
      <c r="H18" s="58"/>
      <c r="I18" s="58"/>
      <c r="J18" s="58"/>
    </row>
    <row r="19" spans="2:10" ht="20.25" customHeight="1" x14ac:dyDescent="0.3">
      <c r="B19" s="52"/>
      <c r="C19" s="53"/>
      <c r="D19" s="53"/>
      <c r="E19" s="53"/>
      <c r="F19" s="53"/>
      <c r="G19" s="54"/>
      <c r="H19" s="53"/>
      <c r="I19" s="53"/>
      <c r="J19" s="53"/>
    </row>
    <row r="20" spans="2:10" ht="20.100000000000001" customHeight="1" x14ac:dyDescent="0.3">
      <c r="B20" s="52"/>
      <c r="C20" s="53"/>
      <c r="D20" s="53"/>
      <c r="E20" s="53"/>
      <c r="F20" s="53"/>
      <c r="G20" s="54"/>
      <c r="H20" s="53"/>
      <c r="I20" s="53"/>
      <c r="J20" s="53"/>
    </row>
    <row r="21" spans="2:10" ht="19.5" customHeight="1" x14ac:dyDescent="0.3">
      <c r="B21" s="55"/>
      <c r="C21" s="56"/>
      <c r="D21" s="56"/>
      <c r="E21" s="56"/>
      <c r="F21" s="56"/>
      <c r="G21" s="57"/>
      <c r="H21" s="53"/>
      <c r="I21" s="53"/>
      <c r="J21" s="53"/>
    </row>
    <row r="22" spans="2:10" ht="20.100000000000001" customHeight="1" x14ac:dyDescent="0.3">
      <c r="B22" s="51"/>
    </row>
    <row r="23" spans="2:10" ht="20.100000000000001" customHeight="1" x14ac:dyDescent="0.3">
      <c r="B23" s="133" t="s">
        <v>61</v>
      </c>
      <c r="C23" s="134"/>
      <c r="D23" s="134"/>
      <c r="E23" s="134"/>
      <c r="F23" s="134"/>
      <c r="G23" s="134"/>
      <c r="H23" s="60"/>
      <c r="I23" s="61"/>
      <c r="J23" s="61"/>
    </row>
    <row r="24" spans="2:10" ht="19.5" customHeight="1" x14ac:dyDescent="0.3">
      <c r="B24" s="130" t="s">
        <v>60</v>
      </c>
      <c r="C24" s="131"/>
      <c r="D24" s="131"/>
      <c r="E24" s="131"/>
      <c r="F24" s="131"/>
      <c r="G24" s="131"/>
      <c r="H24" s="62"/>
    </row>
    <row r="25" spans="2:10" ht="19.5" customHeight="1" x14ac:dyDescent="0.3">
      <c r="B25" s="130" t="s">
        <v>59</v>
      </c>
      <c r="C25" s="131"/>
      <c r="D25" s="131"/>
      <c r="E25" s="131"/>
      <c r="F25" s="131"/>
      <c r="G25" s="131"/>
      <c r="H25" s="62"/>
    </row>
    <row r="26" spans="2:10" ht="9.75" customHeight="1" x14ac:dyDescent="0.3">
      <c r="B26" s="130"/>
      <c r="C26" s="131"/>
      <c r="D26" s="131"/>
      <c r="E26" s="131"/>
      <c r="F26" s="131"/>
      <c r="G26" s="131"/>
      <c r="H26" s="62"/>
    </row>
    <row r="27" spans="2:10" ht="20.100000000000001" customHeight="1" x14ac:dyDescent="0.3">
      <c r="B27" s="137" t="s">
        <v>58</v>
      </c>
      <c r="C27" s="138"/>
      <c r="D27" s="138"/>
      <c r="E27" s="138"/>
      <c r="F27" s="138"/>
      <c r="G27" s="138"/>
      <c r="H27" s="60"/>
      <c r="I27" s="61"/>
      <c r="J27" s="61"/>
    </row>
    <row r="28" spans="2:10" ht="20.100000000000001" customHeight="1" x14ac:dyDescent="0.3">
      <c r="B28" s="130" t="s">
        <v>57</v>
      </c>
      <c r="C28" s="131"/>
      <c r="D28" s="131"/>
      <c r="E28" s="131"/>
      <c r="F28" s="131"/>
      <c r="G28" s="131"/>
      <c r="H28" s="62"/>
    </row>
    <row r="29" spans="2:10" ht="20.100000000000001" customHeight="1" x14ac:dyDescent="0.3">
      <c r="B29" s="143" t="s">
        <v>56</v>
      </c>
      <c r="C29" s="144"/>
      <c r="D29" s="144"/>
      <c r="E29" s="144"/>
      <c r="F29" s="144"/>
      <c r="G29" s="144"/>
      <c r="H29" s="62"/>
    </row>
    <row r="31" spans="2:10" ht="20.100000000000001" customHeight="1" x14ac:dyDescent="0.3">
      <c r="B31" s="133" t="s">
        <v>106</v>
      </c>
      <c r="C31" s="134"/>
      <c r="D31" s="134"/>
      <c r="E31" s="134"/>
      <c r="F31" s="134"/>
      <c r="G31" s="135"/>
    </row>
    <row r="32" spans="2:10" ht="20.100000000000001" customHeight="1" x14ac:dyDescent="0.3">
      <c r="B32" s="136" t="s">
        <v>107</v>
      </c>
      <c r="C32" s="131"/>
      <c r="D32" s="131"/>
      <c r="E32" s="131"/>
      <c r="F32" s="131"/>
      <c r="G32" s="132"/>
    </row>
    <row r="33" spans="2:8" ht="20.100000000000001" customHeight="1" x14ac:dyDescent="0.3">
      <c r="B33" s="130" t="s">
        <v>108</v>
      </c>
      <c r="C33" s="131"/>
      <c r="D33" s="131"/>
      <c r="E33" s="131"/>
      <c r="F33" s="131"/>
      <c r="G33" s="132"/>
    </row>
    <row r="34" spans="2:8" ht="20.100000000000001" customHeight="1" x14ac:dyDescent="0.3">
      <c r="B34" s="130" t="s">
        <v>110</v>
      </c>
      <c r="C34" s="131"/>
      <c r="D34" s="131"/>
      <c r="E34" s="131"/>
      <c r="F34" s="131"/>
      <c r="G34" s="132"/>
    </row>
    <row r="35" spans="2:8" ht="20.100000000000001" customHeight="1" x14ac:dyDescent="0.3">
      <c r="B35" s="137"/>
      <c r="C35" s="138"/>
      <c r="D35" s="138"/>
      <c r="E35" s="138"/>
      <c r="F35" s="138"/>
      <c r="G35" s="139"/>
      <c r="H35" s="50" t="s">
        <v>109</v>
      </c>
    </row>
    <row r="36" spans="2:8" ht="20.100000000000001" customHeight="1" x14ac:dyDescent="0.3">
      <c r="B36" s="130"/>
      <c r="C36" s="131"/>
      <c r="D36" s="131"/>
      <c r="E36" s="131"/>
      <c r="F36" s="131"/>
      <c r="G36" s="132"/>
    </row>
    <row r="37" spans="2:8" ht="20.100000000000001" customHeight="1" x14ac:dyDescent="0.3">
      <c r="B37" s="130"/>
      <c r="C37" s="131"/>
      <c r="D37" s="131"/>
      <c r="E37" s="131"/>
      <c r="F37" s="131"/>
      <c r="G37" s="132"/>
    </row>
    <row r="38" spans="2:8" ht="20.100000000000001" customHeight="1" x14ac:dyDescent="0.3">
      <c r="B38" s="62"/>
      <c r="G38" s="91"/>
    </row>
    <row r="39" spans="2:8" ht="20.100000000000001" customHeight="1" x14ac:dyDescent="0.3">
      <c r="B39" s="62"/>
      <c r="G39" s="91"/>
    </row>
    <row r="40" spans="2:8" ht="20.100000000000001" customHeight="1" x14ac:dyDescent="0.3">
      <c r="B40" s="62"/>
      <c r="G40" s="91"/>
    </row>
    <row r="41" spans="2:8" ht="20.100000000000001" customHeight="1" x14ac:dyDescent="0.3">
      <c r="B41" s="62"/>
      <c r="G41" s="91"/>
    </row>
    <row r="42" spans="2:8" ht="20.100000000000001" customHeight="1" x14ac:dyDescent="0.3">
      <c r="B42" s="62"/>
      <c r="G42" s="91"/>
    </row>
    <row r="43" spans="2:8" ht="20.100000000000001" customHeight="1" x14ac:dyDescent="0.3">
      <c r="B43" s="62"/>
      <c r="G43" s="91"/>
    </row>
    <row r="44" spans="2:8" s="90" customFormat="1" ht="40.5" customHeight="1" x14ac:dyDescent="0.3">
      <c r="B44" s="92"/>
      <c r="G44" s="93"/>
    </row>
    <row r="45" spans="2:8" s="90" customFormat="1" ht="67.5" customHeight="1" x14ac:dyDescent="0.3">
      <c r="B45" s="92"/>
      <c r="G45" s="93"/>
    </row>
    <row r="46" spans="2:8" s="90" customFormat="1" ht="70.5" customHeight="1" x14ac:dyDescent="0.3">
      <c r="B46" s="94"/>
      <c r="C46" s="95"/>
      <c r="D46" s="95"/>
      <c r="E46" s="95"/>
      <c r="F46" s="95"/>
      <c r="G46" s="96"/>
    </row>
    <row r="47" spans="2:8" s="90" customFormat="1" ht="62.25" customHeight="1" x14ac:dyDescent="0.3"/>
    <row r="48" spans="2:8" s="90" customFormat="1" ht="77.25" customHeight="1" x14ac:dyDescent="0.3"/>
  </sheetData>
  <mergeCells count="21">
    <mergeCell ref="B24:G24"/>
    <mergeCell ref="B23:G23"/>
    <mergeCell ref="B29:G29"/>
    <mergeCell ref="B28:G28"/>
    <mergeCell ref="B27:G27"/>
    <mergeCell ref="B26:G26"/>
    <mergeCell ref="B25:G25"/>
    <mergeCell ref="B2:G2"/>
    <mergeCell ref="B9:G9"/>
    <mergeCell ref="B8:G8"/>
    <mergeCell ref="B7:G7"/>
    <mergeCell ref="B6:G6"/>
    <mergeCell ref="B5:G5"/>
    <mergeCell ref="B4:G4"/>
    <mergeCell ref="B36:G36"/>
    <mergeCell ref="B37:G37"/>
    <mergeCell ref="B31:G31"/>
    <mergeCell ref="B32:G32"/>
    <mergeCell ref="B33:G33"/>
    <mergeCell ref="B34:G34"/>
    <mergeCell ref="B35:G35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38"/>
  <sheetViews>
    <sheetView zoomScale="85" zoomScaleNormal="85" workbookViewId="0">
      <selection activeCell="E8" sqref="E8"/>
    </sheetView>
  </sheetViews>
  <sheetFormatPr defaultRowHeight="16.5" x14ac:dyDescent="0.3"/>
  <cols>
    <col min="2" max="3" width="11.625" customWidth="1"/>
    <col min="4" max="10" width="12" customWidth="1"/>
  </cols>
  <sheetData>
    <row r="1" spans="1:13" ht="9.75" customHeight="1" x14ac:dyDescent="0.3"/>
    <row r="2" spans="1:13" ht="21" customHeight="1" x14ac:dyDescent="0.3">
      <c r="A2" s="84"/>
      <c r="B2" s="161" t="s">
        <v>97</v>
      </c>
      <c r="C2" s="163"/>
      <c r="D2" s="163"/>
      <c r="E2" s="163"/>
      <c r="F2" s="163"/>
      <c r="G2" s="163"/>
      <c r="H2" s="163"/>
      <c r="I2" s="163"/>
      <c r="J2" s="163"/>
    </row>
    <row r="3" spans="1:13" ht="21" customHeight="1" x14ac:dyDescent="0.3">
      <c r="B3" s="162"/>
      <c r="C3" s="163"/>
      <c r="D3" s="163"/>
      <c r="E3" s="163"/>
      <c r="F3" s="163"/>
      <c r="G3" s="163"/>
      <c r="H3" s="163"/>
      <c r="I3" s="163"/>
      <c r="J3" s="163"/>
    </row>
    <row r="4" spans="1:13" ht="21" customHeight="1" x14ac:dyDescent="0.3">
      <c r="B4" s="162"/>
      <c r="C4" s="163"/>
      <c r="D4" s="163"/>
      <c r="E4" s="163"/>
      <c r="F4" s="163"/>
      <c r="G4" s="163"/>
      <c r="H4" s="163"/>
      <c r="I4" s="163"/>
      <c r="J4" s="163"/>
    </row>
    <row r="5" spans="1:13" ht="24.75" customHeight="1" x14ac:dyDescent="0.3">
      <c r="B5" s="162"/>
      <c r="C5" s="163" t="s">
        <v>98</v>
      </c>
      <c r="D5" s="163"/>
      <c r="E5" s="163"/>
      <c r="F5" s="163"/>
      <c r="G5" s="163"/>
      <c r="H5" s="163"/>
      <c r="I5" s="163"/>
      <c r="J5" s="163"/>
    </row>
    <row r="6" spans="1:13" x14ac:dyDescent="0.3">
      <c r="B6" s="85"/>
      <c r="C6" s="86"/>
      <c r="D6" s="86"/>
    </row>
    <row r="7" spans="1:13" ht="26.25" customHeight="1" x14ac:dyDescent="0.3">
      <c r="B7" s="168" t="s">
        <v>33</v>
      </c>
      <c r="C7" s="169"/>
      <c r="D7" s="33" t="s">
        <v>34</v>
      </c>
      <c r="E7" s="34"/>
      <c r="F7" s="34"/>
      <c r="G7" s="34"/>
      <c r="H7" s="34"/>
      <c r="I7" s="34"/>
      <c r="J7" s="35"/>
    </row>
    <row r="8" spans="1:13" ht="26.25" customHeight="1" x14ac:dyDescent="0.3">
      <c r="B8" s="170"/>
      <c r="C8" s="171"/>
      <c r="D8" s="36" t="s">
        <v>87</v>
      </c>
      <c r="E8" s="37"/>
      <c r="F8" s="37"/>
      <c r="G8" s="37"/>
      <c r="H8" s="37"/>
      <c r="I8" s="37"/>
      <c r="J8" s="38"/>
    </row>
    <row r="9" spans="1:13" ht="26.25" customHeight="1" x14ac:dyDescent="0.3">
      <c r="B9" s="155" t="s">
        <v>35</v>
      </c>
      <c r="C9" s="156"/>
      <c r="D9" s="39" t="s">
        <v>36</v>
      </c>
      <c r="J9" s="40"/>
    </row>
    <row r="10" spans="1:13" ht="26.25" customHeight="1" x14ac:dyDescent="0.3">
      <c r="B10" s="157"/>
      <c r="C10" s="158"/>
      <c r="D10" s="44" t="s">
        <v>84</v>
      </c>
      <c r="J10" s="40"/>
      <c r="M10" s="32"/>
    </row>
    <row r="11" spans="1:13" ht="26.25" customHeight="1" x14ac:dyDescent="0.3">
      <c r="B11" s="157"/>
      <c r="C11" s="158"/>
      <c r="D11" s="44" t="s">
        <v>80</v>
      </c>
      <c r="J11" s="40"/>
      <c r="M11" s="47"/>
    </row>
    <row r="12" spans="1:13" ht="26.25" customHeight="1" x14ac:dyDescent="0.3">
      <c r="B12" s="157"/>
      <c r="C12" s="158"/>
      <c r="D12" s="45" t="s">
        <v>47</v>
      </c>
      <c r="J12" s="40"/>
    </row>
    <row r="13" spans="1:13" ht="26.25" customHeight="1" x14ac:dyDescent="0.3">
      <c r="B13" s="157"/>
      <c r="C13" s="158"/>
      <c r="D13" s="41" t="s">
        <v>37</v>
      </c>
      <c r="J13" s="40"/>
    </row>
    <row r="14" spans="1:13" ht="26.25" customHeight="1" x14ac:dyDescent="0.3">
      <c r="B14" s="157"/>
      <c r="C14" s="158"/>
      <c r="D14" s="41" t="s">
        <v>99</v>
      </c>
      <c r="J14" s="40"/>
    </row>
    <row r="15" spans="1:13" ht="26.25" customHeight="1" x14ac:dyDescent="0.3">
      <c r="B15" s="157"/>
      <c r="C15" s="158"/>
      <c r="D15" s="44" t="s">
        <v>85</v>
      </c>
      <c r="J15" s="40"/>
    </row>
    <row r="16" spans="1:13" ht="26.25" customHeight="1" x14ac:dyDescent="0.3">
      <c r="B16" s="159"/>
      <c r="C16" s="160"/>
      <c r="D16" s="65" t="s">
        <v>69</v>
      </c>
      <c r="E16" s="37"/>
      <c r="F16" s="37"/>
      <c r="G16" s="37"/>
      <c r="H16" s="37"/>
      <c r="I16" s="37"/>
      <c r="J16" s="38"/>
    </row>
    <row r="17" spans="2:10" ht="26.25" customHeight="1" x14ac:dyDescent="0.3">
      <c r="B17" s="172" t="s">
        <v>38</v>
      </c>
      <c r="C17" s="173"/>
      <c r="D17" s="42" t="s">
        <v>39</v>
      </c>
      <c r="E17" s="34"/>
      <c r="F17" s="34"/>
      <c r="G17" s="34"/>
      <c r="H17" s="34"/>
      <c r="I17" s="34"/>
      <c r="J17" s="35"/>
    </row>
    <row r="18" spans="2:10" ht="26.25" customHeight="1" x14ac:dyDescent="0.3">
      <c r="B18" s="174"/>
      <c r="C18" s="175"/>
      <c r="D18" s="39" t="s">
        <v>50</v>
      </c>
      <c r="J18" s="40"/>
    </row>
    <row r="19" spans="2:10" ht="26.25" customHeight="1" x14ac:dyDescent="0.3">
      <c r="B19" s="174"/>
      <c r="C19" s="175"/>
      <c r="D19" s="39" t="s">
        <v>51</v>
      </c>
      <c r="J19" s="40"/>
    </row>
    <row r="20" spans="2:10" ht="26.25" customHeight="1" x14ac:dyDescent="0.3">
      <c r="B20" s="176"/>
      <c r="C20" s="177"/>
      <c r="D20" s="46" t="s">
        <v>52</v>
      </c>
      <c r="E20" s="37"/>
      <c r="F20" s="37"/>
      <c r="G20" s="37"/>
      <c r="H20" s="37"/>
      <c r="I20" s="37"/>
      <c r="J20" s="38"/>
    </row>
    <row r="21" spans="2:10" ht="26.25" customHeight="1" x14ac:dyDescent="0.3">
      <c r="B21" s="164" t="s">
        <v>40</v>
      </c>
      <c r="C21" s="165"/>
      <c r="D21" s="43" t="s">
        <v>41</v>
      </c>
      <c r="E21" s="34"/>
      <c r="F21" s="34"/>
      <c r="G21" s="34"/>
      <c r="H21" s="34"/>
      <c r="I21" s="34"/>
      <c r="J21" s="35"/>
    </row>
    <row r="22" spans="2:10" ht="26.25" customHeight="1" x14ac:dyDescent="0.3">
      <c r="B22" s="166"/>
      <c r="C22" s="167"/>
      <c r="D22" s="36" t="s">
        <v>48</v>
      </c>
      <c r="E22" s="37"/>
      <c r="F22" s="37"/>
      <c r="G22" s="37"/>
      <c r="H22" s="37"/>
      <c r="I22" s="37"/>
      <c r="J22" s="38"/>
    </row>
    <row r="23" spans="2:10" ht="26.25" customHeight="1" x14ac:dyDescent="0.3">
      <c r="B23" s="149" t="s">
        <v>42</v>
      </c>
      <c r="C23" s="150"/>
      <c r="D23" s="81" t="s">
        <v>83</v>
      </c>
      <c r="E23" s="34"/>
      <c r="F23" s="34"/>
      <c r="G23" s="34"/>
      <c r="H23" s="34"/>
      <c r="I23" s="34"/>
      <c r="J23" s="35"/>
    </row>
    <row r="24" spans="2:10" ht="26.25" customHeight="1" x14ac:dyDescent="0.3">
      <c r="B24" s="151"/>
      <c r="C24" s="152"/>
      <c r="D24" s="44" t="s">
        <v>101</v>
      </c>
      <c r="J24" s="40"/>
    </row>
    <row r="25" spans="2:10" ht="26.25" customHeight="1" x14ac:dyDescent="0.3">
      <c r="B25" s="151"/>
      <c r="C25" s="152"/>
      <c r="D25" s="44" t="s">
        <v>53</v>
      </c>
      <c r="J25" s="40"/>
    </row>
    <row r="26" spans="2:10" ht="26.25" customHeight="1" x14ac:dyDescent="0.3">
      <c r="B26" s="151"/>
      <c r="C26" s="152"/>
      <c r="D26" s="44" t="s">
        <v>82</v>
      </c>
      <c r="J26" s="40"/>
    </row>
    <row r="27" spans="2:10" ht="26.25" customHeight="1" x14ac:dyDescent="0.3">
      <c r="B27" s="153"/>
      <c r="C27" s="154"/>
      <c r="D27" s="66" t="s">
        <v>70</v>
      </c>
      <c r="E27" s="37"/>
      <c r="F27" s="37"/>
      <c r="G27" s="37"/>
      <c r="H27" s="37"/>
      <c r="I27" s="37"/>
      <c r="J27" s="38"/>
    </row>
    <row r="28" spans="2:10" ht="26.25" customHeight="1" x14ac:dyDescent="0.3">
      <c r="B28" s="145" t="s">
        <v>43</v>
      </c>
      <c r="C28" s="146"/>
      <c r="D28" s="45" t="s">
        <v>54</v>
      </c>
      <c r="J28" s="40"/>
    </row>
    <row r="29" spans="2:10" ht="26.25" customHeight="1" x14ac:dyDescent="0.3">
      <c r="B29" s="145"/>
      <c r="C29" s="146"/>
      <c r="D29" t="s">
        <v>55</v>
      </c>
      <c r="J29" s="40"/>
    </row>
    <row r="30" spans="2:10" ht="26.25" customHeight="1" x14ac:dyDescent="0.3">
      <c r="B30" s="147"/>
      <c r="C30" s="148"/>
      <c r="D30" s="49" t="s">
        <v>86</v>
      </c>
      <c r="E30" s="37"/>
      <c r="F30" s="37"/>
      <c r="G30" s="37"/>
      <c r="H30" s="37"/>
      <c r="I30" s="37"/>
      <c r="J30" s="38"/>
    </row>
    <row r="31" spans="2:10" x14ac:dyDescent="0.3">
      <c r="B31" s="23"/>
    </row>
    <row r="32" spans="2:10" x14ac:dyDescent="0.3">
      <c r="B32" s="23" t="s">
        <v>105</v>
      </c>
    </row>
    <row r="33" spans="2:2" x14ac:dyDescent="0.3">
      <c r="B33" t="s">
        <v>102</v>
      </c>
    </row>
    <row r="34" spans="2:2" x14ac:dyDescent="0.3">
      <c r="B34" t="s">
        <v>103</v>
      </c>
    </row>
    <row r="35" spans="2:2" x14ac:dyDescent="0.3">
      <c r="B35" t="s">
        <v>104</v>
      </c>
    </row>
    <row r="36" spans="2:2" x14ac:dyDescent="0.3">
      <c r="B36" s="23"/>
    </row>
    <row r="37" spans="2:2" x14ac:dyDescent="0.3">
      <c r="B37" s="23"/>
    </row>
    <row r="38" spans="2:2" x14ac:dyDescent="0.3">
      <c r="B38" s="23"/>
    </row>
  </sheetData>
  <mergeCells count="9">
    <mergeCell ref="B28:C30"/>
    <mergeCell ref="B23:C27"/>
    <mergeCell ref="B9:C16"/>
    <mergeCell ref="B2:B5"/>
    <mergeCell ref="C5:J5"/>
    <mergeCell ref="C2:J4"/>
    <mergeCell ref="B21:C22"/>
    <mergeCell ref="B7:C8"/>
    <mergeCell ref="B17:C2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abel 1">
              <controlPr defaultSize="0" autoFill="0" autoLine="0" autoPict="0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2495550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V502"/>
  <sheetViews>
    <sheetView zoomScale="115" zoomScaleNormal="115" workbookViewId="0">
      <selection activeCell="N3" sqref="N3:N295"/>
    </sheetView>
  </sheetViews>
  <sheetFormatPr defaultRowHeight="16.5" x14ac:dyDescent="0.3"/>
  <cols>
    <col min="2" max="2" width="11" style="19" bestFit="1" customWidth="1"/>
    <col min="3" max="3" width="5.25" style="19" bestFit="1" customWidth="1"/>
    <col min="4" max="4" width="9" style="19"/>
    <col min="5" max="6" width="9" style="102"/>
    <col min="7" max="7" width="13" style="19" bestFit="1" customWidth="1"/>
    <col min="16" max="16" width="10.5" customWidth="1"/>
    <col min="17" max="17" width="9.375" customWidth="1"/>
    <col min="20" max="20" width="9.75" customWidth="1"/>
  </cols>
  <sheetData>
    <row r="1" spans="1:22" x14ac:dyDescent="0.3">
      <c r="D1" s="5" t="s">
        <v>113</v>
      </c>
      <c r="E1" s="100"/>
      <c r="F1" s="100"/>
      <c r="G1" s="5" t="s">
        <v>1</v>
      </c>
      <c r="K1" t="s">
        <v>2</v>
      </c>
      <c r="L1" s="1" t="s">
        <v>9</v>
      </c>
    </row>
    <row r="2" spans="1:22" x14ac:dyDescent="0.3">
      <c r="B2" s="4" t="s">
        <v>0</v>
      </c>
      <c r="C2" s="98" t="s">
        <v>12</v>
      </c>
      <c r="D2" s="5" t="s">
        <v>3</v>
      </c>
      <c r="E2" s="100"/>
      <c r="F2" s="100"/>
      <c r="G2" s="5"/>
      <c r="H2" s="8" t="s">
        <v>14</v>
      </c>
      <c r="K2" s="3" t="s">
        <v>10</v>
      </c>
      <c r="L2" s="4" t="s">
        <v>8</v>
      </c>
      <c r="N2" s="5" t="s">
        <v>4</v>
      </c>
      <c r="O2" s="180" t="s">
        <v>44</v>
      </c>
      <c r="P2" s="5" t="s">
        <v>5</v>
      </c>
      <c r="Q2" s="5" t="s">
        <v>46</v>
      </c>
      <c r="R2" s="5" t="s">
        <v>6</v>
      </c>
      <c r="S2" s="5" t="s">
        <v>7</v>
      </c>
      <c r="T2" s="5" t="s">
        <v>16</v>
      </c>
    </row>
    <row r="3" spans="1:22" x14ac:dyDescent="0.3">
      <c r="A3" s="7" t="s">
        <v>13</v>
      </c>
      <c r="B3" s="4">
        <v>10101</v>
      </c>
      <c r="C3" s="98">
        <v>2</v>
      </c>
      <c r="D3" s="4" t="s">
        <v>183</v>
      </c>
      <c r="E3" s="101"/>
      <c r="F3" s="101"/>
      <c r="G3" s="17" t="str">
        <f>IF(AND(D3=E3,E3=F3),"",IF(AND(F3="",D3=E3),"",IF(AND(D3="",E3=F3),"",IF(AND(E3="",D3=F3),"",""))))</f>
        <v/>
      </c>
      <c r="H3" s="9" t="s">
        <v>15</v>
      </c>
      <c r="K3" s="2" t="str">
        <f>IF(D3="","",+D3)</f>
        <v>강성미</v>
      </c>
      <c r="L3" s="2" t="str">
        <f>RIGHT(K3,2)</f>
        <v>성미</v>
      </c>
      <c r="M3" s="2" t="str">
        <f>IF(B3="","",IF(COUNTIF($K$3:$K$295,K3)&gt;1,"동명",""))</f>
        <v/>
      </c>
      <c r="N3" s="5" t="s">
        <v>26</v>
      </c>
      <c r="O3" s="180"/>
      <c r="P3" s="5">
        <f>IF(COUNTA(B3:B482)=0,"",COUNTA(B3:B482))</f>
        <v>293</v>
      </c>
      <c r="Q3" s="64"/>
      <c r="R3" s="5">
        <f>IF(COUNTA(B3:B482)=0,"",COUNTIF(C3:C482,1))</f>
        <v>147</v>
      </c>
      <c r="S3" s="5">
        <f>IF(COUNTA(B3:B482)=0,"",COUNTIF(C3:C482,2))</f>
        <v>146</v>
      </c>
      <c r="T3" s="5" t="str">
        <f>IF(Q3="","",P3/Q3)</f>
        <v/>
      </c>
    </row>
    <row r="4" spans="1:22" x14ac:dyDescent="0.3">
      <c r="B4" s="48">
        <v>10102</v>
      </c>
      <c r="C4" s="103">
        <v>2</v>
      </c>
      <c r="D4" s="4" t="s">
        <v>193</v>
      </c>
      <c r="E4" s="101"/>
      <c r="F4" s="101"/>
      <c r="G4" s="17" t="str">
        <f t="shared" ref="G4:G67" si="0">IF(AND(D4=E4,E4=F4),"",IF(AND(F4="",D4=E4),"",IF(AND(D4="",E4=F4),"",IF(AND(E4="",D4=F4),"",""))))</f>
        <v/>
      </c>
      <c r="K4" s="2" t="str">
        <f t="shared" ref="K4:K67" si="1">IF(D4="","",+D4)</f>
        <v>김민주</v>
      </c>
      <c r="L4" s="2" t="str">
        <f t="shared" ref="L4:L67" si="2">RIGHT(K4,2)</f>
        <v>민주</v>
      </c>
      <c r="M4" s="2" t="str">
        <f t="shared" ref="M4:M67" si="3">IF(B4="","",IF(COUNTIF($K$3:$K$295,K4)&gt;1,"동명",""))</f>
        <v/>
      </c>
      <c r="N4" s="5" t="s">
        <v>26</v>
      </c>
      <c r="R4" s="5" t="str">
        <f>IF(Q3="","",R3/Q3)</f>
        <v/>
      </c>
      <c r="S4" s="5" t="str">
        <f>IF(Q3="","",S3/Q3)</f>
        <v/>
      </c>
    </row>
    <row r="5" spans="1:22" x14ac:dyDescent="0.3">
      <c r="B5" s="16">
        <v>10103</v>
      </c>
      <c r="C5" s="18">
        <v>2</v>
      </c>
      <c r="D5" s="104" t="s">
        <v>198</v>
      </c>
      <c r="E5" s="101"/>
      <c r="F5" s="101"/>
      <c r="G5" s="17" t="str">
        <f t="shared" si="0"/>
        <v/>
      </c>
      <c r="K5" s="2" t="str">
        <f t="shared" si="1"/>
        <v>김민지</v>
      </c>
      <c r="L5" s="2" t="str">
        <f t="shared" si="2"/>
        <v>민지</v>
      </c>
      <c r="M5" s="2" t="str">
        <f t="shared" si="3"/>
        <v>동명</v>
      </c>
      <c r="N5" s="5" t="s">
        <v>530</v>
      </c>
      <c r="O5" s="180" t="s">
        <v>45</v>
      </c>
      <c r="P5" s="5" t="s">
        <v>27</v>
      </c>
      <c r="Q5" s="64"/>
      <c r="T5" s="5" t="str">
        <f>IF(Q5="","",R3/Q5)</f>
        <v/>
      </c>
      <c r="U5" s="32" t="s">
        <v>81</v>
      </c>
    </row>
    <row r="6" spans="1:22" x14ac:dyDescent="0.3">
      <c r="B6" s="16">
        <v>10104</v>
      </c>
      <c r="C6" s="18">
        <v>2</v>
      </c>
      <c r="D6" s="104" t="s">
        <v>204</v>
      </c>
      <c r="E6" s="101"/>
      <c r="F6" s="101"/>
      <c r="G6" s="17" t="str">
        <f t="shared" si="0"/>
        <v/>
      </c>
      <c r="H6" s="9"/>
      <c r="K6" s="2" t="str">
        <f t="shared" si="1"/>
        <v>김혜원</v>
      </c>
      <c r="L6" s="2" t="str">
        <f t="shared" si="2"/>
        <v>혜원</v>
      </c>
      <c r="M6" s="2" t="str">
        <f t="shared" si="3"/>
        <v>동명</v>
      </c>
      <c r="N6" s="5" t="s">
        <v>530</v>
      </c>
      <c r="O6" s="180"/>
      <c r="P6" s="5" t="s">
        <v>28</v>
      </c>
      <c r="Q6" s="64"/>
      <c r="T6" s="5" t="str">
        <f>IF(Q6="","",S3/(Q6-Q5))</f>
        <v/>
      </c>
      <c r="U6" s="32" t="s">
        <v>73</v>
      </c>
    </row>
    <row r="7" spans="1:22" x14ac:dyDescent="0.3">
      <c r="B7" s="16">
        <v>10105</v>
      </c>
      <c r="C7" s="18">
        <v>2</v>
      </c>
      <c r="D7" s="104" t="s">
        <v>207</v>
      </c>
      <c r="E7" s="101"/>
      <c r="F7" s="101"/>
      <c r="G7" s="17" t="str">
        <f t="shared" si="0"/>
        <v/>
      </c>
      <c r="H7" s="10"/>
      <c r="K7" s="2" t="str">
        <f t="shared" si="1"/>
        <v>노지원</v>
      </c>
      <c r="L7" s="2" t="str">
        <f t="shared" si="2"/>
        <v>지원</v>
      </c>
      <c r="M7" s="2" t="str">
        <f t="shared" si="3"/>
        <v/>
      </c>
      <c r="N7" s="5" t="s">
        <v>26</v>
      </c>
      <c r="U7" s="32" t="s">
        <v>74</v>
      </c>
    </row>
    <row r="8" spans="1:22" x14ac:dyDescent="0.3">
      <c r="B8" s="16">
        <v>10106</v>
      </c>
      <c r="C8" s="18">
        <v>2</v>
      </c>
      <c r="D8" s="104" t="s">
        <v>208</v>
      </c>
      <c r="E8" s="101"/>
      <c r="F8" s="101"/>
      <c r="G8" s="17" t="str">
        <f t="shared" si="0"/>
        <v/>
      </c>
      <c r="H8" s="10"/>
      <c r="K8" s="2" t="str">
        <f t="shared" si="1"/>
        <v>박혜빈</v>
      </c>
      <c r="L8" s="2" t="str">
        <f t="shared" si="2"/>
        <v>혜빈</v>
      </c>
      <c r="M8" s="2" t="str">
        <f t="shared" si="3"/>
        <v/>
      </c>
      <c r="N8" s="5" t="s">
        <v>26</v>
      </c>
      <c r="Q8" s="63"/>
      <c r="T8" s="83" t="s">
        <v>95</v>
      </c>
    </row>
    <row r="9" spans="1:22" x14ac:dyDescent="0.3">
      <c r="B9" s="16">
        <v>10107</v>
      </c>
      <c r="C9" s="18">
        <v>2</v>
      </c>
      <c r="D9" s="104" t="s">
        <v>209</v>
      </c>
      <c r="E9" s="101"/>
      <c r="F9" s="101"/>
      <c r="G9" s="17" t="str">
        <f t="shared" si="0"/>
        <v/>
      </c>
      <c r="K9" s="2" t="str">
        <f t="shared" si="1"/>
        <v>성민주</v>
      </c>
      <c r="L9" s="2" t="str">
        <f t="shared" si="2"/>
        <v>민주</v>
      </c>
      <c r="M9" s="2" t="str">
        <f t="shared" si="3"/>
        <v/>
      </c>
      <c r="N9" s="5" t="s">
        <v>26</v>
      </c>
      <c r="T9" s="83" t="s">
        <v>96</v>
      </c>
    </row>
    <row r="10" spans="1:22" x14ac:dyDescent="0.3">
      <c r="B10" s="16">
        <v>10108</v>
      </c>
      <c r="C10" s="18">
        <v>2</v>
      </c>
      <c r="D10" s="104" t="s">
        <v>210</v>
      </c>
      <c r="E10" s="101"/>
      <c r="F10" s="101"/>
      <c r="G10" s="17" t="str">
        <f t="shared" si="0"/>
        <v/>
      </c>
      <c r="K10" s="2" t="str">
        <f t="shared" si="1"/>
        <v>안혜영</v>
      </c>
      <c r="L10" s="2" t="str">
        <f t="shared" si="2"/>
        <v>혜영</v>
      </c>
      <c r="M10" s="2" t="str">
        <f t="shared" si="3"/>
        <v/>
      </c>
      <c r="N10" s="5" t="s">
        <v>26</v>
      </c>
    </row>
    <row r="11" spans="1:22" x14ac:dyDescent="0.3">
      <c r="B11" s="16">
        <v>10109</v>
      </c>
      <c r="C11" s="18">
        <v>2</v>
      </c>
      <c r="D11" s="104" t="s">
        <v>211</v>
      </c>
      <c r="E11" s="101"/>
      <c r="F11" s="101"/>
      <c r="G11" s="17" t="str">
        <f t="shared" si="0"/>
        <v/>
      </c>
      <c r="K11" s="2" t="str">
        <f t="shared" si="1"/>
        <v>우지민</v>
      </c>
      <c r="L11" s="2" t="str">
        <f t="shared" si="2"/>
        <v>지민</v>
      </c>
      <c r="M11" s="2" t="str">
        <f t="shared" si="3"/>
        <v/>
      </c>
      <c r="N11" s="5" t="s">
        <v>26</v>
      </c>
    </row>
    <row r="12" spans="1:22" x14ac:dyDescent="0.3">
      <c r="B12" s="16">
        <v>10110</v>
      </c>
      <c r="C12" s="18">
        <v>2</v>
      </c>
      <c r="D12" s="104" t="s">
        <v>212</v>
      </c>
      <c r="E12" s="101"/>
      <c r="F12" s="101"/>
      <c r="G12" s="17" t="str">
        <f t="shared" si="0"/>
        <v/>
      </c>
      <c r="K12" s="2" t="str">
        <f t="shared" si="1"/>
        <v>이경아</v>
      </c>
      <c r="L12" s="2" t="str">
        <f t="shared" si="2"/>
        <v>경아</v>
      </c>
      <c r="M12" s="2" t="str">
        <f t="shared" si="3"/>
        <v/>
      </c>
      <c r="N12" s="5" t="s">
        <v>26</v>
      </c>
      <c r="O12" s="178" t="s">
        <v>88</v>
      </c>
      <c r="P12" s="183" t="s">
        <v>21</v>
      </c>
      <c r="Q12" s="183"/>
    </row>
    <row r="13" spans="1:22" x14ac:dyDescent="0.3">
      <c r="B13" s="16">
        <v>10111</v>
      </c>
      <c r="C13" s="18">
        <v>2</v>
      </c>
      <c r="D13" s="104" t="s">
        <v>213</v>
      </c>
      <c r="E13" s="101"/>
      <c r="F13" s="101"/>
      <c r="G13" s="17" t="str">
        <f t="shared" si="0"/>
        <v/>
      </c>
      <c r="K13" s="2" t="str">
        <f t="shared" si="1"/>
        <v>이단희</v>
      </c>
      <c r="L13" s="2" t="str">
        <f t="shared" si="2"/>
        <v>단희</v>
      </c>
      <c r="M13" s="2" t="str">
        <f t="shared" si="3"/>
        <v/>
      </c>
      <c r="N13" s="5" t="s">
        <v>26</v>
      </c>
      <c r="O13" s="179"/>
      <c r="P13" s="183"/>
      <c r="Q13" s="183"/>
    </row>
    <row r="14" spans="1:22" x14ac:dyDescent="0.3">
      <c r="B14" s="16">
        <v>10112</v>
      </c>
      <c r="C14" s="18">
        <v>2</v>
      </c>
      <c r="D14" s="104" t="s">
        <v>214</v>
      </c>
      <c r="E14" s="101"/>
      <c r="F14" s="101"/>
      <c r="G14" s="17" t="str">
        <f t="shared" si="0"/>
        <v/>
      </c>
      <c r="K14" s="2" t="str">
        <f t="shared" si="1"/>
        <v>이도연</v>
      </c>
      <c r="L14" s="2" t="str">
        <f t="shared" si="2"/>
        <v>도연</v>
      </c>
      <c r="M14" s="2" t="str">
        <f t="shared" si="3"/>
        <v/>
      </c>
      <c r="N14" s="5" t="s">
        <v>26</v>
      </c>
      <c r="O14" s="82"/>
    </row>
    <row r="15" spans="1:22" x14ac:dyDescent="0.3">
      <c r="B15" s="16">
        <v>10113</v>
      </c>
      <c r="C15" s="18">
        <v>2</v>
      </c>
      <c r="D15" s="104" t="s">
        <v>215</v>
      </c>
      <c r="E15" s="101"/>
      <c r="F15" s="101"/>
      <c r="G15" s="17" t="str">
        <f t="shared" si="0"/>
        <v/>
      </c>
      <c r="K15" s="2" t="str">
        <f t="shared" si="1"/>
        <v>이수민</v>
      </c>
      <c r="L15" s="2" t="str">
        <f t="shared" si="2"/>
        <v>수민</v>
      </c>
      <c r="M15" s="2" t="str">
        <f t="shared" si="3"/>
        <v/>
      </c>
      <c r="N15" s="5" t="s">
        <v>26</v>
      </c>
      <c r="O15" s="179" t="s">
        <v>89</v>
      </c>
      <c r="P15" s="185" t="s">
        <v>112</v>
      </c>
      <c r="Q15" s="186"/>
      <c r="V15" s="97"/>
    </row>
    <row r="16" spans="1:22" x14ac:dyDescent="0.3">
      <c r="B16" s="16">
        <v>10114</v>
      </c>
      <c r="C16" s="18">
        <v>2</v>
      </c>
      <c r="D16" s="104" t="s">
        <v>216</v>
      </c>
      <c r="E16" s="101"/>
      <c r="F16" s="101"/>
      <c r="G16" s="17" t="str">
        <f t="shared" si="0"/>
        <v/>
      </c>
      <c r="K16" s="2" t="str">
        <f t="shared" si="1"/>
        <v>이지향</v>
      </c>
      <c r="L16" s="2" t="str">
        <f t="shared" si="2"/>
        <v>지향</v>
      </c>
      <c r="M16" s="2" t="str">
        <f t="shared" si="3"/>
        <v/>
      </c>
      <c r="N16" s="5" t="s">
        <v>26</v>
      </c>
      <c r="O16" s="179"/>
      <c r="P16" s="186"/>
      <c r="Q16" s="186"/>
    </row>
    <row r="17" spans="2:22" x14ac:dyDescent="0.3">
      <c r="B17" s="16">
        <v>10115</v>
      </c>
      <c r="C17" s="18">
        <v>2</v>
      </c>
      <c r="D17" s="104" t="s">
        <v>217</v>
      </c>
      <c r="E17" s="101"/>
      <c r="F17" s="101"/>
      <c r="G17" s="17" t="str">
        <f t="shared" si="0"/>
        <v/>
      </c>
      <c r="K17" s="2" t="str">
        <f t="shared" si="1"/>
        <v>정지원</v>
      </c>
      <c r="L17" s="2" t="str">
        <f t="shared" si="2"/>
        <v>지원</v>
      </c>
      <c r="M17" s="2" t="str">
        <f t="shared" si="3"/>
        <v/>
      </c>
      <c r="N17" s="5" t="s">
        <v>26</v>
      </c>
      <c r="O17" s="82"/>
    </row>
    <row r="18" spans="2:22" x14ac:dyDescent="0.3">
      <c r="B18" s="16">
        <v>10116</v>
      </c>
      <c r="C18" s="18">
        <v>1</v>
      </c>
      <c r="D18" s="104" t="s">
        <v>218</v>
      </c>
      <c r="E18" s="101"/>
      <c r="F18" s="101"/>
      <c r="G18" s="17" t="str">
        <f t="shared" si="0"/>
        <v/>
      </c>
      <c r="K18" s="2" t="str">
        <f t="shared" si="1"/>
        <v>김범준</v>
      </c>
      <c r="L18" s="2" t="str">
        <f t="shared" si="2"/>
        <v>범준</v>
      </c>
      <c r="M18" s="2" t="str">
        <f t="shared" si="3"/>
        <v/>
      </c>
      <c r="N18" s="5" t="s">
        <v>26</v>
      </c>
      <c r="O18" s="179" t="s">
        <v>90</v>
      </c>
      <c r="P18" s="184" t="s">
        <v>111</v>
      </c>
      <c r="Q18" s="175"/>
      <c r="S18" s="97"/>
      <c r="V18" s="97"/>
    </row>
    <row r="19" spans="2:22" x14ac:dyDescent="0.3">
      <c r="B19" s="16">
        <v>10117</v>
      </c>
      <c r="C19" s="18">
        <v>1</v>
      </c>
      <c r="D19" s="104" t="s">
        <v>219</v>
      </c>
      <c r="E19" s="101"/>
      <c r="F19" s="101"/>
      <c r="G19" s="17" t="str">
        <f t="shared" si="0"/>
        <v/>
      </c>
      <c r="K19" s="2" t="str">
        <f t="shared" si="1"/>
        <v>김동준</v>
      </c>
      <c r="L19" s="2" t="str">
        <f t="shared" si="2"/>
        <v>동준</v>
      </c>
      <c r="M19" s="2" t="str">
        <f t="shared" si="3"/>
        <v/>
      </c>
      <c r="N19" s="5" t="s">
        <v>26</v>
      </c>
      <c r="O19" s="179"/>
      <c r="P19" s="175"/>
      <c r="Q19" s="175"/>
    </row>
    <row r="20" spans="2:22" x14ac:dyDescent="0.3">
      <c r="B20" s="16">
        <v>10118</v>
      </c>
      <c r="C20" s="18">
        <v>1</v>
      </c>
      <c r="D20" s="104" t="s">
        <v>220</v>
      </c>
      <c r="E20" s="101"/>
      <c r="F20" s="101"/>
      <c r="G20" s="17" t="str">
        <f t="shared" si="0"/>
        <v/>
      </c>
      <c r="K20" s="2" t="str">
        <f t="shared" si="1"/>
        <v>김시몬</v>
      </c>
      <c r="L20" s="2" t="str">
        <f t="shared" si="2"/>
        <v>시몬</v>
      </c>
      <c r="M20" s="2" t="str">
        <f t="shared" si="3"/>
        <v/>
      </c>
      <c r="N20" s="5" t="s">
        <v>26</v>
      </c>
      <c r="O20" s="82"/>
    </row>
    <row r="21" spans="2:22" x14ac:dyDescent="0.3">
      <c r="B21" s="16">
        <v>10119</v>
      </c>
      <c r="C21" s="18">
        <v>1</v>
      </c>
      <c r="D21" s="104" t="s">
        <v>221</v>
      </c>
      <c r="E21" s="101"/>
      <c r="F21" s="101"/>
      <c r="G21" s="17" t="str">
        <f t="shared" si="0"/>
        <v/>
      </c>
      <c r="K21" s="2" t="str">
        <f t="shared" si="1"/>
        <v>박시영</v>
      </c>
      <c r="L21" s="2" t="str">
        <f t="shared" si="2"/>
        <v>시영</v>
      </c>
      <c r="M21" s="2" t="str">
        <f t="shared" si="3"/>
        <v/>
      </c>
      <c r="N21" s="5" t="s">
        <v>26</v>
      </c>
      <c r="O21" s="178" t="s">
        <v>93</v>
      </c>
      <c r="P21" s="181" t="s">
        <v>29</v>
      </c>
      <c r="Q21" s="181"/>
      <c r="S21" s="181" t="s">
        <v>30</v>
      </c>
      <c r="T21" s="181"/>
      <c r="U21" t="s">
        <v>94</v>
      </c>
    </row>
    <row r="22" spans="2:22" x14ac:dyDescent="0.3">
      <c r="B22" s="16">
        <v>10120</v>
      </c>
      <c r="C22" s="18">
        <v>1</v>
      </c>
      <c r="D22" s="104" t="s">
        <v>222</v>
      </c>
      <c r="E22" s="101"/>
      <c r="F22" s="101"/>
      <c r="G22" s="17" t="str">
        <f t="shared" si="0"/>
        <v/>
      </c>
      <c r="K22" s="2" t="str">
        <f t="shared" si="1"/>
        <v>배준서</v>
      </c>
      <c r="L22" s="2" t="str">
        <f t="shared" si="2"/>
        <v>준서</v>
      </c>
      <c r="M22" s="2" t="str">
        <f t="shared" si="3"/>
        <v/>
      </c>
      <c r="N22" s="5" t="s">
        <v>26</v>
      </c>
      <c r="O22" s="179"/>
      <c r="P22" s="181"/>
      <c r="Q22" s="181"/>
      <c r="S22" s="181"/>
      <c r="T22" s="181"/>
      <c r="U22" s="32" t="s">
        <v>49</v>
      </c>
    </row>
    <row r="23" spans="2:22" x14ac:dyDescent="0.3">
      <c r="B23" s="16">
        <v>10121</v>
      </c>
      <c r="C23" s="18">
        <v>1</v>
      </c>
      <c r="D23" s="104" t="s">
        <v>223</v>
      </c>
      <c r="E23" s="101"/>
      <c r="F23" s="101"/>
      <c r="G23" s="17" t="str">
        <f t="shared" si="0"/>
        <v/>
      </c>
      <c r="K23" s="2" t="str">
        <f t="shared" si="1"/>
        <v>백승현</v>
      </c>
      <c r="L23" s="2" t="str">
        <f t="shared" si="2"/>
        <v>승현</v>
      </c>
      <c r="M23" s="2" t="str">
        <f t="shared" si="3"/>
        <v/>
      </c>
      <c r="N23" s="5" t="s">
        <v>26</v>
      </c>
      <c r="O23" s="82"/>
    </row>
    <row r="24" spans="2:22" x14ac:dyDescent="0.3">
      <c r="B24" s="16">
        <v>10122</v>
      </c>
      <c r="C24" s="18">
        <v>1</v>
      </c>
      <c r="D24" s="104" t="s">
        <v>224</v>
      </c>
      <c r="E24" s="101"/>
      <c r="F24" s="101"/>
      <c r="G24" s="17" t="str">
        <f t="shared" si="0"/>
        <v/>
      </c>
      <c r="K24" s="2" t="str">
        <f t="shared" si="1"/>
        <v>봉승민</v>
      </c>
      <c r="L24" s="2" t="str">
        <f t="shared" si="2"/>
        <v>승민</v>
      </c>
      <c r="M24" s="2" t="str">
        <f t="shared" si="3"/>
        <v/>
      </c>
      <c r="N24" s="5" t="s">
        <v>26</v>
      </c>
      <c r="O24" s="179" t="s">
        <v>91</v>
      </c>
      <c r="P24" s="182" t="s">
        <v>32</v>
      </c>
      <c r="Q24" s="182"/>
    </row>
    <row r="25" spans="2:22" x14ac:dyDescent="0.3">
      <c r="B25" s="16">
        <v>10123</v>
      </c>
      <c r="C25" s="18">
        <v>1</v>
      </c>
      <c r="D25" s="104" t="s">
        <v>225</v>
      </c>
      <c r="E25" s="101"/>
      <c r="F25" s="101"/>
      <c r="G25" s="17" t="str">
        <f t="shared" si="0"/>
        <v/>
      </c>
      <c r="K25" s="2" t="str">
        <f t="shared" si="1"/>
        <v>안재희</v>
      </c>
      <c r="L25" s="2" t="str">
        <f t="shared" si="2"/>
        <v>재희</v>
      </c>
      <c r="M25" s="2" t="str">
        <f t="shared" si="3"/>
        <v/>
      </c>
      <c r="N25" s="5" t="s">
        <v>26</v>
      </c>
      <c r="O25" s="179"/>
      <c r="P25" s="182"/>
      <c r="Q25" s="182"/>
    </row>
    <row r="26" spans="2:22" x14ac:dyDescent="0.3">
      <c r="B26" s="16">
        <v>10124</v>
      </c>
      <c r="C26" s="18">
        <v>1</v>
      </c>
      <c r="D26" s="104" t="s">
        <v>226</v>
      </c>
      <c r="E26" s="101"/>
      <c r="F26" s="101"/>
      <c r="G26" s="17" t="str">
        <f t="shared" si="0"/>
        <v/>
      </c>
      <c r="K26" s="2" t="str">
        <f t="shared" si="1"/>
        <v>윤현진</v>
      </c>
      <c r="L26" s="2" t="str">
        <f t="shared" si="2"/>
        <v>현진</v>
      </c>
      <c r="M26" s="2" t="str">
        <f t="shared" si="3"/>
        <v/>
      </c>
      <c r="N26" s="5" t="s">
        <v>26</v>
      </c>
      <c r="O26" s="82"/>
    </row>
    <row r="27" spans="2:22" x14ac:dyDescent="0.3">
      <c r="B27" s="16">
        <v>10125</v>
      </c>
      <c r="C27" s="18">
        <v>1</v>
      </c>
      <c r="D27" s="104" t="s">
        <v>227</v>
      </c>
      <c r="E27" s="101"/>
      <c r="F27" s="101"/>
      <c r="G27" s="17" t="str">
        <f t="shared" si="0"/>
        <v/>
      </c>
      <c r="K27" s="2" t="str">
        <f t="shared" si="1"/>
        <v>이지학</v>
      </c>
      <c r="L27" s="2" t="str">
        <f t="shared" si="2"/>
        <v>지학</v>
      </c>
      <c r="M27" s="2" t="str">
        <f t="shared" si="3"/>
        <v/>
      </c>
      <c r="N27" s="5" t="s">
        <v>26</v>
      </c>
      <c r="O27" s="179" t="s">
        <v>92</v>
      </c>
      <c r="P27" s="146" t="s">
        <v>31</v>
      </c>
      <c r="Q27" s="146"/>
      <c r="S27" s="32" t="s">
        <v>75</v>
      </c>
    </row>
    <row r="28" spans="2:22" x14ac:dyDescent="0.3">
      <c r="B28" s="16">
        <v>10126</v>
      </c>
      <c r="C28" s="18">
        <v>1</v>
      </c>
      <c r="D28" s="104" t="s">
        <v>228</v>
      </c>
      <c r="E28" s="101"/>
      <c r="F28" s="101"/>
      <c r="G28" s="17" t="str">
        <f t="shared" si="0"/>
        <v/>
      </c>
      <c r="K28" s="2" t="str">
        <f t="shared" si="1"/>
        <v>이훈희</v>
      </c>
      <c r="L28" s="2" t="str">
        <f t="shared" si="2"/>
        <v>훈희</v>
      </c>
      <c r="M28" s="2" t="str">
        <f t="shared" si="3"/>
        <v/>
      </c>
      <c r="N28" s="5" t="s">
        <v>26</v>
      </c>
      <c r="O28" s="179"/>
      <c r="P28" s="146"/>
      <c r="Q28" s="146"/>
      <c r="R28" s="31"/>
      <c r="S28" s="47" t="s">
        <v>76</v>
      </c>
    </row>
    <row r="29" spans="2:22" x14ac:dyDescent="0.3">
      <c r="B29" s="16">
        <v>10127</v>
      </c>
      <c r="C29" s="18">
        <v>1</v>
      </c>
      <c r="D29" s="104" t="s">
        <v>229</v>
      </c>
      <c r="E29" s="101"/>
      <c r="F29" s="101"/>
      <c r="G29" s="17" t="str">
        <f t="shared" si="0"/>
        <v/>
      </c>
      <c r="K29" s="2" t="str">
        <f t="shared" si="1"/>
        <v>임도균</v>
      </c>
      <c r="L29" s="2" t="str">
        <f t="shared" si="2"/>
        <v>도균</v>
      </c>
      <c r="M29" s="2" t="str">
        <f t="shared" si="3"/>
        <v/>
      </c>
      <c r="N29" s="5" t="s">
        <v>26</v>
      </c>
    </row>
    <row r="30" spans="2:22" x14ac:dyDescent="0.3">
      <c r="B30" s="16">
        <v>10128</v>
      </c>
      <c r="C30" s="18">
        <v>1</v>
      </c>
      <c r="D30" s="104" t="s">
        <v>230</v>
      </c>
      <c r="E30" s="101"/>
      <c r="F30" s="101"/>
      <c r="G30" s="17" t="str">
        <f t="shared" si="0"/>
        <v/>
      </c>
      <c r="K30" s="2" t="str">
        <f t="shared" si="1"/>
        <v>최병주</v>
      </c>
      <c r="L30" s="2" t="str">
        <f t="shared" si="2"/>
        <v>병주</v>
      </c>
      <c r="M30" s="2" t="str">
        <f t="shared" si="3"/>
        <v/>
      </c>
      <c r="N30" s="5" t="s">
        <v>26</v>
      </c>
    </row>
    <row r="31" spans="2:22" x14ac:dyDescent="0.3">
      <c r="B31" s="16">
        <v>10130</v>
      </c>
      <c r="C31" s="18">
        <v>1</v>
      </c>
      <c r="D31" s="104" t="s">
        <v>231</v>
      </c>
      <c r="E31" s="101"/>
      <c r="F31" s="101"/>
      <c r="G31" s="17" t="str">
        <f t="shared" si="0"/>
        <v/>
      </c>
      <c r="K31" s="2" t="str">
        <f t="shared" si="1"/>
        <v>최현민</v>
      </c>
      <c r="L31" s="2" t="str">
        <f t="shared" si="2"/>
        <v>현민</v>
      </c>
      <c r="M31" s="2" t="str">
        <f t="shared" si="3"/>
        <v/>
      </c>
      <c r="N31" s="5" t="s">
        <v>26</v>
      </c>
    </row>
    <row r="32" spans="2:22" x14ac:dyDescent="0.3">
      <c r="B32" s="16">
        <v>10201</v>
      </c>
      <c r="C32" s="18">
        <v>2</v>
      </c>
      <c r="D32" s="104" t="s">
        <v>232</v>
      </c>
      <c r="E32" s="101"/>
      <c r="F32" s="101"/>
      <c r="G32" s="17" t="str">
        <f t="shared" si="0"/>
        <v/>
      </c>
      <c r="K32" s="2" t="str">
        <f t="shared" si="1"/>
        <v>권보예</v>
      </c>
      <c r="L32" s="2" t="str">
        <f t="shared" si="2"/>
        <v>보예</v>
      </c>
      <c r="M32" s="2" t="str">
        <f t="shared" si="3"/>
        <v/>
      </c>
      <c r="N32" s="5" t="s">
        <v>26</v>
      </c>
    </row>
    <row r="33" spans="2:16" x14ac:dyDescent="0.3">
      <c r="B33" s="16">
        <v>10202</v>
      </c>
      <c r="C33" s="18">
        <v>2</v>
      </c>
      <c r="D33" s="104" t="s">
        <v>233</v>
      </c>
      <c r="E33" s="101"/>
      <c r="F33" s="101"/>
      <c r="G33" s="17" t="str">
        <f t="shared" si="0"/>
        <v/>
      </c>
      <c r="K33" s="2" t="str">
        <f t="shared" si="1"/>
        <v>김민서</v>
      </c>
      <c r="L33" s="2" t="str">
        <f t="shared" si="2"/>
        <v>민서</v>
      </c>
      <c r="M33" s="2" t="str">
        <f t="shared" si="3"/>
        <v/>
      </c>
      <c r="N33" s="5" t="s">
        <v>26</v>
      </c>
    </row>
    <row r="34" spans="2:16" x14ac:dyDescent="0.3">
      <c r="B34" s="16">
        <v>10203</v>
      </c>
      <c r="C34" s="18">
        <v>2</v>
      </c>
      <c r="D34" s="104" t="s">
        <v>234</v>
      </c>
      <c r="E34" s="101"/>
      <c r="F34" s="101"/>
      <c r="G34" s="17" t="str">
        <f t="shared" si="0"/>
        <v/>
      </c>
      <c r="K34" s="2" t="str">
        <f t="shared" si="1"/>
        <v>김소희</v>
      </c>
      <c r="L34" s="2" t="str">
        <f t="shared" si="2"/>
        <v>소희</v>
      </c>
      <c r="M34" s="2" t="str">
        <f t="shared" si="3"/>
        <v/>
      </c>
      <c r="N34" s="5" t="s">
        <v>26</v>
      </c>
    </row>
    <row r="35" spans="2:16" x14ac:dyDescent="0.3">
      <c r="B35" s="16">
        <v>10204</v>
      </c>
      <c r="C35" s="18">
        <v>2</v>
      </c>
      <c r="D35" s="104" t="s">
        <v>235</v>
      </c>
      <c r="E35" s="101"/>
      <c r="F35" s="101"/>
      <c r="G35" s="17" t="str">
        <f t="shared" si="0"/>
        <v/>
      </c>
      <c r="K35" s="2" t="str">
        <f t="shared" si="1"/>
        <v>김예진</v>
      </c>
      <c r="L35" s="2" t="str">
        <f t="shared" si="2"/>
        <v>예진</v>
      </c>
      <c r="M35" s="2" t="str">
        <f t="shared" si="3"/>
        <v/>
      </c>
      <c r="N35" s="5" t="s">
        <v>26</v>
      </c>
    </row>
    <row r="36" spans="2:16" x14ac:dyDescent="0.3">
      <c r="B36" s="16">
        <v>10205</v>
      </c>
      <c r="C36" s="18">
        <v>2</v>
      </c>
      <c r="D36" s="104" t="s">
        <v>236</v>
      </c>
      <c r="E36" s="101"/>
      <c r="F36" s="101"/>
      <c r="G36" s="17" t="str">
        <f t="shared" si="0"/>
        <v/>
      </c>
      <c r="K36" s="2" t="str">
        <f t="shared" si="1"/>
        <v>김윤아</v>
      </c>
      <c r="L36" s="2" t="str">
        <f t="shared" si="2"/>
        <v>윤아</v>
      </c>
      <c r="M36" s="2" t="str">
        <f t="shared" si="3"/>
        <v/>
      </c>
      <c r="N36" s="5" t="s">
        <v>26</v>
      </c>
    </row>
    <row r="37" spans="2:16" x14ac:dyDescent="0.3">
      <c r="B37" s="16">
        <v>10206</v>
      </c>
      <c r="C37" s="18">
        <v>2</v>
      </c>
      <c r="D37" s="104" t="s">
        <v>237</v>
      </c>
      <c r="E37" s="101"/>
      <c r="F37" s="101"/>
      <c r="G37" s="17" t="str">
        <f t="shared" si="0"/>
        <v/>
      </c>
      <c r="K37" s="2" t="str">
        <f t="shared" si="1"/>
        <v>박지우</v>
      </c>
      <c r="L37" s="2" t="str">
        <f t="shared" si="2"/>
        <v>지우</v>
      </c>
      <c r="M37" s="2" t="str">
        <f t="shared" si="3"/>
        <v/>
      </c>
      <c r="N37" s="5" t="s">
        <v>26</v>
      </c>
      <c r="P37" t="s">
        <v>26</v>
      </c>
    </row>
    <row r="38" spans="2:16" x14ac:dyDescent="0.3">
      <c r="B38" s="16">
        <v>10207</v>
      </c>
      <c r="C38" s="18">
        <v>2</v>
      </c>
      <c r="D38" s="104" t="s">
        <v>238</v>
      </c>
      <c r="E38" s="101"/>
      <c r="F38" s="101"/>
      <c r="G38" s="17" t="str">
        <f t="shared" si="0"/>
        <v/>
      </c>
      <c r="K38" s="2" t="str">
        <f t="shared" si="1"/>
        <v>배수민</v>
      </c>
      <c r="L38" s="2" t="str">
        <f t="shared" si="2"/>
        <v>수민</v>
      </c>
      <c r="M38" s="2" t="str">
        <f t="shared" si="3"/>
        <v/>
      </c>
      <c r="N38" s="5" t="s">
        <v>26</v>
      </c>
      <c r="P38" t="s">
        <v>26</v>
      </c>
    </row>
    <row r="39" spans="2:16" x14ac:dyDescent="0.3">
      <c r="B39" s="16">
        <v>10208</v>
      </c>
      <c r="C39" s="18">
        <v>2</v>
      </c>
      <c r="D39" s="104" t="s">
        <v>239</v>
      </c>
      <c r="E39" s="101"/>
      <c r="F39" s="101"/>
      <c r="G39" s="17" t="str">
        <f t="shared" si="0"/>
        <v/>
      </c>
      <c r="K39" s="2" t="str">
        <f t="shared" si="1"/>
        <v>원이빈</v>
      </c>
      <c r="L39" s="2" t="str">
        <f t="shared" si="2"/>
        <v>이빈</v>
      </c>
      <c r="M39" s="2" t="str">
        <f t="shared" si="3"/>
        <v/>
      </c>
      <c r="N39" s="5" t="s">
        <v>26</v>
      </c>
      <c r="P39" t="s">
        <v>26</v>
      </c>
    </row>
    <row r="40" spans="2:16" x14ac:dyDescent="0.3">
      <c r="B40" s="16">
        <v>10209</v>
      </c>
      <c r="C40" s="18">
        <v>2</v>
      </c>
      <c r="D40" s="104" t="s">
        <v>240</v>
      </c>
      <c r="E40" s="101"/>
      <c r="F40" s="101"/>
      <c r="G40" s="17" t="str">
        <f t="shared" si="0"/>
        <v/>
      </c>
      <c r="K40" s="2" t="str">
        <f t="shared" si="1"/>
        <v>이유진</v>
      </c>
      <c r="L40" s="2" t="str">
        <f t="shared" si="2"/>
        <v>유진</v>
      </c>
      <c r="M40" s="2" t="str">
        <f t="shared" si="3"/>
        <v/>
      </c>
      <c r="N40" s="5" t="s">
        <v>26</v>
      </c>
      <c r="P40" t="s">
        <v>26</v>
      </c>
    </row>
    <row r="41" spans="2:16" x14ac:dyDescent="0.3">
      <c r="B41" s="16">
        <v>10210</v>
      </c>
      <c r="C41" s="18">
        <v>2</v>
      </c>
      <c r="D41" s="104" t="s">
        <v>241</v>
      </c>
      <c r="E41" s="101"/>
      <c r="F41" s="101"/>
      <c r="G41" s="17" t="str">
        <f t="shared" si="0"/>
        <v/>
      </c>
      <c r="K41" s="2" t="str">
        <f t="shared" si="1"/>
        <v>이은서</v>
      </c>
      <c r="L41" s="2" t="str">
        <f t="shared" si="2"/>
        <v>은서</v>
      </c>
      <c r="M41" s="2" t="str">
        <f t="shared" si="3"/>
        <v/>
      </c>
      <c r="N41" s="5" t="s">
        <v>26</v>
      </c>
      <c r="P41" t="s">
        <v>26</v>
      </c>
    </row>
    <row r="42" spans="2:16" x14ac:dyDescent="0.3">
      <c r="B42" s="16">
        <v>10211</v>
      </c>
      <c r="C42" s="18">
        <v>2</v>
      </c>
      <c r="D42" s="104" t="s">
        <v>242</v>
      </c>
      <c r="E42" s="101"/>
      <c r="F42" s="101"/>
      <c r="G42" s="17" t="str">
        <f t="shared" si="0"/>
        <v/>
      </c>
      <c r="K42" s="2" t="str">
        <f t="shared" si="1"/>
        <v>이지윤</v>
      </c>
      <c r="L42" s="2" t="str">
        <f t="shared" si="2"/>
        <v>지윤</v>
      </c>
      <c r="M42" s="2" t="str">
        <f t="shared" si="3"/>
        <v/>
      </c>
      <c r="N42" s="5" t="s">
        <v>26</v>
      </c>
      <c r="P42" t="s">
        <v>26</v>
      </c>
    </row>
    <row r="43" spans="2:16" x14ac:dyDescent="0.3">
      <c r="B43" s="16">
        <v>10212</v>
      </c>
      <c r="C43" s="18">
        <v>2</v>
      </c>
      <c r="D43" s="104" t="s">
        <v>243</v>
      </c>
      <c r="E43" s="101"/>
      <c r="F43" s="101"/>
      <c r="G43" s="17" t="str">
        <f t="shared" si="0"/>
        <v/>
      </c>
      <c r="K43" s="2" t="str">
        <f t="shared" si="1"/>
        <v>임지유</v>
      </c>
      <c r="L43" s="2" t="str">
        <f t="shared" si="2"/>
        <v>지유</v>
      </c>
      <c r="M43" s="2" t="str">
        <f t="shared" si="3"/>
        <v/>
      </c>
      <c r="N43" s="5" t="s">
        <v>26</v>
      </c>
      <c r="P43" t="s">
        <v>26</v>
      </c>
    </row>
    <row r="44" spans="2:16" x14ac:dyDescent="0.3">
      <c r="B44" s="16">
        <v>10213</v>
      </c>
      <c r="C44" s="18">
        <v>2</v>
      </c>
      <c r="D44" s="104" t="s">
        <v>244</v>
      </c>
      <c r="E44" s="101"/>
      <c r="F44" s="101"/>
      <c r="G44" s="17" t="str">
        <f t="shared" si="0"/>
        <v/>
      </c>
      <c r="K44" s="2" t="str">
        <f t="shared" si="1"/>
        <v>정지유</v>
      </c>
      <c r="L44" s="2" t="str">
        <f t="shared" si="2"/>
        <v>지유</v>
      </c>
      <c r="M44" s="2" t="str">
        <f t="shared" si="3"/>
        <v/>
      </c>
      <c r="N44" s="5" t="s">
        <v>26</v>
      </c>
      <c r="P44" t="s">
        <v>26</v>
      </c>
    </row>
    <row r="45" spans="2:16" x14ac:dyDescent="0.3">
      <c r="B45" s="16">
        <v>10214</v>
      </c>
      <c r="C45" s="18">
        <v>2</v>
      </c>
      <c r="D45" s="104" t="s">
        <v>245</v>
      </c>
      <c r="E45" s="101"/>
      <c r="F45" s="101"/>
      <c r="G45" s="17" t="str">
        <f t="shared" si="0"/>
        <v/>
      </c>
      <c r="K45" s="2" t="str">
        <f t="shared" si="1"/>
        <v>조아름</v>
      </c>
      <c r="L45" s="2" t="str">
        <f t="shared" si="2"/>
        <v>아름</v>
      </c>
      <c r="M45" s="2" t="str">
        <f t="shared" si="3"/>
        <v/>
      </c>
      <c r="N45" s="5" t="s">
        <v>26</v>
      </c>
      <c r="P45" t="s">
        <v>26</v>
      </c>
    </row>
    <row r="46" spans="2:16" x14ac:dyDescent="0.3">
      <c r="B46" s="16">
        <v>10215</v>
      </c>
      <c r="C46" s="18">
        <v>2</v>
      </c>
      <c r="D46" s="104" t="s">
        <v>246</v>
      </c>
      <c r="E46" s="101"/>
      <c r="F46" s="101"/>
      <c r="G46" s="17" t="str">
        <f t="shared" si="0"/>
        <v/>
      </c>
      <c r="K46" s="2" t="str">
        <f t="shared" si="1"/>
        <v>황시현</v>
      </c>
      <c r="L46" s="2" t="str">
        <f t="shared" si="2"/>
        <v>시현</v>
      </c>
      <c r="M46" s="2" t="str">
        <f t="shared" si="3"/>
        <v/>
      </c>
      <c r="N46" s="5" t="s">
        <v>26</v>
      </c>
      <c r="P46" t="s">
        <v>26</v>
      </c>
    </row>
    <row r="47" spans="2:16" x14ac:dyDescent="0.3">
      <c r="B47" s="16">
        <v>10216</v>
      </c>
      <c r="C47" s="18">
        <v>1</v>
      </c>
      <c r="D47" s="104" t="s">
        <v>247</v>
      </c>
      <c r="E47" s="101"/>
      <c r="F47" s="101"/>
      <c r="G47" s="17" t="str">
        <f t="shared" si="0"/>
        <v/>
      </c>
      <c r="K47" s="2" t="str">
        <f t="shared" si="1"/>
        <v>강민우</v>
      </c>
      <c r="L47" s="2" t="str">
        <f t="shared" si="2"/>
        <v>민우</v>
      </c>
      <c r="M47" s="2" t="str">
        <f t="shared" si="3"/>
        <v/>
      </c>
      <c r="N47" s="4" t="s">
        <v>26</v>
      </c>
      <c r="O47" s="1"/>
      <c r="P47" t="s">
        <v>26</v>
      </c>
    </row>
    <row r="48" spans="2:16" x14ac:dyDescent="0.3">
      <c r="B48" s="16">
        <v>10217</v>
      </c>
      <c r="C48" s="18">
        <v>1</v>
      </c>
      <c r="D48" s="104" t="s">
        <v>248</v>
      </c>
      <c r="E48" s="101"/>
      <c r="F48" s="101"/>
      <c r="G48" s="17" t="str">
        <f t="shared" si="0"/>
        <v/>
      </c>
      <c r="K48" s="2" t="str">
        <f t="shared" si="1"/>
        <v>김도영</v>
      </c>
      <c r="L48" s="2" t="str">
        <f t="shared" si="2"/>
        <v>도영</v>
      </c>
      <c r="M48" s="2" t="str">
        <f t="shared" si="3"/>
        <v/>
      </c>
      <c r="N48" s="5" t="s">
        <v>26</v>
      </c>
      <c r="P48" t="s">
        <v>26</v>
      </c>
    </row>
    <row r="49" spans="2:16" x14ac:dyDescent="0.3">
      <c r="B49" s="16">
        <v>10218</v>
      </c>
      <c r="C49" s="18">
        <v>1</v>
      </c>
      <c r="D49" s="104" t="s">
        <v>249</v>
      </c>
      <c r="E49" s="101"/>
      <c r="F49" s="101"/>
      <c r="G49" s="17" t="str">
        <f t="shared" si="0"/>
        <v/>
      </c>
      <c r="K49" s="2" t="str">
        <f t="shared" si="1"/>
        <v>김민규</v>
      </c>
      <c r="L49" s="2" t="str">
        <f t="shared" si="2"/>
        <v>민규</v>
      </c>
      <c r="M49" s="2" t="str">
        <f t="shared" si="3"/>
        <v/>
      </c>
      <c r="N49" s="5" t="s">
        <v>26</v>
      </c>
      <c r="P49" t="s">
        <v>26</v>
      </c>
    </row>
    <row r="50" spans="2:16" x14ac:dyDescent="0.3">
      <c r="B50" s="16">
        <v>10219</v>
      </c>
      <c r="C50" s="18">
        <v>1</v>
      </c>
      <c r="D50" s="104" t="s">
        <v>250</v>
      </c>
      <c r="E50" s="101"/>
      <c r="F50" s="101"/>
      <c r="G50" s="17" t="str">
        <f t="shared" si="0"/>
        <v/>
      </c>
      <c r="K50" s="2" t="str">
        <f t="shared" si="1"/>
        <v>김환희</v>
      </c>
      <c r="L50" s="2" t="str">
        <f t="shared" si="2"/>
        <v>환희</v>
      </c>
      <c r="M50" s="2" t="str">
        <f t="shared" si="3"/>
        <v/>
      </c>
      <c r="N50" s="5" t="s">
        <v>26</v>
      </c>
      <c r="P50" t="s">
        <v>26</v>
      </c>
    </row>
    <row r="51" spans="2:16" x14ac:dyDescent="0.3">
      <c r="B51" s="16">
        <v>10220</v>
      </c>
      <c r="C51" s="18">
        <v>1</v>
      </c>
      <c r="D51" s="104" t="s">
        <v>251</v>
      </c>
      <c r="E51" s="101"/>
      <c r="F51" s="101"/>
      <c r="G51" s="17" t="str">
        <f t="shared" si="0"/>
        <v/>
      </c>
      <c r="K51" s="2" t="str">
        <f t="shared" si="1"/>
        <v>목하균</v>
      </c>
      <c r="L51" s="2" t="str">
        <f t="shared" si="2"/>
        <v>하균</v>
      </c>
      <c r="M51" s="2" t="str">
        <f t="shared" si="3"/>
        <v/>
      </c>
      <c r="N51" s="4" t="s">
        <v>26</v>
      </c>
      <c r="O51" s="1"/>
      <c r="P51" t="s">
        <v>26</v>
      </c>
    </row>
    <row r="52" spans="2:16" x14ac:dyDescent="0.3">
      <c r="B52" s="16">
        <v>10221</v>
      </c>
      <c r="C52" s="18">
        <v>1</v>
      </c>
      <c r="D52" s="104" t="s">
        <v>252</v>
      </c>
      <c r="E52" s="101"/>
      <c r="F52" s="101"/>
      <c r="G52" s="17" t="str">
        <f t="shared" si="0"/>
        <v/>
      </c>
      <c r="K52" s="2" t="str">
        <f t="shared" si="1"/>
        <v>왕원호</v>
      </c>
      <c r="L52" s="2" t="str">
        <f t="shared" si="2"/>
        <v>원호</v>
      </c>
      <c r="M52" s="2" t="str">
        <f t="shared" si="3"/>
        <v/>
      </c>
      <c r="N52" s="5" t="s">
        <v>26</v>
      </c>
      <c r="P52" t="s">
        <v>26</v>
      </c>
    </row>
    <row r="53" spans="2:16" x14ac:dyDescent="0.3">
      <c r="B53" s="16">
        <v>10222</v>
      </c>
      <c r="C53" s="18">
        <v>1</v>
      </c>
      <c r="D53" s="104" t="s">
        <v>253</v>
      </c>
      <c r="E53" s="101"/>
      <c r="F53" s="101"/>
      <c r="G53" s="17" t="str">
        <f t="shared" si="0"/>
        <v/>
      </c>
      <c r="K53" s="2" t="str">
        <f t="shared" si="1"/>
        <v>이건우</v>
      </c>
      <c r="L53" s="2" t="str">
        <f t="shared" si="2"/>
        <v>건우</v>
      </c>
      <c r="M53" s="2" t="str">
        <f t="shared" si="3"/>
        <v/>
      </c>
      <c r="N53" s="5" t="s">
        <v>26</v>
      </c>
      <c r="P53" t="s">
        <v>26</v>
      </c>
    </row>
    <row r="54" spans="2:16" x14ac:dyDescent="0.3">
      <c r="B54" s="16">
        <v>10224</v>
      </c>
      <c r="C54" s="18">
        <v>1</v>
      </c>
      <c r="D54" s="104" t="s">
        <v>254</v>
      </c>
      <c r="E54" s="101"/>
      <c r="F54" s="101"/>
      <c r="G54" s="17" t="str">
        <f t="shared" si="0"/>
        <v/>
      </c>
      <c r="K54" s="2" t="str">
        <f t="shared" si="1"/>
        <v>이재욱</v>
      </c>
      <c r="L54" s="2" t="str">
        <f t="shared" si="2"/>
        <v>재욱</v>
      </c>
      <c r="M54" s="2" t="str">
        <f t="shared" si="3"/>
        <v/>
      </c>
      <c r="N54" s="5" t="s">
        <v>26</v>
      </c>
      <c r="P54" t="s">
        <v>26</v>
      </c>
    </row>
    <row r="55" spans="2:16" x14ac:dyDescent="0.3">
      <c r="B55" s="16">
        <v>10225</v>
      </c>
      <c r="C55" s="18">
        <v>1</v>
      </c>
      <c r="D55" s="104" t="s">
        <v>255</v>
      </c>
      <c r="E55" s="101"/>
      <c r="F55" s="101"/>
      <c r="G55" s="17" t="str">
        <f t="shared" si="0"/>
        <v/>
      </c>
      <c r="K55" s="2" t="str">
        <f t="shared" si="1"/>
        <v>이환</v>
      </c>
      <c r="L55" s="2" t="str">
        <f t="shared" si="2"/>
        <v>이환</v>
      </c>
      <c r="M55" s="2" t="str">
        <f t="shared" si="3"/>
        <v/>
      </c>
      <c r="N55" s="5" t="s">
        <v>26</v>
      </c>
      <c r="P55" t="s">
        <v>26</v>
      </c>
    </row>
    <row r="56" spans="2:16" x14ac:dyDescent="0.3">
      <c r="B56" s="16">
        <v>10226</v>
      </c>
      <c r="C56" s="18">
        <v>1</v>
      </c>
      <c r="D56" s="104" t="s">
        <v>256</v>
      </c>
      <c r="E56" s="101"/>
      <c r="F56" s="101"/>
      <c r="G56" s="17" t="str">
        <f t="shared" si="0"/>
        <v/>
      </c>
      <c r="K56" s="2" t="str">
        <f t="shared" si="1"/>
        <v>임승민</v>
      </c>
      <c r="L56" s="2" t="str">
        <f t="shared" si="2"/>
        <v>승민</v>
      </c>
      <c r="M56" s="2" t="str">
        <f t="shared" si="3"/>
        <v>동명</v>
      </c>
      <c r="N56" s="5" t="s">
        <v>530</v>
      </c>
      <c r="P56" t="s">
        <v>26</v>
      </c>
    </row>
    <row r="57" spans="2:16" x14ac:dyDescent="0.3">
      <c r="B57" s="16">
        <v>10227</v>
      </c>
      <c r="C57" s="18">
        <v>1</v>
      </c>
      <c r="D57" s="104" t="s">
        <v>257</v>
      </c>
      <c r="E57" s="101"/>
      <c r="F57" s="101"/>
      <c r="G57" s="17" t="str">
        <f t="shared" si="0"/>
        <v/>
      </c>
      <c r="K57" s="2" t="str">
        <f t="shared" si="1"/>
        <v>장재혁</v>
      </c>
      <c r="L57" s="2" t="str">
        <f t="shared" si="2"/>
        <v>재혁</v>
      </c>
      <c r="M57" s="2" t="str">
        <f t="shared" si="3"/>
        <v/>
      </c>
      <c r="N57" s="5" t="s">
        <v>26</v>
      </c>
      <c r="P57" t="s">
        <v>26</v>
      </c>
    </row>
    <row r="58" spans="2:16" x14ac:dyDescent="0.3">
      <c r="B58" s="16">
        <v>10228</v>
      </c>
      <c r="C58" s="18">
        <v>1</v>
      </c>
      <c r="D58" s="104" t="s">
        <v>258</v>
      </c>
      <c r="E58" s="101"/>
      <c r="F58" s="101"/>
      <c r="G58" s="17" t="str">
        <f t="shared" si="0"/>
        <v/>
      </c>
      <c r="K58" s="2" t="str">
        <f t="shared" si="1"/>
        <v>전민구</v>
      </c>
      <c r="L58" s="2" t="str">
        <f t="shared" si="2"/>
        <v>민구</v>
      </c>
      <c r="M58" s="2" t="str">
        <f t="shared" si="3"/>
        <v/>
      </c>
      <c r="N58" s="5" t="s">
        <v>26</v>
      </c>
      <c r="P58" t="s">
        <v>26</v>
      </c>
    </row>
    <row r="59" spans="2:16" x14ac:dyDescent="0.3">
      <c r="B59" s="16">
        <v>10229</v>
      </c>
      <c r="C59" s="18">
        <v>1</v>
      </c>
      <c r="D59" s="104" t="s">
        <v>259</v>
      </c>
      <c r="E59" s="101"/>
      <c r="F59" s="101"/>
      <c r="G59" s="17" t="str">
        <f t="shared" si="0"/>
        <v/>
      </c>
      <c r="K59" s="2" t="str">
        <f t="shared" si="1"/>
        <v>조영광</v>
      </c>
      <c r="L59" s="2" t="str">
        <f t="shared" si="2"/>
        <v>영광</v>
      </c>
      <c r="M59" s="2" t="str">
        <f t="shared" si="3"/>
        <v/>
      </c>
      <c r="N59" s="5" t="s">
        <v>26</v>
      </c>
      <c r="P59" t="s">
        <v>26</v>
      </c>
    </row>
    <row r="60" spans="2:16" x14ac:dyDescent="0.3">
      <c r="B60" s="16">
        <v>10230</v>
      </c>
      <c r="C60" s="18">
        <v>1</v>
      </c>
      <c r="D60" s="104" t="s">
        <v>260</v>
      </c>
      <c r="E60" s="101"/>
      <c r="F60" s="101"/>
      <c r="G60" s="17" t="str">
        <f t="shared" si="0"/>
        <v/>
      </c>
      <c r="K60" s="2" t="str">
        <f t="shared" si="1"/>
        <v>황현우</v>
      </c>
      <c r="L60" s="2" t="str">
        <f t="shared" si="2"/>
        <v>현우</v>
      </c>
      <c r="M60" s="2" t="str">
        <f t="shared" si="3"/>
        <v/>
      </c>
      <c r="N60" s="5" t="s">
        <v>26</v>
      </c>
      <c r="P60" t="s">
        <v>26</v>
      </c>
    </row>
    <row r="61" spans="2:16" x14ac:dyDescent="0.3">
      <c r="B61" s="16">
        <v>10231</v>
      </c>
      <c r="C61" s="18">
        <v>1</v>
      </c>
      <c r="D61" s="104" t="s">
        <v>261</v>
      </c>
      <c r="E61" s="101"/>
      <c r="F61" s="101"/>
      <c r="G61" s="17" t="str">
        <f t="shared" si="0"/>
        <v/>
      </c>
      <c r="K61" s="2" t="str">
        <f t="shared" si="1"/>
        <v>권동근</v>
      </c>
      <c r="L61" s="2" t="str">
        <f t="shared" si="2"/>
        <v>동근</v>
      </c>
      <c r="M61" s="2" t="str">
        <f t="shared" si="3"/>
        <v/>
      </c>
      <c r="N61" s="5" t="s">
        <v>26</v>
      </c>
      <c r="P61" t="s">
        <v>26</v>
      </c>
    </row>
    <row r="62" spans="2:16" x14ac:dyDescent="0.3">
      <c r="B62" s="16">
        <v>10301</v>
      </c>
      <c r="C62" s="18">
        <v>2</v>
      </c>
      <c r="D62" s="104" t="s">
        <v>262</v>
      </c>
      <c r="E62" s="101"/>
      <c r="F62" s="101"/>
      <c r="G62" s="17" t="str">
        <f t="shared" si="0"/>
        <v/>
      </c>
      <c r="K62" s="2" t="str">
        <f t="shared" si="1"/>
        <v>김시윤</v>
      </c>
      <c r="L62" s="2" t="str">
        <f t="shared" si="2"/>
        <v>시윤</v>
      </c>
      <c r="M62" s="2" t="str">
        <f t="shared" si="3"/>
        <v/>
      </c>
      <c r="N62" s="5" t="s">
        <v>26</v>
      </c>
      <c r="P62" t="s">
        <v>26</v>
      </c>
    </row>
    <row r="63" spans="2:16" x14ac:dyDescent="0.3">
      <c r="B63" s="16">
        <v>10302</v>
      </c>
      <c r="C63" s="18">
        <v>2</v>
      </c>
      <c r="D63" s="104" t="s">
        <v>263</v>
      </c>
      <c r="E63" s="101"/>
      <c r="F63" s="101"/>
      <c r="G63" s="17" t="str">
        <f t="shared" si="0"/>
        <v/>
      </c>
      <c r="K63" s="2" t="str">
        <f t="shared" si="1"/>
        <v>명지혜</v>
      </c>
      <c r="L63" s="2" t="str">
        <f t="shared" si="2"/>
        <v>지혜</v>
      </c>
      <c r="M63" s="2" t="str">
        <f t="shared" si="3"/>
        <v/>
      </c>
      <c r="N63" s="5" t="s">
        <v>26</v>
      </c>
      <c r="P63" t="s">
        <v>26</v>
      </c>
    </row>
    <row r="64" spans="2:16" x14ac:dyDescent="0.3">
      <c r="B64" s="16">
        <v>10303</v>
      </c>
      <c r="C64" s="18">
        <v>2</v>
      </c>
      <c r="D64" s="104" t="s">
        <v>264</v>
      </c>
      <c r="E64" s="101"/>
      <c r="F64" s="101"/>
      <c r="G64" s="17" t="str">
        <f t="shared" si="0"/>
        <v/>
      </c>
      <c r="K64" s="2" t="str">
        <f t="shared" si="1"/>
        <v>문정민</v>
      </c>
      <c r="L64" s="2" t="str">
        <f t="shared" si="2"/>
        <v>정민</v>
      </c>
      <c r="M64" s="2" t="str">
        <f t="shared" si="3"/>
        <v/>
      </c>
      <c r="N64" s="5" t="s">
        <v>26</v>
      </c>
      <c r="P64" t="s">
        <v>26</v>
      </c>
    </row>
    <row r="65" spans="2:16" x14ac:dyDescent="0.3">
      <c r="B65" s="16">
        <v>10304</v>
      </c>
      <c r="C65" s="18">
        <v>2</v>
      </c>
      <c r="D65" s="104" t="s">
        <v>265</v>
      </c>
      <c r="E65" s="101"/>
      <c r="F65" s="101"/>
      <c r="G65" s="17" t="str">
        <f t="shared" si="0"/>
        <v/>
      </c>
      <c r="K65" s="2" t="str">
        <f t="shared" si="1"/>
        <v>박혜림</v>
      </c>
      <c r="L65" s="2" t="str">
        <f t="shared" si="2"/>
        <v>혜림</v>
      </c>
      <c r="M65" s="2" t="str">
        <f t="shared" si="3"/>
        <v/>
      </c>
      <c r="N65" s="5" t="s">
        <v>26</v>
      </c>
      <c r="P65" t="s">
        <v>26</v>
      </c>
    </row>
    <row r="66" spans="2:16" x14ac:dyDescent="0.3">
      <c r="B66" s="16">
        <v>10305</v>
      </c>
      <c r="C66" s="18">
        <v>2</v>
      </c>
      <c r="D66" s="104" t="s">
        <v>266</v>
      </c>
      <c r="E66" s="101"/>
      <c r="F66" s="101"/>
      <c r="G66" s="17" t="str">
        <f t="shared" si="0"/>
        <v/>
      </c>
      <c r="K66" s="2" t="str">
        <f t="shared" si="1"/>
        <v>박혜원</v>
      </c>
      <c r="L66" s="2" t="str">
        <f t="shared" si="2"/>
        <v>혜원</v>
      </c>
      <c r="M66" s="2" t="str">
        <f t="shared" si="3"/>
        <v/>
      </c>
      <c r="N66" s="5" t="s">
        <v>26</v>
      </c>
      <c r="P66" t="s">
        <v>26</v>
      </c>
    </row>
    <row r="67" spans="2:16" x14ac:dyDescent="0.3">
      <c r="B67" s="16">
        <v>10306</v>
      </c>
      <c r="C67" s="18">
        <v>2</v>
      </c>
      <c r="D67" s="104" t="s">
        <v>267</v>
      </c>
      <c r="E67" s="101"/>
      <c r="F67" s="101"/>
      <c r="G67" s="17" t="str">
        <f t="shared" si="0"/>
        <v/>
      </c>
      <c r="K67" s="2" t="str">
        <f t="shared" si="1"/>
        <v>서유림</v>
      </c>
      <c r="L67" s="2" t="str">
        <f t="shared" si="2"/>
        <v>유림</v>
      </c>
      <c r="M67" s="2" t="str">
        <f t="shared" si="3"/>
        <v/>
      </c>
      <c r="N67" s="5" t="s">
        <v>26</v>
      </c>
      <c r="P67" t="s">
        <v>26</v>
      </c>
    </row>
    <row r="68" spans="2:16" x14ac:dyDescent="0.3">
      <c r="B68" s="16">
        <v>10307</v>
      </c>
      <c r="C68" s="18">
        <v>2</v>
      </c>
      <c r="D68" s="104" t="s">
        <v>268</v>
      </c>
      <c r="E68" s="101"/>
      <c r="F68" s="101"/>
      <c r="G68" s="17" t="str">
        <f t="shared" ref="G68:G131" si="4">IF(AND(D68=E68,E68=F68),"",IF(AND(F68="",D68=E68),"",IF(AND(D68="",E68=F68),"",IF(AND(E68="",D68=F68),"",""))))</f>
        <v/>
      </c>
      <c r="K68" s="2" t="str">
        <f t="shared" ref="K68:K131" si="5">IF(D68="","",+D68)</f>
        <v>소유빈</v>
      </c>
      <c r="L68" s="2" t="str">
        <f t="shared" ref="L68:L115" si="6">RIGHT(K68,2)</f>
        <v>유빈</v>
      </c>
      <c r="M68" s="2" t="str">
        <f t="shared" ref="M68:M131" si="7">IF(B68="","",IF(COUNTIF($K$3:$K$295,K68)&gt;1,"동명",""))</f>
        <v/>
      </c>
      <c r="N68" s="5" t="s">
        <v>26</v>
      </c>
      <c r="P68" t="s">
        <v>26</v>
      </c>
    </row>
    <row r="69" spans="2:16" x14ac:dyDescent="0.3">
      <c r="B69" s="16">
        <v>10308</v>
      </c>
      <c r="C69" s="18">
        <v>2</v>
      </c>
      <c r="D69" s="104" t="s">
        <v>269</v>
      </c>
      <c r="E69" s="101"/>
      <c r="F69" s="101"/>
      <c r="G69" s="17" t="str">
        <f t="shared" si="4"/>
        <v/>
      </c>
      <c r="K69" s="2" t="str">
        <f t="shared" si="5"/>
        <v>송정아</v>
      </c>
      <c r="L69" s="2" t="str">
        <f t="shared" si="6"/>
        <v>정아</v>
      </c>
      <c r="M69" s="2" t="str">
        <f t="shared" si="7"/>
        <v/>
      </c>
      <c r="N69" s="5" t="s">
        <v>26</v>
      </c>
      <c r="P69" t="s">
        <v>26</v>
      </c>
    </row>
    <row r="70" spans="2:16" x14ac:dyDescent="0.3">
      <c r="B70" s="16">
        <v>10309</v>
      </c>
      <c r="C70" s="18">
        <v>2</v>
      </c>
      <c r="D70" s="104" t="s">
        <v>270</v>
      </c>
      <c r="E70" s="101"/>
      <c r="F70" s="101"/>
      <c r="G70" s="17" t="str">
        <f t="shared" si="4"/>
        <v/>
      </c>
      <c r="K70" s="2" t="str">
        <f t="shared" si="5"/>
        <v>이가은</v>
      </c>
      <c r="L70" s="2" t="str">
        <f t="shared" si="6"/>
        <v>가은</v>
      </c>
      <c r="M70" s="2" t="str">
        <f t="shared" si="7"/>
        <v/>
      </c>
      <c r="N70" s="5" t="s">
        <v>26</v>
      </c>
      <c r="P70" t="s">
        <v>26</v>
      </c>
    </row>
    <row r="71" spans="2:16" x14ac:dyDescent="0.3">
      <c r="B71" s="16">
        <v>10310</v>
      </c>
      <c r="C71" s="18">
        <v>2</v>
      </c>
      <c r="D71" s="104" t="s">
        <v>271</v>
      </c>
      <c r="E71" s="101"/>
      <c r="F71" s="101"/>
      <c r="G71" s="17" t="str">
        <f t="shared" si="4"/>
        <v/>
      </c>
      <c r="K71" s="2" t="str">
        <f t="shared" si="5"/>
        <v>이새봄</v>
      </c>
      <c r="L71" s="2" t="str">
        <f t="shared" si="6"/>
        <v>새봄</v>
      </c>
      <c r="M71" s="2" t="str">
        <f t="shared" si="7"/>
        <v/>
      </c>
      <c r="N71" s="5" t="s">
        <v>26</v>
      </c>
      <c r="P71" t="s">
        <v>26</v>
      </c>
    </row>
    <row r="72" spans="2:16" x14ac:dyDescent="0.3">
      <c r="B72" s="16">
        <v>10311</v>
      </c>
      <c r="C72" s="18">
        <v>2</v>
      </c>
      <c r="D72" s="104" t="s">
        <v>272</v>
      </c>
      <c r="E72" s="101"/>
      <c r="F72" s="101"/>
      <c r="G72" s="17" t="str">
        <f t="shared" si="4"/>
        <v/>
      </c>
      <c r="K72" s="2" t="str">
        <f t="shared" si="5"/>
        <v>이지수</v>
      </c>
      <c r="L72" s="2" t="str">
        <f t="shared" si="6"/>
        <v>지수</v>
      </c>
      <c r="M72" s="2" t="str">
        <f t="shared" si="7"/>
        <v/>
      </c>
      <c r="N72" s="5" t="s">
        <v>26</v>
      </c>
      <c r="P72" t="s">
        <v>26</v>
      </c>
    </row>
    <row r="73" spans="2:16" x14ac:dyDescent="0.3">
      <c r="B73" s="16">
        <v>10312</v>
      </c>
      <c r="C73" s="18">
        <v>2</v>
      </c>
      <c r="D73" s="104" t="s">
        <v>273</v>
      </c>
      <c r="E73" s="101"/>
      <c r="F73" s="101"/>
      <c r="G73" s="17" t="str">
        <f t="shared" si="4"/>
        <v/>
      </c>
      <c r="K73" s="2" t="str">
        <f t="shared" si="5"/>
        <v>정다영</v>
      </c>
      <c r="L73" s="2" t="str">
        <f t="shared" si="6"/>
        <v>다영</v>
      </c>
      <c r="M73" s="2" t="str">
        <f t="shared" si="7"/>
        <v/>
      </c>
      <c r="N73" s="5" t="s">
        <v>26</v>
      </c>
      <c r="P73" t="s">
        <v>26</v>
      </c>
    </row>
    <row r="74" spans="2:16" x14ac:dyDescent="0.3">
      <c r="B74" s="16">
        <v>10313</v>
      </c>
      <c r="C74" s="18">
        <v>2</v>
      </c>
      <c r="D74" s="104" t="s">
        <v>274</v>
      </c>
      <c r="E74" s="101"/>
      <c r="F74" s="101"/>
      <c r="G74" s="17" t="str">
        <f t="shared" si="4"/>
        <v/>
      </c>
      <c r="K74" s="2" t="str">
        <f t="shared" si="5"/>
        <v>최윤정</v>
      </c>
      <c r="L74" s="2" t="str">
        <f t="shared" si="6"/>
        <v>윤정</v>
      </c>
      <c r="M74" s="2" t="str">
        <f t="shared" si="7"/>
        <v/>
      </c>
      <c r="N74" s="5" t="s">
        <v>26</v>
      </c>
      <c r="P74" t="s">
        <v>26</v>
      </c>
    </row>
    <row r="75" spans="2:16" x14ac:dyDescent="0.3">
      <c r="B75" s="16">
        <v>10314</v>
      </c>
      <c r="C75" s="18">
        <v>2</v>
      </c>
      <c r="D75" s="104" t="s">
        <v>275</v>
      </c>
      <c r="E75" s="101"/>
      <c r="F75" s="101"/>
      <c r="G75" s="17" t="str">
        <f t="shared" si="4"/>
        <v/>
      </c>
      <c r="K75" s="2" t="str">
        <f t="shared" si="5"/>
        <v>홍연주</v>
      </c>
      <c r="L75" s="2" t="str">
        <f t="shared" si="6"/>
        <v>연주</v>
      </c>
      <c r="M75" s="2" t="str">
        <f t="shared" si="7"/>
        <v/>
      </c>
      <c r="N75" s="5" t="s">
        <v>26</v>
      </c>
      <c r="P75" t="s">
        <v>26</v>
      </c>
    </row>
    <row r="76" spans="2:16" x14ac:dyDescent="0.3">
      <c r="B76" s="16">
        <v>10315</v>
      </c>
      <c r="C76" s="18">
        <v>2</v>
      </c>
      <c r="D76" s="104" t="s">
        <v>276</v>
      </c>
      <c r="E76" s="101"/>
      <c r="F76" s="101"/>
      <c r="G76" s="17" t="str">
        <f t="shared" si="4"/>
        <v/>
      </c>
      <c r="K76" s="2" t="str">
        <f t="shared" si="5"/>
        <v>홍예림</v>
      </c>
      <c r="L76" s="2" t="str">
        <f t="shared" si="6"/>
        <v>예림</v>
      </c>
      <c r="M76" s="2" t="str">
        <f t="shared" si="7"/>
        <v/>
      </c>
      <c r="N76" s="5" t="s">
        <v>26</v>
      </c>
      <c r="P76" t="s">
        <v>26</v>
      </c>
    </row>
    <row r="77" spans="2:16" x14ac:dyDescent="0.3">
      <c r="B77" s="16">
        <v>10316</v>
      </c>
      <c r="C77" s="18">
        <v>1</v>
      </c>
      <c r="D77" s="104" t="s">
        <v>277</v>
      </c>
      <c r="E77" s="101"/>
      <c r="F77" s="101"/>
      <c r="G77" s="17" t="str">
        <f t="shared" si="4"/>
        <v/>
      </c>
      <c r="K77" s="2" t="str">
        <f t="shared" si="5"/>
        <v>강민서</v>
      </c>
      <c r="L77" s="2" t="str">
        <f t="shared" si="6"/>
        <v>민서</v>
      </c>
      <c r="M77" s="2" t="str">
        <f t="shared" si="7"/>
        <v/>
      </c>
      <c r="N77" s="5" t="s">
        <v>26</v>
      </c>
      <c r="P77" t="s">
        <v>26</v>
      </c>
    </row>
    <row r="78" spans="2:16" x14ac:dyDescent="0.3">
      <c r="B78" s="16">
        <v>10317</v>
      </c>
      <c r="C78" s="18">
        <v>1</v>
      </c>
      <c r="D78" s="104" t="s">
        <v>278</v>
      </c>
      <c r="E78" s="101"/>
      <c r="F78" s="101"/>
      <c r="G78" s="17" t="str">
        <f t="shared" si="4"/>
        <v/>
      </c>
      <c r="K78" s="2" t="str">
        <f t="shared" si="5"/>
        <v>고준서</v>
      </c>
      <c r="L78" s="2" t="str">
        <f t="shared" si="6"/>
        <v>준서</v>
      </c>
      <c r="M78" s="2" t="str">
        <f t="shared" si="7"/>
        <v/>
      </c>
      <c r="N78" s="5" t="s">
        <v>26</v>
      </c>
      <c r="P78" t="s">
        <v>26</v>
      </c>
    </row>
    <row r="79" spans="2:16" x14ac:dyDescent="0.3">
      <c r="B79" s="16">
        <v>10318</v>
      </c>
      <c r="C79" s="18">
        <v>1</v>
      </c>
      <c r="D79" s="104" t="s">
        <v>279</v>
      </c>
      <c r="E79" s="101"/>
      <c r="F79" s="101"/>
      <c r="G79" s="17" t="str">
        <f t="shared" si="4"/>
        <v/>
      </c>
      <c r="K79" s="2" t="str">
        <f t="shared" si="5"/>
        <v>김민재</v>
      </c>
      <c r="L79" s="2" t="str">
        <f t="shared" si="6"/>
        <v>민재</v>
      </c>
      <c r="M79" s="2" t="str">
        <f t="shared" si="7"/>
        <v/>
      </c>
      <c r="N79" s="5" t="s">
        <v>26</v>
      </c>
      <c r="P79" t="s">
        <v>26</v>
      </c>
    </row>
    <row r="80" spans="2:16" x14ac:dyDescent="0.3">
      <c r="B80" s="16">
        <v>10319</v>
      </c>
      <c r="C80" s="18">
        <v>1</v>
      </c>
      <c r="D80" s="104" t="s">
        <v>280</v>
      </c>
      <c r="E80" s="101"/>
      <c r="F80" s="101"/>
      <c r="G80" s="17" t="str">
        <f t="shared" si="4"/>
        <v/>
      </c>
      <c r="K80" s="2" t="str">
        <f t="shared" si="5"/>
        <v>김태윤</v>
      </c>
      <c r="L80" s="2" t="str">
        <f t="shared" si="6"/>
        <v>태윤</v>
      </c>
      <c r="M80" s="2" t="str">
        <f t="shared" si="7"/>
        <v/>
      </c>
      <c r="N80" s="5" t="s">
        <v>26</v>
      </c>
      <c r="P80" t="s">
        <v>26</v>
      </c>
    </row>
    <row r="81" spans="2:16" x14ac:dyDescent="0.3">
      <c r="B81" s="16">
        <v>10320</v>
      </c>
      <c r="C81" s="18">
        <v>1</v>
      </c>
      <c r="D81" s="104" t="s">
        <v>281</v>
      </c>
      <c r="E81" s="101"/>
      <c r="F81" s="101"/>
      <c r="G81" s="17" t="str">
        <f t="shared" si="4"/>
        <v/>
      </c>
      <c r="K81" s="2" t="str">
        <f t="shared" si="5"/>
        <v>박다옴</v>
      </c>
      <c r="L81" s="2" t="str">
        <f t="shared" si="6"/>
        <v>다옴</v>
      </c>
      <c r="M81" s="2" t="str">
        <f t="shared" si="7"/>
        <v/>
      </c>
      <c r="N81" s="5" t="s">
        <v>26</v>
      </c>
      <c r="P81" t="s">
        <v>26</v>
      </c>
    </row>
    <row r="82" spans="2:16" x14ac:dyDescent="0.3">
      <c r="B82" s="16">
        <v>10321</v>
      </c>
      <c r="C82" s="18">
        <v>1</v>
      </c>
      <c r="D82" s="104" t="s">
        <v>282</v>
      </c>
      <c r="E82" s="101"/>
      <c r="F82" s="101"/>
      <c r="G82" s="17" t="str">
        <f t="shared" si="4"/>
        <v/>
      </c>
      <c r="K82" s="2" t="str">
        <f t="shared" si="5"/>
        <v>박준수</v>
      </c>
      <c r="L82" s="2" t="str">
        <f t="shared" si="6"/>
        <v>준수</v>
      </c>
      <c r="M82" s="2" t="str">
        <f t="shared" si="7"/>
        <v/>
      </c>
      <c r="N82" s="5" t="s">
        <v>26</v>
      </c>
      <c r="P82" t="s">
        <v>26</v>
      </c>
    </row>
    <row r="83" spans="2:16" x14ac:dyDescent="0.3">
      <c r="B83" s="16">
        <v>10322</v>
      </c>
      <c r="C83" s="18">
        <v>1</v>
      </c>
      <c r="D83" s="104" t="s">
        <v>283</v>
      </c>
      <c r="E83" s="101"/>
      <c r="F83" s="101"/>
      <c r="G83" s="17" t="str">
        <f t="shared" si="4"/>
        <v/>
      </c>
      <c r="K83" s="2" t="str">
        <f t="shared" si="5"/>
        <v>박지호</v>
      </c>
      <c r="L83" s="2" t="str">
        <f t="shared" si="6"/>
        <v>지호</v>
      </c>
      <c r="M83" s="2" t="str">
        <f t="shared" si="7"/>
        <v/>
      </c>
      <c r="N83" s="5" t="s">
        <v>26</v>
      </c>
      <c r="P83" t="s">
        <v>26</v>
      </c>
    </row>
    <row r="84" spans="2:16" x14ac:dyDescent="0.3">
      <c r="B84" s="16">
        <v>10323</v>
      </c>
      <c r="C84" s="18">
        <v>1</v>
      </c>
      <c r="D84" s="104" t="s">
        <v>284</v>
      </c>
      <c r="E84" s="101"/>
      <c r="F84" s="101"/>
      <c r="G84" s="17" t="str">
        <f t="shared" si="4"/>
        <v/>
      </c>
      <c r="K84" s="2" t="str">
        <f t="shared" si="5"/>
        <v>방성재</v>
      </c>
      <c r="L84" s="2" t="str">
        <f t="shared" si="6"/>
        <v>성재</v>
      </c>
      <c r="M84" s="2" t="str">
        <f t="shared" si="7"/>
        <v/>
      </c>
      <c r="N84" s="5" t="s">
        <v>26</v>
      </c>
      <c r="P84" t="s">
        <v>26</v>
      </c>
    </row>
    <row r="85" spans="2:16" x14ac:dyDescent="0.3">
      <c r="B85" s="16">
        <v>10324</v>
      </c>
      <c r="C85" s="18">
        <v>1</v>
      </c>
      <c r="D85" s="104" t="s">
        <v>285</v>
      </c>
      <c r="E85" s="101"/>
      <c r="F85" s="101"/>
      <c r="G85" s="17" t="str">
        <f t="shared" si="4"/>
        <v/>
      </c>
      <c r="K85" s="2" t="str">
        <f t="shared" si="5"/>
        <v>배준한</v>
      </c>
      <c r="L85" s="2" t="str">
        <f t="shared" si="6"/>
        <v>준한</v>
      </c>
      <c r="M85" s="2" t="str">
        <f t="shared" si="7"/>
        <v/>
      </c>
      <c r="N85" s="5" t="s">
        <v>26</v>
      </c>
      <c r="P85" t="s">
        <v>26</v>
      </c>
    </row>
    <row r="86" spans="2:16" x14ac:dyDescent="0.3">
      <c r="B86" s="16">
        <v>10325</v>
      </c>
      <c r="C86" s="18">
        <v>1</v>
      </c>
      <c r="D86" s="104" t="s">
        <v>286</v>
      </c>
      <c r="E86" s="101"/>
      <c r="F86" s="101"/>
      <c r="G86" s="17" t="str">
        <f t="shared" si="4"/>
        <v/>
      </c>
      <c r="K86" s="2" t="str">
        <f t="shared" si="5"/>
        <v>신동민</v>
      </c>
      <c r="L86" s="2" t="str">
        <f t="shared" si="6"/>
        <v>동민</v>
      </c>
      <c r="M86" s="2" t="str">
        <f t="shared" si="7"/>
        <v/>
      </c>
      <c r="N86" s="5" t="s">
        <v>26</v>
      </c>
      <c r="P86" t="s">
        <v>26</v>
      </c>
    </row>
    <row r="87" spans="2:16" x14ac:dyDescent="0.3">
      <c r="B87" s="16">
        <v>10326</v>
      </c>
      <c r="C87" s="18">
        <v>1</v>
      </c>
      <c r="D87" s="104" t="s">
        <v>287</v>
      </c>
      <c r="E87" s="101"/>
      <c r="F87" s="101"/>
      <c r="G87" s="17" t="str">
        <f t="shared" si="4"/>
        <v/>
      </c>
      <c r="K87" s="2" t="str">
        <f t="shared" si="5"/>
        <v>윤재원</v>
      </c>
      <c r="L87" s="2" t="str">
        <f t="shared" si="6"/>
        <v>재원</v>
      </c>
      <c r="M87" s="2" t="str">
        <f t="shared" si="7"/>
        <v/>
      </c>
      <c r="N87" s="5" t="s">
        <v>26</v>
      </c>
      <c r="P87" t="s">
        <v>26</v>
      </c>
    </row>
    <row r="88" spans="2:16" x14ac:dyDescent="0.3">
      <c r="B88" s="16">
        <v>10327</v>
      </c>
      <c r="C88" s="18">
        <v>1</v>
      </c>
      <c r="D88" s="104" t="s">
        <v>288</v>
      </c>
      <c r="E88" s="101"/>
      <c r="F88" s="101"/>
      <c r="G88" s="17" t="str">
        <f t="shared" si="4"/>
        <v/>
      </c>
      <c r="K88" s="2" t="str">
        <f t="shared" si="5"/>
        <v>이서진</v>
      </c>
      <c r="L88" s="2" t="str">
        <f t="shared" si="6"/>
        <v>서진</v>
      </c>
      <c r="M88" s="2" t="str">
        <f t="shared" si="7"/>
        <v/>
      </c>
      <c r="N88" s="5" t="s">
        <v>26</v>
      </c>
      <c r="P88" t="s">
        <v>26</v>
      </c>
    </row>
    <row r="89" spans="2:16" x14ac:dyDescent="0.3">
      <c r="B89" s="16">
        <v>10328</v>
      </c>
      <c r="C89" s="18">
        <v>1</v>
      </c>
      <c r="D89" s="104" t="s">
        <v>289</v>
      </c>
      <c r="E89" s="101"/>
      <c r="F89" s="101"/>
      <c r="G89" s="17" t="str">
        <f t="shared" si="4"/>
        <v/>
      </c>
      <c r="K89" s="2" t="str">
        <f t="shared" si="5"/>
        <v>임혜준</v>
      </c>
      <c r="L89" s="2" t="str">
        <f t="shared" si="6"/>
        <v>혜준</v>
      </c>
      <c r="M89" s="2" t="str">
        <f t="shared" si="7"/>
        <v/>
      </c>
      <c r="N89" s="5" t="s">
        <v>26</v>
      </c>
      <c r="P89" t="s">
        <v>26</v>
      </c>
    </row>
    <row r="90" spans="2:16" x14ac:dyDescent="0.3">
      <c r="B90" s="16">
        <v>10329</v>
      </c>
      <c r="C90" s="18">
        <v>1</v>
      </c>
      <c r="D90" s="104" t="s">
        <v>290</v>
      </c>
      <c r="E90" s="101"/>
      <c r="F90" s="101"/>
      <c r="G90" s="17" t="str">
        <f t="shared" si="4"/>
        <v/>
      </c>
      <c r="K90" s="2" t="str">
        <f t="shared" si="5"/>
        <v>정환희</v>
      </c>
      <c r="L90" s="2" t="str">
        <f t="shared" si="6"/>
        <v>환희</v>
      </c>
      <c r="M90" s="2" t="str">
        <f t="shared" si="7"/>
        <v/>
      </c>
      <c r="N90" s="5" t="s">
        <v>26</v>
      </c>
      <c r="P90" t="s">
        <v>26</v>
      </c>
    </row>
    <row r="91" spans="2:16" x14ac:dyDescent="0.3">
      <c r="B91" s="16">
        <v>10330</v>
      </c>
      <c r="C91" s="18">
        <v>1</v>
      </c>
      <c r="D91" s="104" t="s">
        <v>291</v>
      </c>
      <c r="E91" s="101"/>
      <c r="F91" s="101"/>
      <c r="G91" s="17" t="str">
        <f t="shared" si="4"/>
        <v/>
      </c>
      <c r="K91" s="2" t="str">
        <f t="shared" si="5"/>
        <v>최형민</v>
      </c>
      <c r="L91" s="2" t="str">
        <f t="shared" si="6"/>
        <v>형민</v>
      </c>
      <c r="M91" s="2" t="str">
        <f t="shared" si="7"/>
        <v/>
      </c>
      <c r="N91" s="5" t="s">
        <v>26</v>
      </c>
      <c r="P91" t="s">
        <v>26</v>
      </c>
    </row>
    <row r="92" spans="2:16" x14ac:dyDescent="0.3">
      <c r="B92" s="16">
        <v>10402</v>
      </c>
      <c r="C92" s="18">
        <v>2</v>
      </c>
      <c r="D92" s="104" t="s">
        <v>292</v>
      </c>
      <c r="E92" s="101"/>
      <c r="F92" s="101"/>
      <c r="G92" s="17" t="str">
        <f t="shared" si="4"/>
        <v/>
      </c>
      <c r="K92" s="2" t="str">
        <f t="shared" si="5"/>
        <v>김하진</v>
      </c>
      <c r="L92" s="2" t="str">
        <f t="shared" si="6"/>
        <v>하진</v>
      </c>
      <c r="M92" s="2" t="str">
        <f t="shared" si="7"/>
        <v/>
      </c>
      <c r="N92" s="5" t="s">
        <v>26</v>
      </c>
      <c r="P92" t="s">
        <v>26</v>
      </c>
    </row>
    <row r="93" spans="2:16" x14ac:dyDescent="0.3">
      <c r="B93" s="16">
        <v>10403</v>
      </c>
      <c r="C93" s="18">
        <v>2</v>
      </c>
      <c r="D93" s="104" t="s">
        <v>293</v>
      </c>
      <c r="E93" s="101"/>
      <c r="F93" s="101"/>
      <c r="G93" s="17" t="str">
        <f t="shared" si="4"/>
        <v/>
      </c>
      <c r="K93" s="2" t="str">
        <f t="shared" si="5"/>
        <v>노은채</v>
      </c>
      <c r="L93" s="2" t="str">
        <f t="shared" si="6"/>
        <v>은채</v>
      </c>
      <c r="M93" s="2" t="str">
        <f t="shared" si="7"/>
        <v/>
      </c>
      <c r="N93" s="5" t="s">
        <v>26</v>
      </c>
      <c r="P93" t="s">
        <v>26</v>
      </c>
    </row>
    <row r="94" spans="2:16" x14ac:dyDescent="0.3">
      <c r="B94" s="16">
        <v>10404</v>
      </c>
      <c r="C94" s="18">
        <v>2</v>
      </c>
      <c r="D94" s="104" t="s">
        <v>294</v>
      </c>
      <c r="E94" s="101"/>
      <c r="F94" s="101"/>
      <c r="G94" s="17" t="str">
        <f t="shared" si="4"/>
        <v/>
      </c>
      <c r="K94" s="2" t="str">
        <f t="shared" si="5"/>
        <v>박가은</v>
      </c>
      <c r="L94" s="2" t="str">
        <f t="shared" si="6"/>
        <v>가은</v>
      </c>
      <c r="M94" s="2" t="str">
        <f t="shared" si="7"/>
        <v/>
      </c>
      <c r="N94" s="5" t="s">
        <v>26</v>
      </c>
      <c r="P94" t="s">
        <v>26</v>
      </c>
    </row>
    <row r="95" spans="2:16" x14ac:dyDescent="0.3">
      <c r="B95" s="16">
        <v>10405</v>
      </c>
      <c r="C95" s="18">
        <v>2</v>
      </c>
      <c r="D95" s="104" t="s">
        <v>295</v>
      </c>
      <c r="E95" s="101"/>
      <c r="F95" s="101"/>
      <c r="G95" s="17" t="str">
        <f t="shared" si="4"/>
        <v/>
      </c>
      <c r="K95" s="2" t="str">
        <f t="shared" si="5"/>
        <v>배서연</v>
      </c>
      <c r="L95" s="2" t="str">
        <f t="shared" si="6"/>
        <v>서연</v>
      </c>
      <c r="M95" s="2" t="str">
        <f t="shared" si="7"/>
        <v/>
      </c>
      <c r="N95" s="5" t="s">
        <v>26</v>
      </c>
      <c r="P95" t="s">
        <v>26</v>
      </c>
    </row>
    <row r="96" spans="2:16" x14ac:dyDescent="0.3">
      <c r="B96" s="16">
        <v>10406</v>
      </c>
      <c r="C96" s="18">
        <v>2</v>
      </c>
      <c r="D96" s="104" t="s">
        <v>296</v>
      </c>
      <c r="E96" s="101"/>
      <c r="F96" s="101"/>
      <c r="G96" s="17" t="str">
        <f t="shared" si="4"/>
        <v/>
      </c>
      <c r="K96" s="2" t="str">
        <f t="shared" si="5"/>
        <v>백지우</v>
      </c>
      <c r="L96" s="2" t="str">
        <f t="shared" si="6"/>
        <v>지우</v>
      </c>
      <c r="M96" s="2" t="str">
        <f t="shared" si="7"/>
        <v/>
      </c>
      <c r="N96" s="5" t="s">
        <v>26</v>
      </c>
      <c r="P96" t="s">
        <v>26</v>
      </c>
    </row>
    <row r="97" spans="2:16" x14ac:dyDescent="0.3">
      <c r="B97" s="16">
        <v>10407</v>
      </c>
      <c r="C97" s="18">
        <v>2</v>
      </c>
      <c r="D97" s="104" t="s">
        <v>297</v>
      </c>
      <c r="E97" s="101"/>
      <c r="F97" s="101"/>
      <c r="G97" s="17" t="str">
        <f t="shared" si="4"/>
        <v/>
      </c>
      <c r="K97" s="2" t="str">
        <f t="shared" si="5"/>
        <v>윤예영</v>
      </c>
      <c r="L97" s="2" t="str">
        <f t="shared" si="6"/>
        <v>예영</v>
      </c>
      <c r="M97" s="2" t="str">
        <f t="shared" si="7"/>
        <v/>
      </c>
      <c r="N97" s="5" t="s">
        <v>26</v>
      </c>
      <c r="P97" t="s">
        <v>26</v>
      </c>
    </row>
    <row r="98" spans="2:16" x14ac:dyDescent="0.3">
      <c r="B98" s="16">
        <v>10408</v>
      </c>
      <c r="C98" s="18">
        <v>2</v>
      </c>
      <c r="D98" s="104" t="s">
        <v>298</v>
      </c>
      <c r="E98" s="101"/>
      <c r="F98" s="101"/>
      <c r="G98" s="17" t="str">
        <f t="shared" si="4"/>
        <v/>
      </c>
      <c r="K98" s="2" t="str">
        <f t="shared" si="5"/>
        <v>이다은</v>
      </c>
      <c r="L98" s="2" t="str">
        <f t="shared" si="6"/>
        <v>다은</v>
      </c>
      <c r="M98" s="2" t="str">
        <f t="shared" si="7"/>
        <v/>
      </c>
      <c r="N98" s="5" t="s">
        <v>26</v>
      </c>
      <c r="P98" t="s">
        <v>26</v>
      </c>
    </row>
    <row r="99" spans="2:16" x14ac:dyDescent="0.3">
      <c r="B99" s="16">
        <v>10409</v>
      </c>
      <c r="C99" s="18">
        <v>2</v>
      </c>
      <c r="D99" s="104" t="s">
        <v>299</v>
      </c>
      <c r="E99" s="101"/>
      <c r="F99" s="101"/>
      <c r="G99" s="17" t="str">
        <f t="shared" si="4"/>
        <v/>
      </c>
      <c r="K99" s="2" t="str">
        <f t="shared" si="5"/>
        <v>이채영</v>
      </c>
      <c r="L99" s="2" t="str">
        <f t="shared" si="6"/>
        <v>채영</v>
      </c>
      <c r="M99" s="2" t="str">
        <f t="shared" si="7"/>
        <v/>
      </c>
      <c r="N99" s="5" t="s">
        <v>26</v>
      </c>
      <c r="P99" t="s">
        <v>26</v>
      </c>
    </row>
    <row r="100" spans="2:16" x14ac:dyDescent="0.3">
      <c r="B100" s="16">
        <v>10410</v>
      </c>
      <c r="C100" s="18">
        <v>2</v>
      </c>
      <c r="D100" s="104" t="s">
        <v>300</v>
      </c>
      <c r="E100" s="101"/>
      <c r="F100" s="101"/>
      <c r="G100" s="17" t="str">
        <f t="shared" si="4"/>
        <v/>
      </c>
      <c r="K100" s="2" t="str">
        <f t="shared" si="5"/>
        <v>전혜리</v>
      </c>
      <c r="L100" s="2" t="str">
        <f t="shared" si="6"/>
        <v>혜리</v>
      </c>
      <c r="M100" s="2" t="str">
        <f t="shared" si="7"/>
        <v/>
      </c>
      <c r="N100" s="5" t="s">
        <v>26</v>
      </c>
      <c r="P100" t="s">
        <v>26</v>
      </c>
    </row>
    <row r="101" spans="2:16" x14ac:dyDescent="0.3">
      <c r="B101" s="16">
        <v>10411</v>
      </c>
      <c r="C101" s="18">
        <v>2</v>
      </c>
      <c r="D101" s="104" t="s">
        <v>301</v>
      </c>
      <c r="E101" s="101"/>
      <c r="F101" s="101"/>
      <c r="G101" s="17" t="str">
        <f t="shared" si="4"/>
        <v/>
      </c>
      <c r="K101" s="2" t="str">
        <f t="shared" si="5"/>
        <v>정유빈</v>
      </c>
      <c r="L101" s="2" t="str">
        <f t="shared" si="6"/>
        <v>유빈</v>
      </c>
      <c r="M101" s="2" t="str">
        <f t="shared" si="7"/>
        <v>동명</v>
      </c>
      <c r="N101" s="5" t="s">
        <v>530</v>
      </c>
      <c r="P101" t="s">
        <v>26</v>
      </c>
    </row>
    <row r="102" spans="2:16" x14ac:dyDescent="0.3">
      <c r="B102" s="16">
        <v>10412</v>
      </c>
      <c r="C102" s="18">
        <v>2</v>
      </c>
      <c r="D102" s="104" t="s">
        <v>302</v>
      </c>
      <c r="E102" s="101"/>
      <c r="F102" s="101"/>
      <c r="G102" s="17" t="str">
        <f t="shared" si="4"/>
        <v/>
      </c>
      <c r="K102" s="2" t="str">
        <f t="shared" si="5"/>
        <v>정윤아</v>
      </c>
      <c r="L102" s="2" t="str">
        <f t="shared" si="6"/>
        <v>윤아</v>
      </c>
      <c r="M102" s="2" t="str">
        <f t="shared" si="7"/>
        <v/>
      </c>
      <c r="N102" s="5" t="s">
        <v>26</v>
      </c>
      <c r="P102" t="s">
        <v>26</v>
      </c>
    </row>
    <row r="103" spans="2:16" x14ac:dyDescent="0.3">
      <c r="B103" s="16">
        <v>10413</v>
      </c>
      <c r="C103" s="18">
        <v>2</v>
      </c>
      <c r="D103" s="104" t="s">
        <v>303</v>
      </c>
      <c r="E103" s="101"/>
      <c r="F103" s="101"/>
      <c r="G103" s="17" t="str">
        <f t="shared" si="4"/>
        <v/>
      </c>
      <c r="K103" s="2" t="str">
        <f t="shared" si="5"/>
        <v>정채연</v>
      </c>
      <c r="L103" s="2" t="str">
        <f t="shared" si="6"/>
        <v>채연</v>
      </c>
      <c r="M103" s="2" t="str">
        <f t="shared" si="7"/>
        <v/>
      </c>
      <c r="N103" s="5" t="s">
        <v>26</v>
      </c>
      <c r="P103" t="s">
        <v>26</v>
      </c>
    </row>
    <row r="104" spans="2:16" x14ac:dyDescent="0.3">
      <c r="B104" s="16">
        <v>10414</v>
      </c>
      <c r="C104" s="18">
        <v>2</v>
      </c>
      <c r="D104" s="104" t="s">
        <v>304</v>
      </c>
      <c r="E104" s="101"/>
      <c r="F104" s="101"/>
      <c r="G104" s="17" t="str">
        <f t="shared" si="4"/>
        <v/>
      </c>
      <c r="K104" s="2" t="str">
        <f t="shared" si="5"/>
        <v>최인서</v>
      </c>
      <c r="L104" s="2" t="str">
        <f t="shared" si="6"/>
        <v>인서</v>
      </c>
      <c r="M104" s="2" t="str">
        <f t="shared" si="7"/>
        <v/>
      </c>
      <c r="N104" s="5" t="s">
        <v>26</v>
      </c>
      <c r="P104" t="s">
        <v>26</v>
      </c>
    </row>
    <row r="105" spans="2:16" x14ac:dyDescent="0.3">
      <c r="B105" s="16">
        <v>10415</v>
      </c>
      <c r="C105" s="18">
        <v>2</v>
      </c>
      <c r="D105" s="104" t="s">
        <v>305</v>
      </c>
      <c r="E105" s="101"/>
      <c r="F105" s="101"/>
      <c r="G105" s="17" t="str">
        <f t="shared" si="4"/>
        <v/>
      </c>
      <c r="K105" s="2" t="str">
        <f t="shared" si="5"/>
        <v>한주미</v>
      </c>
      <c r="L105" s="2" t="str">
        <f t="shared" si="6"/>
        <v>주미</v>
      </c>
      <c r="M105" s="2" t="str">
        <f t="shared" si="7"/>
        <v/>
      </c>
      <c r="N105" s="5" t="s">
        <v>26</v>
      </c>
      <c r="P105" t="s">
        <v>26</v>
      </c>
    </row>
    <row r="106" spans="2:16" x14ac:dyDescent="0.3">
      <c r="B106" s="16">
        <v>10416</v>
      </c>
      <c r="C106" s="18">
        <v>1</v>
      </c>
      <c r="D106" s="104" t="s">
        <v>306</v>
      </c>
      <c r="E106" s="101"/>
      <c r="F106" s="101"/>
      <c r="G106" s="17" t="str">
        <f t="shared" si="4"/>
        <v/>
      </c>
      <c r="K106" s="2" t="str">
        <f t="shared" si="5"/>
        <v>김도연</v>
      </c>
      <c r="L106" s="2" t="str">
        <f t="shared" si="6"/>
        <v>도연</v>
      </c>
      <c r="M106" s="2" t="str">
        <f t="shared" si="7"/>
        <v>동명</v>
      </c>
      <c r="N106" s="5" t="s">
        <v>530</v>
      </c>
      <c r="P106" t="s">
        <v>26</v>
      </c>
    </row>
    <row r="107" spans="2:16" x14ac:dyDescent="0.3">
      <c r="B107" s="16">
        <v>10417</v>
      </c>
      <c r="C107" s="18">
        <v>1</v>
      </c>
      <c r="D107" s="104" t="s">
        <v>307</v>
      </c>
      <c r="E107" s="101"/>
      <c r="F107" s="101"/>
      <c r="G107" s="17" t="str">
        <f t="shared" si="4"/>
        <v/>
      </c>
      <c r="K107" s="2" t="str">
        <f t="shared" si="5"/>
        <v>김동윤</v>
      </c>
      <c r="L107" s="2" t="str">
        <f t="shared" si="6"/>
        <v>동윤</v>
      </c>
      <c r="M107" s="2" t="str">
        <f t="shared" si="7"/>
        <v/>
      </c>
      <c r="N107" s="5" t="s">
        <v>26</v>
      </c>
      <c r="P107" t="s">
        <v>26</v>
      </c>
    </row>
    <row r="108" spans="2:16" x14ac:dyDescent="0.3">
      <c r="B108" s="16">
        <v>10418</v>
      </c>
      <c r="C108" s="18">
        <v>1</v>
      </c>
      <c r="D108" s="104" t="s">
        <v>308</v>
      </c>
      <c r="E108" s="101"/>
      <c r="F108" s="101"/>
      <c r="G108" s="17" t="str">
        <f t="shared" si="4"/>
        <v/>
      </c>
      <c r="K108" s="2" t="str">
        <f t="shared" si="5"/>
        <v>김호태</v>
      </c>
      <c r="L108" s="2" t="str">
        <f t="shared" si="6"/>
        <v>호태</v>
      </c>
      <c r="M108" s="2" t="str">
        <f t="shared" si="7"/>
        <v/>
      </c>
      <c r="N108" s="5" t="s">
        <v>26</v>
      </c>
      <c r="P108" t="s">
        <v>26</v>
      </c>
    </row>
    <row r="109" spans="2:16" x14ac:dyDescent="0.3">
      <c r="B109" s="16">
        <v>10419</v>
      </c>
      <c r="C109" s="18">
        <v>1</v>
      </c>
      <c r="D109" s="104" t="s">
        <v>309</v>
      </c>
      <c r="E109" s="101"/>
      <c r="F109" s="101"/>
      <c r="G109" s="17" t="str">
        <f t="shared" si="4"/>
        <v/>
      </c>
      <c r="K109" s="2" t="str">
        <f t="shared" si="5"/>
        <v>노건우</v>
      </c>
      <c r="L109" s="2" t="str">
        <f t="shared" si="6"/>
        <v>건우</v>
      </c>
      <c r="M109" s="2" t="str">
        <f t="shared" si="7"/>
        <v/>
      </c>
      <c r="N109" s="5" t="s">
        <v>26</v>
      </c>
      <c r="P109" t="s">
        <v>26</v>
      </c>
    </row>
    <row r="110" spans="2:16" x14ac:dyDescent="0.3">
      <c r="B110" s="16">
        <v>10420</v>
      </c>
      <c r="C110" s="18">
        <v>1</v>
      </c>
      <c r="D110" s="104" t="s">
        <v>310</v>
      </c>
      <c r="E110" s="101"/>
      <c r="F110" s="101"/>
      <c r="G110" s="17" t="str">
        <f t="shared" si="4"/>
        <v/>
      </c>
      <c r="K110" s="2" t="str">
        <f t="shared" si="5"/>
        <v>도현수</v>
      </c>
      <c r="L110" s="2" t="str">
        <f t="shared" si="6"/>
        <v>현수</v>
      </c>
      <c r="M110" s="2" t="str">
        <f t="shared" si="7"/>
        <v/>
      </c>
      <c r="N110" s="5" t="s">
        <v>26</v>
      </c>
      <c r="P110" t="s">
        <v>26</v>
      </c>
    </row>
    <row r="111" spans="2:16" x14ac:dyDescent="0.3">
      <c r="B111" s="16">
        <v>10421</v>
      </c>
      <c r="C111" s="18">
        <v>1</v>
      </c>
      <c r="D111" s="104" t="s">
        <v>311</v>
      </c>
      <c r="E111" s="101"/>
      <c r="F111" s="101"/>
      <c r="G111" s="17" t="str">
        <f t="shared" si="4"/>
        <v/>
      </c>
      <c r="K111" s="2" t="str">
        <f t="shared" si="5"/>
        <v>박재우</v>
      </c>
      <c r="L111" s="2" t="str">
        <f t="shared" si="6"/>
        <v>재우</v>
      </c>
      <c r="M111" s="2" t="str">
        <f t="shared" si="7"/>
        <v/>
      </c>
      <c r="N111" s="5" t="s">
        <v>26</v>
      </c>
      <c r="P111" t="s">
        <v>26</v>
      </c>
    </row>
    <row r="112" spans="2:16" x14ac:dyDescent="0.3">
      <c r="B112" s="16">
        <v>10422</v>
      </c>
      <c r="C112" s="18">
        <v>1</v>
      </c>
      <c r="D112" s="104" t="s">
        <v>312</v>
      </c>
      <c r="E112" s="101"/>
      <c r="F112" s="101"/>
      <c r="G112" s="17" t="str">
        <f t="shared" si="4"/>
        <v/>
      </c>
      <c r="K112" s="2" t="str">
        <f t="shared" si="5"/>
        <v>신재원</v>
      </c>
      <c r="L112" s="2" t="str">
        <f t="shared" si="6"/>
        <v>재원</v>
      </c>
      <c r="M112" s="2" t="str">
        <f t="shared" si="7"/>
        <v/>
      </c>
      <c r="N112" s="5" t="s">
        <v>26</v>
      </c>
      <c r="P112" t="s">
        <v>26</v>
      </c>
    </row>
    <row r="113" spans="2:16" x14ac:dyDescent="0.3">
      <c r="B113" s="16">
        <v>10423</v>
      </c>
      <c r="C113" s="18">
        <v>1</v>
      </c>
      <c r="D113" s="104" t="s">
        <v>313</v>
      </c>
      <c r="E113" s="101"/>
      <c r="F113" s="101"/>
      <c r="G113" s="17" t="str">
        <f t="shared" si="4"/>
        <v/>
      </c>
      <c r="K113" s="2" t="str">
        <f t="shared" si="5"/>
        <v>윤기영</v>
      </c>
      <c r="L113" s="2" t="str">
        <f t="shared" si="6"/>
        <v>기영</v>
      </c>
      <c r="M113" s="2" t="str">
        <f t="shared" si="7"/>
        <v/>
      </c>
      <c r="N113" s="5" t="s">
        <v>26</v>
      </c>
      <c r="P113" t="s">
        <v>26</v>
      </c>
    </row>
    <row r="114" spans="2:16" x14ac:dyDescent="0.3">
      <c r="B114" s="16">
        <v>10424</v>
      </c>
      <c r="C114" s="18">
        <v>1</v>
      </c>
      <c r="D114" s="104" t="s">
        <v>314</v>
      </c>
      <c r="E114" s="101"/>
      <c r="F114" s="101"/>
      <c r="G114" s="17" t="str">
        <f t="shared" si="4"/>
        <v/>
      </c>
      <c r="K114" s="2" t="str">
        <f t="shared" si="5"/>
        <v>이민성</v>
      </c>
      <c r="L114" s="2" t="str">
        <f t="shared" si="6"/>
        <v>민성</v>
      </c>
      <c r="M114" s="2" t="str">
        <f t="shared" si="7"/>
        <v/>
      </c>
      <c r="N114" s="5" t="s">
        <v>26</v>
      </c>
      <c r="P114" t="s">
        <v>26</v>
      </c>
    </row>
    <row r="115" spans="2:16" x14ac:dyDescent="0.3">
      <c r="B115" s="16">
        <v>10425</v>
      </c>
      <c r="C115" s="18">
        <v>1</v>
      </c>
      <c r="D115" s="104" t="s">
        <v>315</v>
      </c>
      <c r="E115" s="101"/>
      <c r="F115" s="101"/>
      <c r="G115" s="17" t="str">
        <f t="shared" si="4"/>
        <v/>
      </c>
      <c r="K115" s="2" t="str">
        <f t="shared" si="5"/>
        <v>이민우</v>
      </c>
      <c r="L115" s="2" t="str">
        <f t="shared" si="6"/>
        <v>민우</v>
      </c>
      <c r="M115" s="2" t="str">
        <f t="shared" si="7"/>
        <v/>
      </c>
      <c r="N115" s="4" t="s">
        <v>26</v>
      </c>
      <c r="O115" s="1"/>
      <c r="P115" t="s">
        <v>26</v>
      </c>
    </row>
    <row r="116" spans="2:16" x14ac:dyDescent="0.3">
      <c r="B116" s="16">
        <v>10426</v>
      </c>
      <c r="C116" s="18">
        <v>1</v>
      </c>
      <c r="D116" s="104" t="s">
        <v>316</v>
      </c>
      <c r="G116" s="17" t="str">
        <f t="shared" si="4"/>
        <v/>
      </c>
      <c r="K116" s="2" t="str">
        <f t="shared" si="5"/>
        <v>이성원</v>
      </c>
      <c r="L116" s="2" t="str">
        <f t="shared" ref="L116:L176" si="8">RIGHT(K116,2)</f>
        <v>성원</v>
      </c>
      <c r="M116" s="2" t="str">
        <f t="shared" si="7"/>
        <v/>
      </c>
      <c r="N116" s="5" t="s">
        <v>26</v>
      </c>
      <c r="P116" t="s">
        <v>26</v>
      </c>
    </row>
    <row r="117" spans="2:16" x14ac:dyDescent="0.3">
      <c r="B117" s="17">
        <v>10428</v>
      </c>
      <c r="C117" s="99">
        <v>1</v>
      </c>
      <c r="D117" s="17" t="s">
        <v>317</v>
      </c>
      <c r="G117" s="17" t="str">
        <f t="shared" si="4"/>
        <v/>
      </c>
      <c r="K117" s="2" t="str">
        <f t="shared" si="5"/>
        <v>정이찬</v>
      </c>
      <c r="L117" s="2" t="str">
        <f t="shared" si="8"/>
        <v>이찬</v>
      </c>
      <c r="M117" s="2" t="str">
        <f t="shared" si="7"/>
        <v/>
      </c>
      <c r="N117" s="5" t="s">
        <v>26</v>
      </c>
      <c r="P117" t="s">
        <v>26</v>
      </c>
    </row>
    <row r="118" spans="2:16" x14ac:dyDescent="0.3">
      <c r="B118" s="17">
        <v>10429</v>
      </c>
      <c r="C118" s="99">
        <v>1</v>
      </c>
      <c r="D118" s="17" t="s">
        <v>318</v>
      </c>
      <c r="G118" s="17" t="str">
        <f t="shared" si="4"/>
        <v/>
      </c>
      <c r="K118" s="2" t="str">
        <f t="shared" si="5"/>
        <v>천예준</v>
      </c>
      <c r="L118" s="2" t="str">
        <f t="shared" si="8"/>
        <v>예준</v>
      </c>
      <c r="M118" s="2" t="str">
        <f t="shared" si="7"/>
        <v/>
      </c>
      <c r="N118" s="5" t="s">
        <v>26</v>
      </c>
      <c r="P118" t="s">
        <v>26</v>
      </c>
    </row>
    <row r="119" spans="2:16" x14ac:dyDescent="0.3">
      <c r="B119" s="17">
        <v>10430</v>
      </c>
      <c r="C119" s="99">
        <v>1</v>
      </c>
      <c r="D119" s="17" t="s">
        <v>319</v>
      </c>
      <c r="G119" s="17" t="str">
        <f t="shared" si="4"/>
        <v/>
      </c>
      <c r="K119" s="2" t="str">
        <f t="shared" si="5"/>
        <v>홍지호</v>
      </c>
      <c r="L119" s="2" t="str">
        <f t="shared" si="8"/>
        <v>지호</v>
      </c>
      <c r="M119" s="2" t="str">
        <f t="shared" si="7"/>
        <v/>
      </c>
      <c r="N119" s="5" t="s">
        <v>26</v>
      </c>
      <c r="P119" t="s">
        <v>26</v>
      </c>
    </row>
    <row r="120" spans="2:16" x14ac:dyDescent="0.3">
      <c r="B120" s="17">
        <v>10501</v>
      </c>
      <c r="C120" s="99">
        <v>2</v>
      </c>
      <c r="D120" s="17" t="s">
        <v>320</v>
      </c>
      <c r="G120" s="17" t="str">
        <f t="shared" si="4"/>
        <v/>
      </c>
      <c r="K120" s="2" t="str">
        <f t="shared" si="5"/>
        <v>강보경</v>
      </c>
      <c r="L120" s="2" t="str">
        <f t="shared" si="8"/>
        <v>보경</v>
      </c>
      <c r="M120" s="2" t="str">
        <f t="shared" si="7"/>
        <v/>
      </c>
      <c r="N120" s="5" t="s">
        <v>26</v>
      </c>
      <c r="P120" t="s">
        <v>26</v>
      </c>
    </row>
    <row r="121" spans="2:16" x14ac:dyDescent="0.3">
      <c r="B121" s="17">
        <v>10502</v>
      </c>
      <c r="C121" s="99">
        <v>2</v>
      </c>
      <c r="D121" s="17" t="s">
        <v>321</v>
      </c>
      <c r="G121" s="17" t="str">
        <f t="shared" si="4"/>
        <v/>
      </c>
      <c r="K121" s="2" t="str">
        <f t="shared" si="5"/>
        <v>고근영</v>
      </c>
      <c r="L121" s="2" t="str">
        <f t="shared" si="8"/>
        <v>근영</v>
      </c>
      <c r="M121" s="2" t="str">
        <f t="shared" si="7"/>
        <v/>
      </c>
      <c r="N121" s="5" t="s">
        <v>26</v>
      </c>
      <c r="P121" t="s">
        <v>26</v>
      </c>
    </row>
    <row r="122" spans="2:16" x14ac:dyDescent="0.3">
      <c r="B122" s="17">
        <v>10503</v>
      </c>
      <c r="C122" s="99">
        <v>2</v>
      </c>
      <c r="D122" s="17" t="s">
        <v>322</v>
      </c>
      <c r="G122" s="17" t="str">
        <f t="shared" si="4"/>
        <v/>
      </c>
      <c r="K122" s="2" t="str">
        <f t="shared" si="5"/>
        <v>국은지</v>
      </c>
      <c r="L122" s="2" t="str">
        <f t="shared" si="8"/>
        <v>은지</v>
      </c>
      <c r="M122" s="2" t="str">
        <f t="shared" si="7"/>
        <v/>
      </c>
      <c r="N122" s="5" t="s">
        <v>26</v>
      </c>
      <c r="P122" t="s">
        <v>26</v>
      </c>
    </row>
    <row r="123" spans="2:16" x14ac:dyDescent="0.3">
      <c r="B123" s="17">
        <v>10504</v>
      </c>
      <c r="C123" s="99">
        <v>2</v>
      </c>
      <c r="D123" s="17" t="s">
        <v>323</v>
      </c>
      <c r="G123" s="17" t="str">
        <f t="shared" si="4"/>
        <v/>
      </c>
      <c r="K123" s="2" t="str">
        <f t="shared" si="5"/>
        <v>김서연</v>
      </c>
      <c r="L123" s="2" t="str">
        <f t="shared" si="8"/>
        <v>서연</v>
      </c>
      <c r="M123" s="2" t="str">
        <f t="shared" si="7"/>
        <v/>
      </c>
      <c r="N123" s="5" t="s">
        <v>26</v>
      </c>
      <c r="P123" t="s">
        <v>26</v>
      </c>
    </row>
    <row r="124" spans="2:16" x14ac:dyDescent="0.3">
      <c r="B124" s="17">
        <v>10505</v>
      </c>
      <c r="C124" s="99">
        <v>2</v>
      </c>
      <c r="D124" s="17" t="s">
        <v>324</v>
      </c>
      <c r="G124" s="17" t="str">
        <f t="shared" si="4"/>
        <v/>
      </c>
      <c r="K124" s="2" t="str">
        <f t="shared" si="5"/>
        <v>김서윤</v>
      </c>
      <c r="L124" s="2" t="str">
        <f t="shared" si="8"/>
        <v>서윤</v>
      </c>
      <c r="M124" s="2" t="str">
        <f t="shared" si="7"/>
        <v/>
      </c>
      <c r="N124" s="5" t="s">
        <v>26</v>
      </c>
      <c r="P124" t="s">
        <v>26</v>
      </c>
    </row>
    <row r="125" spans="2:16" x14ac:dyDescent="0.3">
      <c r="B125" s="17">
        <v>10506</v>
      </c>
      <c r="C125" s="99">
        <v>2</v>
      </c>
      <c r="D125" s="17" t="s">
        <v>325</v>
      </c>
      <c r="G125" s="17" t="str">
        <f t="shared" si="4"/>
        <v/>
      </c>
      <c r="K125" s="2" t="str">
        <f t="shared" si="5"/>
        <v>김지호</v>
      </c>
      <c r="L125" s="2" t="str">
        <f t="shared" si="8"/>
        <v>지호</v>
      </c>
      <c r="M125" s="2" t="str">
        <f t="shared" si="7"/>
        <v/>
      </c>
      <c r="N125" s="5" t="s">
        <v>26</v>
      </c>
      <c r="P125" t="s">
        <v>26</v>
      </c>
    </row>
    <row r="126" spans="2:16" x14ac:dyDescent="0.3">
      <c r="B126" s="17">
        <v>10507</v>
      </c>
      <c r="C126" s="99">
        <v>2</v>
      </c>
      <c r="D126" s="17" t="s">
        <v>204</v>
      </c>
      <c r="G126" s="17" t="str">
        <f t="shared" si="4"/>
        <v/>
      </c>
      <c r="K126" s="2" t="str">
        <f t="shared" si="5"/>
        <v>김혜원</v>
      </c>
      <c r="L126" s="2" t="str">
        <f t="shared" si="8"/>
        <v>혜원</v>
      </c>
      <c r="M126" s="2" t="str">
        <f t="shared" si="7"/>
        <v>동명</v>
      </c>
      <c r="N126" s="5" t="s">
        <v>530</v>
      </c>
      <c r="P126" t="s">
        <v>26</v>
      </c>
    </row>
    <row r="127" spans="2:16" x14ac:dyDescent="0.3">
      <c r="B127" s="17">
        <v>10508</v>
      </c>
      <c r="C127" s="99">
        <v>2</v>
      </c>
      <c r="D127" s="17" t="s">
        <v>326</v>
      </c>
      <c r="G127" s="17" t="str">
        <f t="shared" si="4"/>
        <v/>
      </c>
      <c r="K127" s="2" t="str">
        <f t="shared" si="5"/>
        <v>박세은</v>
      </c>
      <c r="L127" s="2" t="str">
        <f t="shared" si="8"/>
        <v>세은</v>
      </c>
      <c r="M127" s="2" t="str">
        <f t="shared" si="7"/>
        <v/>
      </c>
      <c r="N127" s="5" t="s">
        <v>26</v>
      </c>
      <c r="P127" t="s">
        <v>26</v>
      </c>
    </row>
    <row r="128" spans="2:16" x14ac:dyDescent="0.3">
      <c r="B128" s="17">
        <v>10509</v>
      </c>
      <c r="C128" s="99">
        <v>2</v>
      </c>
      <c r="D128" s="17" t="s">
        <v>327</v>
      </c>
      <c r="G128" s="17" t="str">
        <f t="shared" si="4"/>
        <v/>
      </c>
      <c r="K128" s="2" t="str">
        <f t="shared" si="5"/>
        <v>박지인</v>
      </c>
      <c r="L128" s="2" t="str">
        <f t="shared" si="8"/>
        <v>지인</v>
      </c>
      <c r="M128" s="2" t="str">
        <f t="shared" si="7"/>
        <v>동명</v>
      </c>
      <c r="N128" s="5" t="s">
        <v>530</v>
      </c>
      <c r="P128" t="s">
        <v>26</v>
      </c>
    </row>
    <row r="129" spans="2:16" x14ac:dyDescent="0.3">
      <c r="B129" s="17">
        <v>10510</v>
      </c>
      <c r="C129" s="99">
        <v>2</v>
      </c>
      <c r="D129" s="17" t="s">
        <v>328</v>
      </c>
      <c r="G129" s="17" t="str">
        <f t="shared" si="4"/>
        <v/>
      </c>
      <c r="K129" s="2" t="str">
        <f t="shared" si="5"/>
        <v>서경란</v>
      </c>
      <c r="L129" s="2" t="str">
        <f t="shared" si="8"/>
        <v>경란</v>
      </c>
      <c r="M129" s="2" t="str">
        <f t="shared" si="7"/>
        <v/>
      </c>
      <c r="N129" s="5" t="s">
        <v>26</v>
      </c>
      <c r="P129" t="s">
        <v>26</v>
      </c>
    </row>
    <row r="130" spans="2:16" x14ac:dyDescent="0.3">
      <c r="B130" s="17">
        <v>10511</v>
      </c>
      <c r="C130" s="99">
        <v>2</v>
      </c>
      <c r="D130" s="17" t="s">
        <v>329</v>
      </c>
      <c r="G130" s="17" t="str">
        <f t="shared" si="4"/>
        <v/>
      </c>
      <c r="K130" s="2" t="str">
        <f t="shared" si="5"/>
        <v>송해린</v>
      </c>
      <c r="L130" s="2" t="str">
        <f t="shared" si="8"/>
        <v>해린</v>
      </c>
      <c r="M130" s="2" t="str">
        <f t="shared" si="7"/>
        <v/>
      </c>
      <c r="N130" s="5" t="s">
        <v>26</v>
      </c>
      <c r="P130" t="s">
        <v>26</v>
      </c>
    </row>
    <row r="131" spans="2:16" x14ac:dyDescent="0.3">
      <c r="B131" s="17">
        <v>10512</v>
      </c>
      <c r="C131" s="99">
        <v>2</v>
      </c>
      <c r="D131" s="17" t="s">
        <v>330</v>
      </c>
      <c r="G131" s="17" t="str">
        <f t="shared" si="4"/>
        <v/>
      </c>
      <c r="K131" s="2" t="str">
        <f t="shared" si="5"/>
        <v>이가현</v>
      </c>
      <c r="L131" s="2" t="str">
        <f t="shared" si="8"/>
        <v>가현</v>
      </c>
      <c r="M131" s="2" t="str">
        <f t="shared" si="7"/>
        <v/>
      </c>
      <c r="N131" s="5" t="s">
        <v>26</v>
      </c>
      <c r="P131" t="s">
        <v>26</v>
      </c>
    </row>
    <row r="132" spans="2:16" x14ac:dyDescent="0.3">
      <c r="B132" s="17">
        <v>10513</v>
      </c>
      <c r="C132" s="99">
        <v>2</v>
      </c>
      <c r="D132" s="17" t="s">
        <v>331</v>
      </c>
      <c r="G132" s="17" t="str">
        <f t="shared" ref="G132:G195" si="9">IF(AND(D132=E132,E132=F132),"",IF(AND(F132="",D132=E132),"",IF(AND(D132="",E132=F132),"",IF(AND(E132="",D132=F132),"",""))))</f>
        <v/>
      </c>
      <c r="K132" s="2" t="str">
        <f t="shared" ref="K132:K195" si="10">IF(D132="","",+D132)</f>
        <v>이은교</v>
      </c>
      <c r="L132" s="2" t="str">
        <f t="shared" si="8"/>
        <v>은교</v>
      </c>
      <c r="M132" s="2" t="str">
        <f t="shared" ref="M132:M195" si="11">IF(B132="","",IF(COUNTIF($K$3:$K$295,K132)&gt;1,"동명",""))</f>
        <v/>
      </c>
      <c r="N132" s="5" t="s">
        <v>26</v>
      </c>
      <c r="P132" t="s">
        <v>26</v>
      </c>
    </row>
    <row r="133" spans="2:16" x14ac:dyDescent="0.3">
      <c r="B133" s="17">
        <v>10514</v>
      </c>
      <c r="C133" s="99">
        <v>2</v>
      </c>
      <c r="D133" s="17" t="s">
        <v>332</v>
      </c>
      <c r="G133" s="17" t="str">
        <f t="shared" si="9"/>
        <v/>
      </c>
      <c r="K133" s="2" t="str">
        <f t="shared" si="10"/>
        <v>황현서</v>
      </c>
      <c r="L133" s="2" t="str">
        <f t="shared" si="8"/>
        <v>현서</v>
      </c>
      <c r="M133" s="2" t="str">
        <f t="shared" si="11"/>
        <v/>
      </c>
      <c r="N133" s="5" t="s">
        <v>26</v>
      </c>
      <c r="P133" t="s">
        <v>26</v>
      </c>
    </row>
    <row r="134" spans="2:16" x14ac:dyDescent="0.3">
      <c r="B134" s="17">
        <v>10515</v>
      </c>
      <c r="C134" s="99">
        <v>1</v>
      </c>
      <c r="D134" s="17" t="s">
        <v>333</v>
      </c>
      <c r="G134" s="17" t="str">
        <f t="shared" si="9"/>
        <v/>
      </c>
      <c r="K134" s="2" t="str">
        <f t="shared" si="10"/>
        <v>강동기</v>
      </c>
      <c r="L134" s="2" t="str">
        <f t="shared" si="8"/>
        <v>동기</v>
      </c>
      <c r="M134" s="2" t="str">
        <f t="shared" si="11"/>
        <v/>
      </c>
      <c r="N134" s="5" t="s">
        <v>26</v>
      </c>
      <c r="P134" t="s">
        <v>26</v>
      </c>
    </row>
    <row r="135" spans="2:16" x14ac:dyDescent="0.3">
      <c r="B135" s="17">
        <v>10516</v>
      </c>
      <c r="C135" s="99">
        <v>1</v>
      </c>
      <c r="D135" s="17" t="s">
        <v>334</v>
      </c>
      <c r="G135" s="17" t="str">
        <f t="shared" si="9"/>
        <v/>
      </c>
      <c r="K135" s="2" t="str">
        <f t="shared" si="10"/>
        <v>권원준</v>
      </c>
      <c r="L135" s="2" t="str">
        <f t="shared" si="8"/>
        <v>원준</v>
      </c>
      <c r="M135" s="2" t="str">
        <f t="shared" si="11"/>
        <v/>
      </c>
      <c r="N135" s="5" t="s">
        <v>26</v>
      </c>
      <c r="P135" t="s">
        <v>26</v>
      </c>
    </row>
    <row r="136" spans="2:16" x14ac:dyDescent="0.3">
      <c r="B136" s="17">
        <v>10517</v>
      </c>
      <c r="C136" s="99">
        <v>1</v>
      </c>
      <c r="D136" s="17" t="s">
        <v>335</v>
      </c>
      <c r="G136" s="17" t="str">
        <f t="shared" si="9"/>
        <v/>
      </c>
      <c r="K136" s="2" t="str">
        <f t="shared" si="10"/>
        <v>김태산</v>
      </c>
      <c r="L136" s="2" t="str">
        <f t="shared" si="8"/>
        <v>태산</v>
      </c>
      <c r="M136" s="2" t="str">
        <f t="shared" si="11"/>
        <v/>
      </c>
      <c r="N136" s="5" t="s">
        <v>26</v>
      </c>
      <c r="P136" t="s">
        <v>26</v>
      </c>
    </row>
    <row r="137" spans="2:16" x14ac:dyDescent="0.3">
      <c r="B137" s="17">
        <v>10518</v>
      </c>
      <c r="C137" s="99">
        <v>1</v>
      </c>
      <c r="D137" s="17" t="s">
        <v>336</v>
      </c>
      <c r="G137" s="17" t="str">
        <f t="shared" si="9"/>
        <v/>
      </c>
      <c r="K137" s="2" t="str">
        <f t="shared" si="10"/>
        <v>문찬호</v>
      </c>
      <c r="L137" s="2" t="str">
        <f t="shared" si="8"/>
        <v>찬호</v>
      </c>
      <c r="M137" s="2" t="str">
        <f t="shared" si="11"/>
        <v/>
      </c>
      <c r="N137" s="5" t="s">
        <v>26</v>
      </c>
      <c r="P137" t="s">
        <v>26</v>
      </c>
    </row>
    <row r="138" spans="2:16" x14ac:dyDescent="0.3">
      <c r="B138" s="17">
        <v>10519</v>
      </c>
      <c r="C138" s="99">
        <v>1</v>
      </c>
      <c r="D138" s="17" t="s">
        <v>337</v>
      </c>
      <c r="G138" s="17" t="str">
        <f t="shared" si="9"/>
        <v/>
      </c>
      <c r="K138" s="2" t="str">
        <f t="shared" si="10"/>
        <v>송지민</v>
      </c>
      <c r="L138" s="2" t="str">
        <f t="shared" si="8"/>
        <v>지민</v>
      </c>
      <c r="M138" s="2" t="str">
        <f t="shared" si="11"/>
        <v/>
      </c>
      <c r="N138" s="5" t="s">
        <v>26</v>
      </c>
      <c r="P138" t="s">
        <v>26</v>
      </c>
    </row>
    <row r="139" spans="2:16" x14ac:dyDescent="0.3">
      <c r="B139" s="17">
        <v>10520</v>
      </c>
      <c r="C139" s="99">
        <v>1</v>
      </c>
      <c r="D139" s="17" t="s">
        <v>338</v>
      </c>
      <c r="G139" s="17" t="str">
        <f t="shared" si="9"/>
        <v/>
      </c>
      <c r="K139" s="2" t="str">
        <f t="shared" si="10"/>
        <v>신승환</v>
      </c>
      <c r="L139" s="2" t="str">
        <f t="shared" si="8"/>
        <v>승환</v>
      </c>
      <c r="M139" s="2" t="str">
        <f t="shared" si="11"/>
        <v/>
      </c>
      <c r="N139" s="5" t="s">
        <v>26</v>
      </c>
      <c r="P139" t="s">
        <v>26</v>
      </c>
    </row>
    <row r="140" spans="2:16" x14ac:dyDescent="0.3">
      <c r="B140" s="17">
        <v>10521</v>
      </c>
      <c r="C140" s="99">
        <v>1</v>
      </c>
      <c r="D140" s="17" t="s">
        <v>339</v>
      </c>
      <c r="G140" s="17" t="str">
        <f t="shared" si="9"/>
        <v/>
      </c>
      <c r="K140" s="2" t="str">
        <f t="shared" si="10"/>
        <v>윤현빈</v>
      </c>
      <c r="L140" s="2" t="str">
        <f t="shared" si="8"/>
        <v>현빈</v>
      </c>
      <c r="M140" s="2" t="str">
        <f t="shared" si="11"/>
        <v/>
      </c>
      <c r="N140" s="5" t="s">
        <v>26</v>
      </c>
      <c r="P140" t="s">
        <v>26</v>
      </c>
    </row>
    <row r="141" spans="2:16" x14ac:dyDescent="0.3">
      <c r="B141" s="17">
        <v>10522</v>
      </c>
      <c r="C141" s="99">
        <v>1</v>
      </c>
      <c r="D141" s="17" t="s">
        <v>340</v>
      </c>
      <c r="G141" s="17" t="str">
        <f t="shared" si="9"/>
        <v/>
      </c>
      <c r="K141" s="2" t="str">
        <f t="shared" si="10"/>
        <v>이정하</v>
      </c>
      <c r="L141" s="2" t="str">
        <f t="shared" si="8"/>
        <v>정하</v>
      </c>
      <c r="M141" s="2" t="str">
        <f t="shared" si="11"/>
        <v/>
      </c>
      <c r="N141" s="5" t="s">
        <v>26</v>
      </c>
      <c r="P141" t="s">
        <v>26</v>
      </c>
    </row>
    <row r="142" spans="2:16" x14ac:dyDescent="0.3">
      <c r="B142" s="17">
        <v>10523</v>
      </c>
      <c r="C142" s="99">
        <v>1</v>
      </c>
      <c r="D142" s="17" t="s">
        <v>341</v>
      </c>
      <c r="G142" s="17" t="str">
        <f t="shared" si="9"/>
        <v/>
      </c>
      <c r="K142" s="2" t="str">
        <f t="shared" si="10"/>
        <v>이준오</v>
      </c>
      <c r="L142" s="2" t="str">
        <f t="shared" si="8"/>
        <v>준오</v>
      </c>
      <c r="M142" s="2" t="str">
        <f t="shared" si="11"/>
        <v/>
      </c>
      <c r="N142" s="5" t="s">
        <v>26</v>
      </c>
      <c r="P142" t="s">
        <v>26</v>
      </c>
    </row>
    <row r="143" spans="2:16" x14ac:dyDescent="0.3">
      <c r="B143" s="17">
        <v>10524</v>
      </c>
      <c r="C143" s="99">
        <v>1</v>
      </c>
      <c r="D143" s="17" t="s">
        <v>342</v>
      </c>
      <c r="G143" s="17" t="str">
        <f t="shared" si="9"/>
        <v/>
      </c>
      <c r="K143" s="2" t="str">
        <f t="shared" si="10"/>
        <v>임채민</v>
      </c>
      <c r="L143" s="2" t="str">
        <f t="shared" si="8"/>
        <v>채민</v>
      </c>
      <c r="M143" s="2" t="str">
        <f t="shared" si="11"/>
        <v/>
      </c>
      <c r="N143" s="5" t="s">
        <v>26</v>
      </c>
      <c r="P143" t="s">
        <v>26</v>
      </c>
    </row>
    <row r="144" spans="2:16" x14ac:dyDescent="0.3">
      <c r="B144" s="17">
        <v>10525</v>
      </c>
      <c r="C144" s="99">
        <v>1</v>
      </c>
      <c r="D144" s="17" t="s">
        <v>343</v>
      </c>
      <c r="G144" s="17" t="str">
        <f t="shared" si="9"/>
        <v/>
      </c>
      <c r="K144" s="2" t="str">
        <f t="shared" si="10"/>
        <v>전원규</v>
      </c>
      <c r="L144" s="2" t="str">
        <f t="shared" si="8"/>
        <v>원규</v>
      </c>
      <c r="M144" s="2" t="str">
        <f t="shared" si="11"/>
        <v/>
      </c>
      <c r="N144" s="5" t="s">
        <v>26</v>
      </c>
      <c r="P144" t="s">
        <v>26</v>
      </c>
    </row>
    <row r="145" spans="2:16" x14ac:dyDescent="0.3">
      <c r="B145" s="17">
        <v>10526</v>
      </c>
      <c r="C145" s="99">
        <v>1</v>
      </c>
      <c r="D145" s="17" t="s">
        <v>344</v>
      </c>
      <c r="G145" s="17" t="str">
        <f t="shared" si="9"/>
        <v/>
      </c>
      <c r="K145" s="2" t="str">
        <f t="shared" si="10"/>
        <v>정우진</v>
      </c>
      <c r="L145" s="2" t="str">
        <f t="shared" si="8"/>
        <v>우진</v>
      </c>
      <c r="M145" s="2" t="str">
        <f t="shared" si="11"/>
        <v/>
      </c>
      <c r="N145" s="5" t="s">
        <v>26</v>
      </c>
      <c r="P145" t="s">
        <v>26</v>
      </c>
    </row>
    <row r="146" spans="2:16" x14ac:dyDescent="0.3">
      <c r="B146" s="17">
        <v>10527</v>
      </c>
      <c r="C146" s="99">
        <v>1</v>
      </c>
      <c r="D146" s="17" t="s">
        <v>345</v>
      </c>
      <c r="G146" s="17" t="str">
        <f t="shared" si="9"/>
        <v/>
      </c>
      <c r="K146" s="2" t="str">
        <f t="shared" si="10"/>
        <v>조성훈</v>
      </c>
      <c r="L146" s="2" t="str">
        <f t="shared" si="8"/>
        <v>성훈</v>
      </c>
      <c r="M146" s="2" t="str">
        <f t="shared" si="11"/>
        <v/>
      </c>
      <c r="N146" s="5" t="s">
        <v>26</v>
      </c>
      <c r="P146" t="s">
        <v>26</v>
      </c>
    </row>
    <row r="147" spans="2:16" x14ac:dyDescent="0.3">
      <c r="B147" s="17">
        <v>10528</v>
      </c>
      <c r="C147" s="99">
        <v>1</v>
      </c>
      <c r="D147" s="17" t="s">
        <v>346</v>
      </c>
      <c r="G147" s="17" t="str">
        <f t="shared" si="9"/>
        <v/>
      </c>
      <c r="K147" s="2" t="str">
        <f t="shared" si="10"/>
        <v>진현우</v>
      </c>
      <c r="L147" s="2" t="str">
        <f t="shared" si="8"/>
        <v>현우</v>
      </c>
      <c r="M147" s="2" t="str">
        <f t="shared" si="11"/>
        <v/>
      </c>
      <c r="N147" s="5" t="s">
        <v>26</v>
      </c>
      <c r="P147" t="s">
        <v>26</v>
      </c>
    </row>
    <row r="148" spans="2:16" x14ac:dyDescent="0.3">
      <c r="B148" s="17">
        <v>10529</v>
      </c>
      <c r="C148" s="99">
        <v>1</v>
      </c>
      <c r="D148" s="17" t="s">
        <v>347</v>
      </c>
      <c r="G148" s="17" t="str">
        <f t="shared" si="9"/>
        <v/>
      </c>
      <c r="K148" s="2" t="str">
        <f t="shared" si="10"/>
        <v>한태훈</v>
      </c>
      <c r="L148" s="2" t="str">
        <f t="shared" si="8"/>
        <v>태훈</v>
      </c>
      <c r="M148" s="2" t="str">
        <f t="shared" si="11"/>
        <v/>
      </c>
      <c r="N148" s="5" t="s">
        <v>26</v>
      </c>
      <c r="P148" t="s">
        <v>26</v>
      </c>
    </row>
    <row r="149" spans="2:16" x14ac:dyDescent="0.3">
      <c r="B149" s="17">
        <v>10530</v>
      </c>
      <c r="C149" s="99">
        <v>2</v>
      </c>
      <c r="D149" s="17" t="s">
        <v>348</v>
      </c>
      <c r="G149" s="17" t="str">
        <f t="shared" si="9"/>
        <v/>
      </c>
      <c r="K149" s="2" t="str">
        <f t="shared" si="10"/>
        <v>이예원</v>
      </c>
      <c r="L149" s="2" t="str">
        <f t="shared" si="8"/>
        <v>예원</v>
      </c>
      <c r="M149" s="2" t="str">
        <f t="shared" si="11"/>
        <v/>
      </c>
      <c r="N149" s="5" t="s">
        <v>26</v>
      </c>
      <c r="P149" t="s">
        <v>26</v>
      </c>
    </row>
    <row r="150" spans="2:16" x14ac:dyDescent="0.3">
      <c r="B150" s="17">
        <v>10601</v>
      </c>
      <c r="C150" s="99">
        <v>2</v>
      </c>
      <c r="D150" s="17" t="s">
        <v>349</v>
      </c>
      <c r="G150" s="17" t="str">
        <f t="shared" si="9"/>
        <v/>
      </c>
      <c r="K150" s="2" t="str">
        <f t="shared" si="10"/>
        <v>국경이</v>
      </c>
      <c r="L150" s="2" t="str">
        <f t="shared" si="8"/>
        <v>경이</v>
      </c>
      <c r="M150" s="2" t="str">
        <f t="shared" si="11"/>
        <v/>
      </c>
      <c r="N150" s="5" t="s">
        <v>26</v>
      </c>
      <c r="P150" t="s">
        <v>26</v>
      </c>
    </row>
    <row r="151" spans="2:16" x14ac:dyDescent="0.3">
      <c r="B151" s="17">
        <v>10602</v>
      </c>
      <c r="C151" s="99">
        <v>2</v>
      </c>
      <c r="D151" s="17" t="s">
        <v>350</v>
      </c>
      <c r="G151" s="17" t="str">
        <f t="shared" si="9"/>
        <v/>
      </c>
      <c r="K151" s="2" t="str">
        <f t="shared" si="10"/>
        <v>김가은</v>
      </c>
      <c r="L151" s="2" t="str">
        <f t="shared" si="8"/>
        <v>가은</v>
      </c>
      <c r="M151" s="2" t="str">
        <f t="shared" si="11"/>
        <v/>
      </c>
      <c r="N151" s="5" t="s">
        <v>26</v>
      </c>
      <c r="P151" t="s">
        <v>26</v>
      </c>
    </row>
    <row r="152" spans="2:16" x14ac:dyDescent="0.3">
      <c r="B152" s="17">
        <v>10603</v>
      </c>
      <c r="C152" s="99">
        <v>2</v>
      </c>
      <c r="D152" s="17" t="s">
        <v>306</v>
      </c>
      <c r="G152" s="17" t="str">
        <f t="shared" si="9"/>
        <v/>
      </c>
      <c r="K152" s="2" t="str">
        <f t="shared" si="10"/>
        <v>김도연</v>
      </c>
      <c r="L152" s="2" t="str">
        <f t="shared" si="8"/>
        <v>도연</v>
      </c>
      <c r="M152" s="2" t="str">
        <f t="shared" si="11"/>
        <v>동명</v>
      </c>
      <c r="N152" s="5" t="s">
        <v>530</v>
      </c>
      <c r="P152" t="s">
        <v>26</v>
      </c>
    </row>
    <row r="153" spans="2:16" x14ac:dyDescent="0.3">
      <c r="B153" s="17">
        <v>10604</v>
      </c>
      <c r="C153" s="99">
        <v>2</v>
      </c>
      <c r="D153" s="17" t="s">
        <v>351</v>
      </c>
      <c r="G153" s="17" t="str">
        <f t="shared" si="9"/>
        <v/>
      </c>
      <c r="K153" s="2" t="str">
        <f t="shared" si="10"/>
        <v>김아현</v>
      </c>
      <c r="L153" s="2" t="str">
        <f t="shared" si="8"/>
        <v>아현</v>
      </c>
      <c r="M153" s="2" t="str">
        <f t="shared" si="11"/>
        <v/>
      </c>
      <c r="N153" s="5" t="s">
        <v>26</v>
      </c>
      <c r="P153" t="s">
        <v>26</v>
      </c>
    </row>
    <row r="154" spans="2:16" x14ac:dyDescent="0.3">
      <c r="B154" s="17">
        <v>10605</v>
      </c>
      <c r="C154" s="99">
        <v>2</v>
      </c>
      <c r="D154" s="17" t="s">
        <v>352</v>
      </c>
      <c r="G154" s="17" t="str">
        <f t="shared" si="9"/>
        <v/>
      </c>
      <c r="K154" s="2" t="str">
        <f t="shared" si="10"/>
        <v>김예은</v>
      </c>
      <c r="L154" s="2" t="str">
        <f t="shared" si="8"/>
        <v>예은</v>
      </c>
      <c r="M154" s="2" t="str">
        <f t="shared" si="11"/>
        <v/>
      </c>
      <c r="N154" s="5" t="s">
        <v>26</v>
      </c>
      <c r="P154" t="s">
        <v>26</v>
      </c>
    </row>
    <row r="155" spans="2:16" x14ac:dyDescent="0.3">
      <c r="B155" s="17">
        <v>10606</v>
      </c>
      <c r="C155" s="99">
        <v>2</v>
      </c>
      <c r="D155" s="17" t="s">
        <v>353</v>
      </c>
      <c r="G155" s="17" t="str">
        <f t="shared" si="9"/>
        <v/>
      </c>
      <c r="K155" s="2" t="str">
        <f t="shared" si="10"/>
        <v>김하랑</v>
      </c>
      <c r="L155" s="2" t="str">
        <f t="shared" si="8"/>
        <v>하랑</v>
      </c>
      <c r="M155" s="2" t="str">
        <f t="shared" si="11"/>
        <v/>
      </c>
      <c r="N155" s="5" t="s">
        <v>26</v>
      </c>
      <c r="P155" t="s">
        <v>26</v>
      </c>
    </row>
    <row r="156" spans="2:16" x14ac:dyDescent="0.3">
      <c r="B156" s="17">
        <v>10607</v>
      </c>
      <c r="C156" s="99">
        <v>2</v>
      </c>
      <c r="D156" s="17" t="s">
        <v>354</v>
      </c>
      <c r="G156" s="17" t="str">
        <f t="shared" si="9"/>
        <v/>
      </c>
      <c r="K156" s="2" t="str">
        <f t="shared" si="10"/>
        <v>서효빈</v>
      </c>
      <c r="L156" s="2" t="str">
        <f t="shared" si="8"/>
        <v>효빈</v>
      </c>
      <c r="M156" s="2" t="str">
        <f t="shared" si="11"/>
        <v/>
      </c>
      <c r="N156" s="5" t="s">
        <v>26</v>
      </c>
      <c r="P156" t="s">
        <v>26</v>
      </c>
    </row>
    <row r="157" spans="2:16" x14ac:dyDescent="0.3">
      <c r="B157" s="17">
        <v>10608</v>
      </c>
      <c r="C157" s="99">
        <v>2</v>
      </c>
      <c r="D157" s="17" t="s">
        <v>355</v>
      </c>
      <c r="G157" s="17" t="str">
        <f t="shared" si="9"/>
        <v/>
      </c>
      <c r="K157" s="2" t="str">
        <f t="shared" si="10"/>
        <v>이수아</v>
      </c>
      <c r="L157" s="2" t="str">
        <f t="shared" si="8"/>
        <v>수아</v>
      </c>
      <c r="M157" s="2" t="str">
        <f t="shared" si="11"/>
        <v/>
      </c>
      <c r="N157" s="5" t="s">
        <v>26</v>
      </c>
      <c r="P157" t="s">
        <v>26</v>
      </c>
    </row>
    <row r="158" spans="2:16" x14ac:dyDescent="0.3">
      <c r="B158" s="17">
        <v>10609</v>
      </c>
      <c r="C158" s="99">
        <v>2</v>
      </c>
      <c r="D158" s="17" t="s">
        <v>356</v>
      </c>
      <c r="G158" s="17" t="str">
        <f t="shared" si="9"/>
        <v/>
      </c>
      <c r="K158" s="2" t="str">
        <f t="shared" si="10"/>
        <v>임수미</v>
      </c>
      <c r="L158" s="2" t="str">
        <f t="shared" si="8"/>
        <v>수미</v>
      </c>
      <c r="M158" s="2" t="str">
        <f t="shared" si="11"/>
        <v/>
      </c>
      <c r="N158" s="5" t="s">
        <v>26</v>
      </c>
      <c r="P158" t="s">
        <v>26</v>
      </c>
    </row>
    <row r="159" spans="2:16" x14ac:dyDescent="0.3">
      <c r="B159" s="17">
        <v>10610</v>
      </c>
      <c r="C159" s="99">
        <v>2</v>
      </c>
      <c r="D159" s="17" t="s">
        <v>301</v>
      </c>
      <c r="G159" s="17" t="str">
        <f t="shared" si="9"/>
        <v/>
      </c>
      <c r="K159" s="2" t="str">
        <f t="shared" si="10"/>
        <v>정유빈</v>
      </c>
      <c r="L159" s="2" t="str">
        <f t="shared" si="8"/>
        <v>유빈</v>
      </c>
      <c r="M159" s="2" t="str">
        <f t="shared" si="11"/>
        <v>동명</v>
      </c>
      <c r="N159" s="5" t="s">
        <v>530</v>
      </c>
      <c r="P159" t="s">
        <v>26</v>
      </c>
    </row>
    <row r="160" spans="2:16" x14ac:dyDescent="0.3">
      <c r="B160" s="17">
        <v>10611</v>
      </c>
      <c r="C160" s="99">
        <v>2</v>
      </c>
      <c r="D160" s="17" t="s">
        <v>357</v>
      </c>
      <c r="G160" s="17" t="str">
        <f t="shared" si="9"/>
        <v/>
      </c>
      <c r="K160" s="2" t="str">
        <f t="shared" si="10"/>
        <v>정채미</v>
      </c>
      <c r="L160" s="2" t="str">
        <f t="shared" si="8"/>
        <v>채미</v>
      </c>
      <c r="M160" s="2" t="str">
        <f t="shared" si="11"/>
        <v/>
      </c>
      <c r="N160" s="5" t="s">
        <v>26</v>
      </c>
      <c r="P160" t="s">
        <v>26</v>
      </c>
    </row>
    <row r="161" spans="2:16" x14ac:dyDescent="0.3">
      <c r="B161" s="17">
        <v>10612</v>
      </c>
      <c r="C161" s="99">
        <v>2</v>
      </c>
      <c r="D161" s="17" t="s">
        <v>358</v>
      </c>
      <c r="G161" s="17" t="str">
        <f t="shared" si="9"/>
        <v/>
      </c>
      <c r="K161" s="2" t="str">
        <f t="shared" si="10"/>
        <v>정희진</v>
      </c>
      <c r="L161" s="2" t="str">
        <f t="shared" si="8"/>
        <v>희진</v>
      </c>
      <c r="M161" s="2" t="str">
        <f t="shared" si="11"/>
        <v/>
      </c>
      <c r="N161" s="5" t="s">
        <v>26</v>
      </c>
      <c r="P161" t="s">
        <v>26</v>
      </c>
    </row>
    <row r="162" spans="2:16" x14ac:dyDescent="0.3">
      <c r="B162" s="17">
        <v>10613</v>
      </c>
      <c r="C162" s="99">
        <v>2</v>
      </c>
      <c r="D162" s="17" t="s">
        <v>359</v>
      </c>
      <c r="G162" s="17" t="str">
        <f t="shared" si="9"/>
        <v/>
      </c>
      <c r="K162" s="2" t="str">
        <f t="shared" si="10"/>
        <v>현시영</v>
      </c>
      <c r="L162" s="2" t="str">
        <f t="shared" si="8"/>
        <v>시영</v>
      </c>
      <c r="M162" s="2" t="str">
        <f t="shared" si="11"/>
        <v/>
      </c>
      <c r="N162" s="5" t="s">
        <v>26</v>
      </c>
      <c r="P162" t="s">
        <v>26</v>
      </c>
    </row>
    <row r="163" spans="2:16" x14ac:dyDescent="0.3">
      <c r="B163" s="17">
        <v>10614</v>
      </c>
      <c r="C163" s="99">
        <v>2</v>
      </c>
      <c r="D163" s="17" t="s">
        <v>360</v>
      </c>
      <c r="G163" s="17" t="str">
        <f t="shared" si="9"/>
        <v/>
      </c>
      <c r="K163" s="2" t="str">
        <f t="shared" si="10"/>
        <v>황한별</v>
      </c>
      <c r="L163" s="2" t="str">
        <f t="shared" si="8"/>
        <v>한별</v>
      </c>
      <c r="M163" s="2" t="str">
        <f t="shared" si="11"/>
        <v/>
      </c>
      <c r="N163" s="5" t="s">
        <v>26</v>
      </c>
      <c r="P163" t="s">
        <v>26</v>
      </c>
    </row>
    <row r="164" spans="2:16" x14ac:dyDescent="0.3">
      <c r="B164" s="17">
        <v>10615</v>
      </c>
      <c r="C164" s="99">
        <v>1</v>
      </c>
      <c r="D164" s="17" t="s">
        <v>361</v>
      </c>
      <c r="G164" s="17" t="str">
        <f t="shared" si="9"/>
        <v/>
      </c>
      <c r="K164" s="2" t="str">
        <f t="shared" si="10"/>
        <v>김완</v>
      </c>
      <c r="L164" s="2" t="str">
        <f t="shared" si="8"/>
        <v>김완</v>
      </c>
      <c r="M164" s="2" t="str">
        <f t="shared" si="11"/>
        <v/>
      </c>
      <c r="N164" s="5" t="s">
        <v>26</v>
      </c>
      <c r="P164" t="s">
        <v>26</v>
      </c>
    </row>
    <row r="165" spans="2:16" x14ac:dyDescent="0.3">
      <c r="B165" s="17">
        <v>10616</v>
      </c>
      <c r="C165" s="99">
        <v>1</v>
      </c>
      <c r="D165" s="17" t="s">
        <v>362</v>
      </c>
      <c r="G165" s="17" t="str">
        <f t="shared" si="9"/>
        <v/>
      </c>
      <c r="K165" s="2" t="str">
        <f t="shared" si="10"/>
        <v>남병현</v>
      </c>
      <c r="L165" s="2" t="str">
        <f t="shared" si="8"/>
        <v>병현</v>
      </c>
      <c r="M165" s="2" t="str">
        <f t="shared" si="11"/>
        <v/>
      </c>
      <c r="N165" s="5" t="s">
        <v>26</v>
      </c>
      <c r="P165" t="s">
        <v>26</v>
      </c>
    </row>
    <row r="166" spans="2:16" x14ac:dyDescent="0.3">
      <c r="B166" s="17">
        <v>10617</v>
      </c>
      <c r="C166" s="99">
        <v>1</v>
      </c>
      <c r="D166" s="17" t="s">
        <v>363</v>
      </c>
      <c r="G166" s="17" t="str">
        <f t="shared" si="9"/>
        <v/>
      </c>
      <c r="K166" s="2" t="str">
        <f t="shared" si="10"/>
        <v>문승두</v>
      </c>
      <c r="L166" s="2" t="str">
        <f t="shared" si="8"/>
        <v>승두</v>
      </c>
      <c r="M166" s="2" t="str">
        <f t="shared" si="11"/>
        <v/>
      </c>
      <c r="N166" s="5" t="s">
        <v>26</v>
      </c>
      <c r="P166" t="s">
        <v>26</v>
      </c>
    </row>
    <row r="167" spans="2:16" x14ac:dyDescent="0.3">
      <c r="B167" s="17">
        <v>10618</v>
      </c>
      <c r="C167" s="99">
        <v>1</v>
      </c>
      <c r="D167" s="17" t="s">
        <v>364</v>
      </c>
      <c r="G167" s="17" t="str">
        <f t="shared" si="9"/>
        <v/>
      </c>
      <c r="K167" s="2" t="str">
        <f t="shared" si="10"/>
        <v>박지유</v>
      </c>
      <c r="L167" s="2" t="str">
        <f t="shared" si="8"/>
        <v>지유</v>
      </c>
      <c r="M167" s="2" t="str">
        <f t="shared" si="11"/>
        <v/>
      </c>
      <c r="N167" s="5" t="s">
        <v>26</v>
      </c>
      <c r="P167" t="s">
        <v>26</v>
      </c>
    </row>
    <row r="168" spans="2:16" x14ac:dyDescent="0.3">
      <c r="B168" s="17">
        <v>10619</v>
      </c>
      <c r="C168" s="99">
        <v>1</v>
      </c>
      <c r="D168" s="17" t="s">
        <v>365</v>
      </c>
      <c r="G168" s="17" t="str">
        <f t="shared" si="9"/>
        <v/>
      </c>
      <c r="K168" s="2" t="str">
        <f t="shared" si="10"/>
        <v>손성현</v>
      </c>
      <c r="L168" s="2" t="str">
        <f t="shared" si="8"/>
        <v>성현</v>
      </c>
      <c r="M168" s="2" t="str">
        <f t="shared" si="11"/>
        <v/>
      </c>
      <c r="N168" s="5" t="s">
        <v>26</v>
      </c>
      <c r="P168" t="s">
        <v>26</v>
      </c>
    </row>
    <row r="169" spans="2:16" x14ac:dyDescent="0.3">
      <c r="B169" s="17">
        <v>10620</v>
      </c>
      <c r="C169" s="99">
        <v>1</v>
      </c>
      <c r="D169" s="17" t="s">
        <v>366</v>
      </c>
      <c r="G169" s="17" t="str">
        <f t="shared" si="9"/>
        <v/>
      </c>
      <c r="K169" s="2" t="str">
        <f t="shared" si="10"/>
        <v>유연태</v>
      </c>
      <c r="L169" s="2" t="str">
        <f t="shared" si="8"/>
        <v>연태</v>
      </c>
      <c r="M169" s="2" t="str">
        <f t="shared" si="11"/>
        <v/>
      </c>
      <c r="N169" s="5" t="s">
        <v>26</v>
      </c>
      <c r="P169" t="s">
        <v>26</v>
      </c>
    </row>
    <row r="170" spans="2:16" x14ac:dyDescent="0.3">
      <c r="B170" s="17">
        <v>10621</v>
      </c>
      <c r="C170" s="99">
        <v>1</v>
      </c>
      <c r="D170" s="17" t="s">
        <v>367</v>
      </c>
      <c r="G170" s="17" t="str">
        <f t="shared" si="9"/>
        <v/>
      </c>
      <c r="K170" s="2" t="str">
        <f t="shared" si="10"/>
        <v>은세원</v>
      </c>
      <c r="L170" s="2" t="str">
        <f t="shared" si="8"/>
        <v>세원</v>
      </c>
      <c r="M170" s="2" t="str">
        <f t="shared" si="11"/>
        <v/>
      </c>
      <c r="N170" s="5" t="s">
        <v>26</v>
      </c>
      <c r="P170" t="s">
        <v>26</v>
      </c>
    </row>
    <row r="171" spans="2:16" x14ac:dyDescent="0.3">
      <c r="B171" s="17">
        <v>10622</v>
      </c>
      <c r="C171" s="99">
        <v>1</v>
      </c>
      <c r="D171" s="17" t="s">
        <v>368</v>
      </c>
      <c r="G171" s="17" t="str">
        <f t="shared" si="9"/>
        <v/>
      </c>
      <c r="K171" s="2" t="str">
        <f t="shared" si="10"/>
        <v>이동주</v>
      </c>
      <c r="L171" s="2" t="str">
        <f t="shared" si="8"/>
        <v>동주</v>
      </c>
      <c r="M171" s="2" t="str">
        <f t="shared" si="11"/>
        <v/>
      </c>
      <c r="N171" s="5" t="s">
        <v>26</v>
      </c>
      <c r="P171" t="s">
        <v>26</v>
      </c>
    </row>
    <row r="172" spans="2:16" x14ac:dyDescent="0.3">
      <c r="B172" s="17">
        <v>10623</v>
      </c>
      <c r="C172" s="99">
        <v>1</v>
      </c>
      <c r="D172" s="17" t="s">
        <v>369</v>
      </c>
      <c r="G172" s="17" t="str">
        <f t="shared" si="9"/>
        <v/>
      </c>
      <c r="K172" s="2" t="str">
        <f t="shared" si="10"/>
        <v>이승현</v>
      </c>
      <c r="L172" s="2" t="str">
        <f t="shared" si="8"/>
        <v>승현</v>
      </c>
      <c r="M172" s="2" t="str">
        <f t="shared" si="11"/>
        <v/>
      </c>
      <c r="N172" s="5" t="s">
        <v>26</v>
      </c>
      <c r="P172" t="s">
        <v>26</v>
      </c>
    </row>
    <row r="173" spans="2:16" x14ac:dyDescent="0.3">
      <c r="B173" s="17">
        <v>10624</v>
      </c>
      <c r="C173" s="99">
        <v>1</v>
      </c>
      <c r="D173" s="17" t="s">
        <v>370</v>
      </c>
      <c r="G173" s="17" t="str">
        <f t="shared" si="9"/>
        <v/>
      </c>
      <c r="K173" s="2" t="str">
        <f t="shared" si="10"/>
        <v>이준수</v>
      </c>
      <c r="L173" s="2" t="str">
        <f t="shared" si="8"/>
        <v>준수</v>
      </c>
      <c r="M173" s="2" t="str">
        <f t="shared" si="11"/>
        <v/>
      </c>
      <c r="N173" s="5" t="s">
        <v>26</v>
      </c>
      <c r="P173" t="s">
        <v>26</v>
      </c>
    </row>
    <row r="174" spans="2:16" x14ac:dyDescent="0.3">
      <c r="B174" s="17">
        <v>10625</v>
      </c>
      <c r="C174" s="99">
        <v>1</v>
      </c>
      <c r="D174" s="17" t="s">
        <v>371</v>
      </c>
      <c r="G174" s="17" t="str">
        <f t="shared" si="9"/>
        <v/>
      </c>
      <c r="K174" s="2" t="str">
        <f t="shared" si="10"/>
        <v>인예관</v>
      </c>
      <c r="L174" s="2" t="str">
        <f t="shared" si="8"/>
        <v>예관</v>
      </c>
      <c r="M174" s="2" t="str">
        <f t="shared" si="11"/>
        <v/>
      </c>
      <c r="N174" s="5" t="s">
        <v>26</v>
      </c>
      <c r="P174" t="s">
        <v>26</v>
      </c>
    </row>
    <row r="175" spans="2:16" x14ac:dyDescent="0.3">
      <c r="B175" s="17">
        <v>10626</v>
      </c>
      <c r="C175" s="99">
        <v>1</v>
      </c>
      <c r="D175" s="17" t="s">
        <v>372</v>
      </c>
      <c r="G175" s="17" t="str">
        <f t="shared" si="9"/>
        <v/>
      </c>
      <c r="K175" s="2" t="str">
        <f t="shared" si="10"/>
        <v>임현서</v>
      </c>
      <c r="L175" s="2" t="str">
        <f t="shared" si="8"/>
        <v>현서</v>
      </c>
      <c r="M175" s="2" t="str">
        <f t="shared" si="11"/>
        <v/>
      </c>
      <c r="N175" s="5" t="s">
        <v>26</v>
      </c>
      <c r="P175" t="s">
        <v>26</v>
      </c>
    </row>
    <row r="176" spans="2:16" x14ac:dyDescent="0.3">
      <c r="B176" s="17">
        <v>10627</v>
      </c>
      <c r="C176" s="99">
        <v>1</v>
      </c>
      <c r="D176" s="17" t="s">
        <v>373</v>
      </c>
      <c r="G176" s="17" t="str">
        <f t="shared" si="9"/>
        <v/>
      </c>
      <c r="K176" s="2" t="str">
        <f t="shared" si="10"/>
        <v>전희재</v>
      </c>
      <c r="L176" s="2" t="str">
        <f t="shared" si="8"/>
        <v>희재</v>
      </c>
      <c r="M176" s="2" t="str">
        <f t="shared" si="11"/>
        <v/>
      </c>
      <c r="N176" s="5" t="s">
        <v>26</v>
      </c>
      <c r="P176" t="s">
        <v>26</v>
      </c>
    </row>
    <row r="177" spans="2:16" x14ac:dyDescent="0.3">
      <c r="B177" s="17">
        <v>10628</v>
      </c>
      <c r="C177" s="99">
        <v>1</v>
      </c>
      <c r="D177" s="17" t="s">
        <v>374</v>
      </c>
      <c r="G177" s="17" t="str">
        <f t="shared" si="9"/>
        <v/>
      </c>
      <c r="K177" s="2" t="str">
        <f t="shared" si="10"/>
        <v>정가람</v>
      </c>
      <c r="L177" s="2" t="str">
        <f t="shared" ref="L177:L225" si="12">RIGHT(K177,2)</f>
        <v>가람</v>
      </c>
      <c r="M177" s="2" t="str">
        <f t="shared" si="11"/>
        <v/>
      </c>
      <c r="N177" s="5" t="s">
        <v>26</v>
      </c>
      <c r="P177" t="s">
        <v>26</v>
      </c>
    </row>
    <row r="178" spans="2:16" x14ac:dyDescent="0.3">
      <c r="B178" s="17">
        <v>10629</v>
      </c>
      <c r="C178" s="99">
        <v>1</v>
      </c>
      <c r="D178" s="17" t="s">
        <v>375</v>
      </c>
      <c r="G178" s="17" t="str">
        <f t="shared" si="9"/>
        <v/>
      </c>
      <c r="K178" s="2" t="str">
        <f t="shared" si="10"/>
        <v>최서현</v>
      </c>
      <c r="L178" s="2" t="str">
        <f t="shared" si="12"/>
        <v>서현</v>
      </c>
      <c r="M178" s="2" t="str">
        <f t="shared" si="11"/>
        <v>동명</v>
      </c>
      <c r="N178" s="5" t="s">
        <v>530</v>
      </c>
      <c r="P178" t="s">
        <v>26</v>
      </c>
    </row>
    <row r="179" spans="2:16" x14ac:dyDescent="0.3">
      <c r="B179" s="17">
        <v>10701</v>
      </c>
      <c r="C179" s="99">
        <v>2</v>
      </c>
      <c r="D179" s="17" t="s">
        <v>376</v>
      </c>
      <c r="G179" s="17" t="str">
        <f t="shared" si="9"/>
        <v/>
      </c>
      <c r="K179" s="2" t="str">
        <f t="shared" si="10"/>
        <v>김가영</v>
      </c>
      <c r="L179" s="2" t="str">
        <f t="shared" si="12"/>
        <v>가영</v>
      </c>
      <c r="M179" s="2" t="str">
        <f t="shared" si="11"/>
        <v/>
      </c>
      <c r="N179" s="5" t="s">
        <v>26</v>
      </c>
      <c r="P179" t="s">
        <v>26</v>
      </c>
    </row>
    <row r="180" spans="2:16" x14ac:dyDescent="0.3">
      <c r="B180" s="17">
        <v>10702</v>
      </c>
      <c r="C180" s="99">
        <v>2</v>
      </c>
      <c r="D180" s="17" t="s">
        <v>377</v>
      </c>
      <c r="G180" s="17" t="str">
        <f t="shared" si="9"/>
        <v/>
      </c>
      <c r="K180" s="2" t="str">
        <f t="shared" si="10"/>
        <v>김가윤</v>
      </c>
      <c r="L180" s="2" t="str">
        <f t="shared" si="12"/>
        <v>가윤</v>
      </c>
      <c r="M180" s="2" t="str">
        <f t="shared" si="11"/>
        <v/>
      </c>
      <c r="N180" s="5" t="s">
        <v>26</v>
      </c>
      <c r="P180" t="s">
        <v>26</v>
      </c>
    </row>
    <row r="181" spans="2:16" x14ac:dyDescent="0.3">
      <c r="B181" s="17">
        <v>10703</v>
      </c>
      <c r="C181" s="99">
        <v>2</v>
      </c>
      <c r="D181" s="17" t="s">
        <v>378</v>
      </c>
      <c r="G181" s="17" t="str">
        <f t="shared" si="9"/>
        <v/>
      </c>
      <c r="K181" s="2" t="str">
        <f t="shared" si="10"/>
        <v>문서희</v>
      </c>
      <c r="L181" s="2" t="str">
        <f t="shared" si="12"/>
        <v>서희</v>
      </c>
      <c r="M181" s="2" t="str">
        <f t="shared" si="11"/>
        <v/>
      </c>
      <c r="N181" s="5" t="s">
        <v>26</v>
      </c>
      <c r="P181" t="s">
        <v>26</v>
      </c>
    </row>
    <row r="182" spans="2:16" x14ac:dyDescent="0.3">
      <c r="B182" s="17">
        <v>10704</v>
      </c>
      <c r="C182" s="99">
        <v>2</v>
      </c>
      <c r="D182" s="17" t="s">
        <v>379</v>
      </c>
      <c r="G182" s="17" t="str">
        <f t="shared" si="9"/>
        <v/>
      </c>
      <c r="K182" s="2" t="str">
        <f t="shared" si="10"/>
        <v>안슬기</v>
      </c>
      <c r="L182" s="2" t="str">
        <f t="shared" si="12"/>
        <v>슬기</v>
      </c>
      <c r="M182" s="2" t="str">
        <f t="shared" si="11"/>
        <v/>
      </c>
      <c r="N182" s="5" t="s">
        <v>26</v>
      </c>
      <c r="P182" t="s">
        <v>26</v>
      </c>
    </row>
    <row r="183" spans="2:16" x14ac:dyDescent="0.3">
      <c r="B183" s="17">
        <v>10705</v>
      </c>
      <c r="C183" s="99">
        <v>2</v>
      </c>
      <c r="D183" s="17" t="s">
        <v>380</v>
      </c>
      <c r="G183" s="17" t="str">
        <f t="shared" si="9"/>
        <v/>
      </c>
      <c r="K183" s="2" t="str">
        <f t="shared" si="10"/>
        <v>오나경</v>
      </c>
      <c r="L183" s="2" t="str">
        <f t="shared" si="12"/>
        <v>나경</v>
      </c>
      <c r="M183" s="2" t="str">
        <f t="shared" si="11"/>
        <v/>
      </c>
      <c r="N183" s="5" t="s">
        <v>26</v>
      </c>
      <c r="P183" t="s">
        <v>26</v>
      </c>
    </row>
    <row r="184" spans="2:16" x14ac:dyDescent="0.3">
      <c r="B184" s="17">
        <v>10706</v>
      </c>
      <c r="C184" s="99">
        <v>2</v>
      </c>
      <c r="D184" s="17" t="s">
        <v>381</v>
      </c>
      <c r="G184" s="17" t="str">
        <f t="shared" si="9"/>
        <v/>
      </c>
      <c r="K184" s="2" t="str">
        <f t="shared" si="10"/>
        <v>오채린</v>
      </c>
      <c r="L184" s="2" t="str">
        <f t="shared" si="12"/>
        <v>채린</v>
      </c>
      <c r="M184" s="2" t="str">
        <f t="shared" si="11"/>
        <v/>
      </c>
      <c r="N184" s="5" t="s">
        <v>26</v>
      </c>
      <c r="P184" t="s">
        <v>26</v>
      </c>
    </row>
    <row r="185" spans="2:16" x14ac:dyDescent="0.3">
      <c r="B185" s="17">
        <v>10707</v>
      </c>
      <c r="C185" s="99">
        <v>2</v>
      </c>
      <c r="D185" s="17" t="s">
        <v>382</v>
      </c>
      <c r="G185" s="17" t="str">
        <f t="shared" si="9"/>
        <v/>
      </c>
      <c r="K185" s="2" t="str">
        <f t="shared" si="10"/>
        <v>이서현</v>
      </c>
      <c r="L185" s="2" t="str">
        <f t="shared" si="12"/>
        <v>서현</v>
      </c>
      <c r="M185" s="2" t="str">
        <f t="shared" si="11"/>
        <v/>
      </c>
      <c r="N185" s="5" t="s">
        <v>26</v>
      </c>
      <c r="P185" t="s">
        <v>26</v>
      </c>
    </row>
    <row r="186" spans="2:16" x14ac:dyDescent="0.3">
      <c r="B186" s="17">
        <v>10708</v>
      </c>
      <c r="C186" s="99">
        <v>2</v>
      </c>
      <c r="D186" s="17" t="s">
        <v>383</v>
      </c>
      <c r="E186" s="101"/>
      <c r="F186" s="101"/>
      <c r="G186" s="17" t="str">
        <f t="shared" si="9"/>
        <v/>
      </c>
      <c r="K186" s="2" t="str">
        <f t="shared" si="10"/>
        <v>이준경</v>
      </c>
      <c r="L186" s="2" t="str">
        <f t="shared" si="12"/>
        <v>준경</v>
      </c>
      <c r="M186" s="2" t="str">
        <f t="shared" si="11"/>
        <v/>
      </c>
      <c r="N186" s="5" t="s">
        <v>26</v>
      </c>
      <c r="P186" t="s">
        <v>26</v>
      </c>
    </row>
    <row r="187" spans="2:16" x14ac:dyDescent="0.3">
      <c r="B187" s="16">
        <v>10709</v>
      </c>
      <c r="C187" s="18">
        <v>2</v>
      </c>
      <c r="D187" s="104" t="s">
        <v>384</v>
      </c>
      <c r="E187" s="101"/>
      <c r="F187" s="101"/>
      <c r="G187" s="17" t="str">
        <f t="shared" si="9"/>
        <v/>
      </c>
      <c r="K187" s="2" t="str">
        <f t="shared" si="10"/>
        <v>전혜민</v>
      </c>
      <c r="L187" s="2" t="str">
        <f t="shared" si="12"/>
        <v>혜민</v>
      </c>
      <c r="M187" s="2" t="str">
        <f t="shared" si="11"/>
        <v/>
      </c>
      <c r="N187" s="5" t="s">
        <v>26</v>
      </c>
      <c r="P187" t="s">
        <v>26</v>
      </c>
    </row>
    <row r="188" spans="2:16" x14ac:dyDescent="0.3">
      <c r="B188" s="16">
        <v>10710</v>
      </c>
      <c r="C188" s="18">
        <v>2</v>
      </c>
      <c r="D188" s="104" t="s">
        <v>385</v>
      </c>
      <c r="E188" s="101"/>
      <c r="F188" s="101"/>
      <c r="G188" s="17" t="str">
        <f t="shared" si="9"/>
        <v/>
      </c>
      <c r="K188" s="2" t="str">
        <f t="shared" si="10"/>
        <v>정주은</v>
      </c>
      <c r="L188" s="2" t="str">
        <f t="shared" si="12"/>
        <v>주은</v>
      </c>
      <c r="M188" s="2" t="str">
        <f t="shared" si="11"/>
        <v/>
      </c>
      <c r="N188" s="5" t="s">
        <v>26</v>
      </c>
      <c r="P188" t="s">
        <v>26</v>
      </c>
    </row>
    <row r="189" spans="2:16" x14ac:dyDescent="0.3">
      <c r="B189" s="16">
        <v>10711</v>
      </c>
      <c r="C189" s="18">
        <v>2</v>
      </c>
      <c r="D189" s="104" t="s">
        <v>386</v>
      </c>
      <c r="E189" s="101"/>
      <c r="F189" s="101"/>
      <c r="G189" s="17" t="str">
        <f t="shared" si="9"/>
        <v/>
      </c>
      <c r="K189" s="2" t="str">
        <f t="shared" si="10"/>
        <v>조하은</v>
      </c>
      <c r="L189" s="2" t="str">
        <f t="shared" si="12"/>
        <v>하은</v>
      </c>
      <c r="M189" s="2" t="str">
        <f t="shared" si="11"/>
        <v/>
      </c>
      <c r="N189" s="5" t="s">
        <v>26</v>
      </c>
      <c r="P189" t="s">
        <v>26</v>
      </c>
    </row>
    <row r="190" spans="2:16" x14ac:dyDescent="0.3">
      <c r="B190" s="16">
        <v>10712</v>
      </c>
      <c r="C190" s="18">
        <v>2</v>
      </c>
      <c r="D190" s="104" t="s">
        <v>387</v>
      </c>
      <c r="E190" s="101"/>
      <c r="F190" s="101"/>
      <c r="G190" s="17" t="str">
        <f t="shared" si="9"/>
        <v/>
      </c>
      <c r="K190" s="2" t="str">
        <f t="shared" si="10"/>
        <v>최은주</v>
      </c>
      <c r="L190" s="2" t="str">
        <f t="shared" si="12"/>
        <v>은주</v>
      </c>
      <c r="M190" s="2" t="str">
        <f t="shared" si="11"/>
        <v/>
      </c>
      <c r="N190" s="5" t="s">
        <v>26</v>
      </c>
      <c r="P190" t="s">
        <v>26</v>
      </c>
    </row>
    <row r="191" spans="2:16" x14ac:dyDescent="0.3">
      <c r="B191" s="16">
        <v>10713</v>
      </c>
      <c r="C191" s="18">
        <v>2</v>
      </c>
      <c r="D191" s="104" t="s">
        <v>388</v>
      </c>
      <c r="E191" s="101"/>
      <c r="F191" s="101"/>
      <c r="G191" s="17" t="str">
        <f t="shared" si="9"/>
        <v/>
      </c>
      <c r="K191" s="2" t="str">
        <f t="shared" si="10"/>
        <v>최인영</v>
      </c>
      <c r="L191" s="2" t="str">
        <f t="shared" si="12"/>
        <v>인영</v>
      </c>
      <c r="M191" s="2" t="str">
        <f t="shared" si="11"/>
        <v/>
      </c>
      <c r="N191" s="5" t="s">
        <v>26</v>
      </c>
      <c r="P191" t="s">
        <v>26</v>
      </c>
    </row>
    <row r="192" spans="2:16" x14ac:dyDescent="0.3">
      <c r="B192" s="16">
        <v>10714</v>
      </c>
      <c r="C192" s="18">
        <v>2</v>
      </c>
      <c r="D192" s="104" t="s">
        <v>389</v>
      </c>
      <c r="E192" s="101"/>
      <c r="F192" s="101"/>
      <c r="G192" s="17" t="str">
        <f t="shared" si="9"/>
        <v/>
      </c>
      <c r="K192" s="2" t="str">
        <f t="shared" si="10"/>
        <v>한서연</v>
      </c>
      <c r="L192" s="2" t="str">
        <f t="shared" si="12"/>
        <v>서연</v>
      </c>
      <c r="M192" s="2" t="str">
        <f t="shared" si="11"/>
        <v/>
      </c>
      <c r="N192" s="5" t="s">
        <v>26</v>
      </c>
      <c r="P192" t="s">
        <v>26</v>
      </c>
    </row>
    <row r="193" spans="2:16" x14ac:dyDescent="0.3">
      <c r="B193" s="16">
        <v>10715</v>
      </c>
      <c r="C193" s="18">
        <v>1</v>
      </c>
      <c r="D193" s="104" t="s">
        <v>390</v>
      </c>
      <c r="E193" s="101"/>
      <c r="F193" s="101"/>
      <c r="G193" s="17" t="str">
        <f t="shared" si="9"/>
        <v/>
      </c>
      <c r="K193" s="2" t="str">
        <f t="shared" si="10"/>
        <v>김덕일</v>
      </c>
      <c r="L193" s="2" t="str">
        <f t="shared" si="12"/>
        <v>덕일</v>
      </c>
      <c r="M193" s="2" t="str">
        <f t="shared" si="11"/>
        <v/>
      </c>
      <c r="N193" s="5" t="s">
        <v>26</v>
      </c>
      <c r="P193" t="s">
        <v>26</v>
      </c>
    </row>
    <row r="194" spans="2:16" x14ac:dyDescent="0.3">
      <c r="B194" s="16">
        <v>10716</v>
      </c>
      <c r="C194" s="18">
        <v>1</v>
      </c>
      <c r="D194" s="104" t="s">
        <v>391</v>
      </c>
      <c r="E194" s="101"/>
      <c r="F194" s="101"/>
      <c r="G194" s="17" t="str">
        <f t="shared" si="9"/>
        <v/>
      </c>
      <c r="K194" s="2" t="str">
        <f t="shared" si="10"/>
        <v>김재석</v>
      </c>
      <c r="L194" s="2" t="str">
        <f t="shared" si="12"/>
        <v>재석</v>
      </c>
      <c r="M194" s="2" t="str">
        <f t="shared" si="11"/>
        <v/>
      </c>
      <c r="N194" s="5" t="s">
        <v>26</v>
      </c>
      <c r="P194" t="s">
        <v>26</v>
      </c>
    </row>
    <row r="195" spans="2:16" x14ac:dyDescent="0.3">
      <c r="B195" s="16">
        <v>10717</v>
      </c>
      <c r="C195" s="18">
        <v>1</v>
      </c>
      <c r="D195" s="104" t="s">
        <v>392</v>
      </c>
      <c r="E195" s="101"/>
      <c r="F195" s="101"/>
      <c r="G195" s="17" t="str">
        <f t="shared" si="9"/>
        <v/>
      </c>
      <c r="K195" s="2" t="str">
        <f t="shared" si="10"/>
        <v>김태규</v>
      </c>
      <c r="L195" s="2" t="str">
        <f t="shared" si="12"/>
        <v>태규</v>
      </c>
      <c r="M195" s="2" t="str">
        <f t="shared" si="11"/>
        <v/>
      </c>
      <c r="N195" s="5" t="s">
        <v>26</v>
      </c>
      <c r="P195" t="s">
        <v>26</v>
      </c>
    </row>
    <row r="196" spans="2:16" x14ac:dyDescent="0.3">
      <c r="B196" s="16">
        <v>10718</v>
      </c>
      <c r="C196" s="18">
        <v>1</v>
      </c>
      <c r="D196" s="104" t="s">
        <v>393</v>
      </c>
      <c r="E196" s="101"/>
      <c r="F196" s="101"/>
      <c r="G196" s="17" t="str">
        <f t="shared" ref="G196:G259" si="13">IF(AND(D196=E196,E196=F196),"",IF(AND(F196="",D196=E196),"",IF(AND(D196="",E196=F196),"",IF(AND(E196="",D196=F196),"",""))))</f>
        <v/>
      </c>
      <c r="K196" s="2" t="str">
        <f t="shared" ref="K196:K259" si="14">IF(D196="","",+D196)</f>
        <v>김태양</v>
      </c>
      <c r="L196" s="2" t="str">
        <f t="shared" si="12"/>
        <v>태양</v>
      </c>
      <c r="M196" s="2" t="str">
        <f t="shared" ref="M196:M259" si="15">IF(B196="","",IF(COUNTIF($K$3:$K$295,K196)&gt;1,"동명",""))</f>
        <v/>
      </c>
      <c r="N196" s="5" t="s">
        <v>26</v>
      </c>
      <c r="P196" t="s">
        <v>26</v>
      </c>
    </row>
    <row r="197" spans="2:16" x14ac:dyDescent="0.3">
      <c r="B197" s="16">
        <v>10719</v>
      </c>
      <c r="C197" s="18">
        <v>1</v>
      </c>
      <c r="D197" s="104" t="s">
        <v>394</v>
      </c>
      <c r="E197" s="101"/>
      <c r="F197" s="101"/>
      <c r="G197" s="17" t="str">
        <f t="shared" si="13"/>
        <v/>
      </c>
      <c r="K197" s="2" t="str">
        <f t="shared" si="14"/>
        <v>도현준</v>
      </c>
      <c r="L197" s="2" t="str">
        <f t="shared" si="12"/>
        <v>현준</v>
      </c>
      <c r="M197" s="2" t="str">
        <f t="shared" si="15"/>
        <v/>
      </c>
      <c r="N197" s="5" t="s">
        <v>26</v>
      </c>
      <c r="P197" t="s">
        <v>26</v>
      </c>
    </row>
    <row r="198" spans="2:16" x14ac:dyDescent="0.3">
      <c r="B198" s="16">
        <v>10720</v>
      </c>
      <c r="C198" s="18">
        <v>1</v>
      </c>
      <c r="D198" s="104" t="s">
        <v>395</v>
      </c>
      <c r="E198" s="101"/>
      <c r="F198" s="101"/>
      <c r="G198" s="17" t="str">
        <f t="shared" si="13"/>
        <v/>
      </c>
      <c r="K198" s="2" t="str">
        <f t="shared" si="14"/>
        <v>박건희</v>
      </c>
      <c r="L198" s="2" t="str">
        <f t="shared" si="12"/>
        <v>건희</v>
      </c>
      <c r="M198" s="2" t="str">
        <f t="shared" si="15"/>
        <v/>
      </c>
      <c r="N198" s="5" t="s">
        <v>26</v>
      </c>
      <c r="P198" t="s">
        <v>26</v>
      </c>
    </row>
    <row r="199" spans="2:16" x14ac:dyDescent="0.3">
      <c r="B199" s="16">
        <v>10721</v>
      </c>
      <c r="C199" s="18">
        <v>1</v>
      </c>
      <c r="D199" s="104" t="s">
        <v>396</v>
      </c>
      <c r="E199" s="101"/>
      <c r="F199" s="101"/>
      <c r="G199" s="17" t="str">
        <f t="shared" si="13"/>
        <v/>
      </c>
      <c r="K199" s="2" t="str">
        <f t="shared" si="14"/>
        <v>박도현</v>
      </c>
      <c r="L199" s="2" t="str">
        <f t="shared" si="12"/>
        <v>도현</v>
      </c>
      <c r="M199" s="2" t="str">
        <f t="shared" si="15"/>
        <v/>
      </c>
      <c r="N199" s="5" t="s">
        <v>26</v>
      </c>
      <c r="P199" t="s">
        <v>26</v>
      </c>
    </row>
    <row r="200" spans="2:16" x14ac:dyDescent="0.3">
      <c r="B200" s="16">
        <v>10722</v>
      </c>
      <c r="C200" s="18">
        <v>1</v>
      </c>
      <c r="D200" s="104" t="s">
        <v>397</v>
      </c>
      <c r="E200" s="101"/>
      <c r="F200" s="101"/>
      <c r="G200" s="17" t="str">
        <f t="shared" si="13"/>
        <v/>
      </c>
      <c r="K200" s="2" t="str">
        <f t="shared" si="14"/>
        <v>송현우</v>
      </c>
      <c r="L200" s="2" t="str">
        <f t="shared" si="12"/>
        <v>현우</v>
      </c>
      <c r="M200" s="2" t="str">
        <f t="shared" si="15"/>
        <v/>
      </c>
      <c r="N200" s="5" t="s">
        <v>26</v>
      </c>
      <c r="P200" t="s">
        <v>26</v>
      </c>
    </row>
    <row r="201" spans="2:16" x14ac:dyDescent="0.3">
      <c r="B201" s="16">
        <v>10723</v>
      </c>
      <c r="C201" s="18">
        <v>1</v>
      </c>
      <c r="D201" s="104" t="s">
        <v>398</v>
      </c>
      <c r="E201" s="101"/>
      <c r="F201" s="101"/>
      <c r="G201" s="17" t="str">
        <f t="shared" si="13"/>
        <v/>
      </c>
      <c r="K201" s="2" t="str">
        <f t="shared" si="14"/>
        <v>윤선호</v>
      </c>
      <c r="L201" s="2" t="str">
        <f t="shared" si="12"/>
        <v>선호</v>
      </c>
      <c r="M201" s="2" t="str">
        <f t="shared" si="15"/>
        <v/>
      </c>
      <c r="N201" s="5" t="s">
        <v>26</v>
      </c>
      <c r="P201" t="s">
        <v>26</v>
      </c>
    </row>
    <row r="202" spans="2:16" x14ac:dyDescent="0.3">
      <c r="B202" s="16">
        <v>10724</v>
      </c>
      <c r="C202" s="18">
        <v>1</v>
      </c>
      <c r="D202" s="104" t="s">
        <v>399</v>
      </c>
      <c r="E202" s="101"/>
      <c r="F202" s="101"/>
      <c r="G202" s="17" t="str">
        <f t="shared" si="13"/>
        <v/>
      </c>
      <c r="K202" s="2" t="str">
        <f t="shared" si="14"/>
        <v>이다한</v>
      </c>
      <c r="L202" s="2" t="str">
        <f t="shared" si="12"/>
        <v>다한</v>
      </c>
      <c r="M202" s="2" t="str">
        <f t="shared" si="15"/>
        <v/>
      </c>
      <c r="N202" s="5" t="s">
        <v>26</v>
      </c>
      <c r="P202" t="s">
        <v>26</v>
      </c>
    </row>
    <row r="203" spans="2:16" x14ac:dyDescent="0.3">
      <c r="B203" s="16">
        <v>10725</v>
      </c>
      <c r="C203" s="18">
        <v>1</v>
      </c>
      <c r="D203" s="104" t="s">
        <v>400</v>
      </c>
      <c r="E203" s="101"/>
      <c r="F203" s="101"/>
      <c r="G203" s="17" t="str">
        <f t="shared" si="13"/>
        <v/>
      </c>
      <c r="K203" s="2" t="str">
        <f t="shared" si="14"/>
        <v>이병조</v>
      </c>
      <c r="L203" s="2" t="str">
        <f t="shared" si="12"/>
        <v>병조</v>
      </c>
      <c r="M203" s="2" t="str">
        <f t="shared" si="15"/>
        <v/>
      </c>
      <c r="N203" s="5" t="s">
        <v>26</v>
      </c>
      <c r="P203" t="s">
        <v>26</v>
      </c>
    </row>
    <row r="204" spans="2:16" x14ac:dyDescent="0.3">
      <c r="B204" s="16">
        <v>10726</v>
      </c>
      <c r="C204" s="18">
        <v>1</v>
      </c>
      <c r="D204" s="104" t="s">
        <v>401</v>
      </c>
      <c r="E204" s="101"/>
      <c r="F204" s="101"/>
      <c r="G204" s="17" t="str">
        <f t="shared" si="13"/>
        <v/>
      </c>
      <c r="K204" s="2" t="str">
        <f t="shared" si="14"/>
        <v>정건우</v>
      </c>
      <c r="L204" s="2" t="str">
        <f t="shared" si="12"/>
        <v>건우</v>
      </c>
      <c r="M204" s="2" t="str">
        <f t="shared" si="15"/>
        <v/>
      </c>
      <c r="N204" s="5" t="s">
        <v>26</v>
      </c>
      <c r="P204" t="s">
        <v>26</v>
      </c>
    </row>
    <row r="205" spans="2:16" x14ac:dyDescent="0.3">
      <c r="B205" s="16">
        <v>10727</v>
      </c>
      <c r="C205" s="18">
        <v>1</v>
      </c>
      <c r="D205" s="104" t="s">
        <v>402</v>
      </c>
      <c r="E205" s="101"/>
      <c r="F205" s="101"/>
      <c r="G205" s="17" t="str">
        <f t="shared" si="13"/>
        <v/>
      </c>
      <c r="K205" s="2" t="str">
        <f t="shared" si="14"/>
        <v>정휘우</v>
      </c>
      <c r="L205" s="2" t="str">
        <f t="shared" si="12"/>
        <v>휘우</v>
      </c>
      <c r="M205" s="2" t="str">
        <f t="shared" si="15"/>
        <v/>
      </c>
      <c r="N205" s="5" t="s">
        <v>26</v>
      </c>
      <c r="P205" t="s">
        <v>26</v>
      </c>
    </row>
    <row r="206" spans="2:16" x14ac:dyDescent="0.3">
      <c r="B206" s="16">
        <v>10728</v>
      </c>
      <c r="C206" s="18">
        <v>1</v>
      </c>
      <c r="D206" s="104" t="s">
        <v>403</v>
      </c>
      <c r="E206" s="101"/>
      <c r="F206" s="101"/>
      <c r="G206" s="17" t="str">
        <f t="shared" si="13"/>
        <v/>
      </c>
      <c r="K206" s="2" t="str">
        <f t="shared" si="14"/>
        <v>주건우</v>
      </c>
      <c r="L206" s="2" t="str">
        <f t="shared" si="12"/>
        <v>건우</v>
      </c>
      <c r="M206" s="2" t="str">
        <f t="shared" si="15"/>
        <v/>
      </c>
      <c r="N206" s="5" t="s">
        <v>26</v>
      </c>
      <c r="P206" t="s">
        <v>26</v>
      </c>
    </row>
    <row r="207" spans="2:16" x14ac:dyDescent="0.3">
      <c r="B207" s="16">
        <v>10729</v>
      </c>
      <c r="C207" s="18">
        <v>1</v>
      </c>
      <c r="D207" s="104" t="s">
        <v>404</v>
      </c>
      <c r="E207" s="101"/>
      <c r="F207" s="101"/>
      <c r="G207" s="17" t="str">
        <f t="shared" si="13"/>
        <v/>
      </c>
      <c r="K207" s="2" t="str">
        <f t="shared" si="14"/>
        <v>홍준기</v>
      </c>
      <c r="L207" s="2" t="str">
        <f t="shared" si="12"/>
        <v>준기</v>
      </c>
      <c r="M207" s="2" t="str">
        <f t="shared" si="15"/>
        <v/>
      </c>
      <c r="N207" s="5" t="s">
        <v>26</v>
      </c>
      <c r="P207" t="s">
        <v>26</v>
      </c>
    </row>
    <row r="208" spans="2:16" x14ac:dyDescent="0.3">
      <c r="B208" s="16">
        <v>10730</v>
      </c>
      <c r="C208" s="18">
        <v>1</v>
      </c>
      <c r="D208" s="104" t="s">
        <v>405</v>
      </c>
      <c r="E208" s="101"/>
      <c r="F208" s="101"/>
      <c r="G208" s="17" t="str">
        <f t="shared" si="13"/>
        <v/>
      </c>
      <c r="K208" s="2" t="str">
        <f t="shared" si="14"/>
        <v>김재헌</v>
      </c>
      <c r="L208" s="2" t="str">
        <f t="shared" si="12"/>
        <v>재헌</v>
      </c>
      <c r="M208" s="2" t="str">
        <f t="shared" si="15"/>
        <v/>
      </c>
      <c r="N208" s="5" t="s">
        <v>26</v>
      </c>
      <c r="P208" t="s">
        <v>26</v>
      </c>
    </row>
    <row r="209" spans="2:16" x14ac:dyDescent="0.3">
      <c r="B209" s="16">
        <v>10801</v>
      </c>
      <c r="C209" s="18">
        <v>2</v>
      </c>
      <c r="D209" s="104" t="s">
        <v>406</v>
      </c>
      <c r="E209" s="101"/>
      <c r="F209" s="101"/>
      <c r="G209" s="17" t="str">
        <f t="shared" si="13"/>
        <v/>
      </c>
      <c r="K209" s="2" t="str">
        <f t="shared" si="14"/>
        <v>김경민</v>
      </c>
      <c r="L209" s="2" t="str">
        <f t="shared" si="12"/>
        <v>경민</v>
      </c>
      <c r="M209" s="2" t="str">
        <f t="shared" si="15"/>
        <v/>
      </c>
      <c r="N209" s="5" t="s">
        <v>26</v>
      </c>
      <c r="P209" t="s">
        <v>26</v>
      </c>
    </row>
    <row r="210" spans="2:16" x14ac:dyDescent="0.3">
      <c r="B210" s="16">
        <v>10802</v>
      </c>
      <c r="C210" s="18">
        <v>2</v>
      </c>
      <c r="D210" s="104" t="s">
        <v>407</v>
      </c>
      <c r="E210" s="101"/>
      <c r="F210" s="101"/>
      <c r="G210" s="17" t="str">
        <f t="shared" si="13"/>
        <v/>
      </c>
      <c r="K210" s="2" t="str">
        <f t="shared" si="14"/>
        <v>김보라</v>
      </c>
      <c r="L210" s="2" t="str">
        <f t="shared" si="12"/>
        <v>보라</v>
      </c>
      <c r="M210" s="2" t="str">
        <f t="shared" si="15"/>
        <v/>
      </c>
      <c r="N210" s="5" t="s">
        <v>26</v>
      </c>
      <c r="P210" t="s">
        <v>26</v>
      </c>
    </row>
    <row r="211" spans="2:16" x14ac:dyDescent="0.3">
      <c r="B211" s="16">
        <v>10803</v>
      </c>
      <c r="C211" s="18">
        <v>2</v>
      </c>
      <c r="D211" s="104" t="s">
        <v>408</v>
      </c>
      <c r="E211" s="101"/>
      <c r="F211" s="101"/>
      <c r="G211" s="17" t="str">
        <f t="shared" si="13"/>
        <v/>
      </c>
      <c r="K211" s="2" t="str">
        <f t="shared" si="14"/>
        <v>김서현</v>
      </c>
      <c r="L211" s="2" t="str">
        <f t="shared" si="12"/>
        <v>서현</v>
      </c>
      <c r="M211" s="2" t="str">
        <f t="shared" si="15"/>
        <v/>
      </c>
      <c r="N211" s="5" t="s">
        <v>26</v>
      </c>
      <c r="P211" t="s">
        <v>26</v>
      </c>
    </row>
    <row r="212" spans="2:16" x14ac:dyDescent="0.3">
      <c r="B212" s="16">
        <v>10804</v>
      </c>
      <c r="C212" s="18">
        <v>2</v>
      </c>
      <c r="D212" s="104" t="s">
        <v>409</v>
      </c>
      <c r="E212" s="101"/>
      <c r="F212" s="101"/>
      <c r="G212" s="17" t="str">
        <f t="shared" si="13"/>
        <v/>
      </c>
      <c r="K212" s="2" t="str">
        <f t="shared" si="14"/>
        <v>김여진</v>
      </c>
      <c r="L212" s="2" t="str">
        <f t="shared" si="12"/>
        <v>여진</v>
      </c>
      <c r="M212" s="2" t="str">
        <f t="shared" si="15"/>
        <v/>
      </c>
      <c r="N212" s="5" t="s">
        <v>26</v>
      </c>
      <c r="P212" t="s">
        <v>26</v>
      </c>
    </row>
    <row r="213" spans="2:16" x14ac:dyDescent="0.3">
      <c r="B213" s="16">
        <v>10805</v>
      </c>
      <c r="C213" s="18">
        <v>2</v>
      </c>
      <c r="D213" s="104" t="s">
        <v>410</v>
      </c>
      <c r="E213" s="101"/>
      <c r="F213" s="101"/>
      <c r="G213" s="17" t="str">
        <f t="shared" si="13"/>
        <v/>
      </c>
      <c r="K213" s="2" t="str">
        <f t="shared" si="14"/>
        <v>김예빈</v>
      </c>
      <c r="L213" s="2" t="str">
        <f t="shared" si="12"/>
        <v>예빈</v>
      </c>
      <c r="M213" s="2" t="str">
        <f t="shared" si="15"/>
        <v/>
      </c>
      <c r="N213" s="5" t="s">
        <v>26</v>
      </c>
      <c r="P213" t="s">
        <v>26</v>
      </c>
    </row>
    <row r="214" spans="2:16" x14ac:dyDescent="0.3">
      <c r="B214" s="16">
        <v>10806</v>
      </c>
      <c r="C214" s="18">
        <v>2</v>
      </c>
      <c r="D214" s="104" t="s">
        <v>411</v>
      </c>
      <c r="E214" s="101"/>
      <c r="F214" s="101"/>
      <c r="G214" s="17" t="str">
        <f t="shared" si="13"/>
        <v/>
      </c>
      <c r="K214" s="2" t="str">
        <f t="shared" si="14"/>
        <v>김하늘</v>
      </c>
      <c r="L214" s="2" t="str">
        <f t="shared" si="12"/>
        <v>하늘</v>
      </c>
      <c r="M214" s="2" t="str">
        <f t="shared" si="15"/>
        <v/>
      </c>
      <c r="N214" s="5" t="s">
        <v>26</v>
      </c>
      <c r="P214" t="s">
        <v>26</v>
      </c>
    </row>
    <row r="215" spans="2:16" x14ac:dyDescent="0.3">
      <c r="B215" s="16">
        <v>10807</v>
      </c>
      <c r="C215" s="18">
        <v>2</v>
      </c>
      <c r="D215" s="104" t="s">
        <v>412</v>
      </c>
      <c r="E215" s="101"/>
      <c r="F215" s="101"/>
      <c r="G215" s="17" t="str">
        <f t="shared" si="13"/>
        <v/>
      </c>
      <c r="K215" s="2" t="str">
        <f t="shared" si="14"/>
        <v>류다현</v>
      </c>
      <c r="L215" s="2" t="str">
        <f t="shared" si="12"/>
        <v>다현</v>
      </c>
      <c r="M215" s="2" t="str">
        <f t="shared" si="15"/>
        <v/>
      </c>
      <c r="N215" s="5" t="s">
        <v>26</v>
      </c>
      <c r="P215" t="s">
        <v>26</v>
      </c>
    </row>
    <row r="216" spans="2:16" x14ac:dyDescent="0.3">
      <c r="B216" s="16">
        <v>10808</v>
      </c>
      <c r="C216" s="18">
        <v>2</v>
      </c>
      <c r="D216" s="104" t="s">
        <v>413</v>
      </c>
      <c r="E216" s="101"/>
      <c r="F216" s="101"/>
      <c r="G216" s="17" t="str">
        <f t="shared" si="13"/>
        <v/>
      </c>
      <c r="K216" s="2" t="str">
        <f t="shared" si="14"/>
        <v>백지혜</v>
      </c>
      <c r="L216" s="2" t="str">
        <f t="shared" si="12"/>
        <v>지혜</v>
      </c>
      <c r="M216" s="2" t="str">
        <f t="shared" si="15"/>
        <v/>
      </c>
      <c r="N216" s="5" t="s">
        <v>26</v>
      </c>
      <c r="P216" t="s">
        <v>26</v>
      </c>
    </row>
    <row r="217" spans="2:16" x14ac:dyDescent="0.3">
      <c r="B217" s="16">
        <v>10809</v>
      </c>
      <c r="C217" s="18">
        <v>2</v>
      </c>
      <c r="D217" s="104" t="s">
        <v>414</v>
      </c>
      <c r="E217" s="101"/>
      <c r="F217" s="101"/>
      <c r="G217" s="17" t="str">
        <f t="shared" si="13"/>
        <v/>
      </c>
      <c r="K217" s="2" t="str">
        <f t="shared" si="14"/>
        <v>설이담</v>
      </c>
      <c r="L217" s="2" t="str">
        <f t="shared" si="12"/>
        <v>이담</v>
      </c>
      <c r="M217" s="2" t="str">
        <f t="shared" si="15"/>
        <v/>
      </c>
      <c r="N217" s="5" t="s">
        <v>26</v>
      </c>
      <c r="P217" t="s">
        <v>26</v>
      </c>
    </row>
    <row r="218" spans="2:16" x14ac:dyDescent="0.3">
      <c r="B218" s="16">
        <v>10810</v>
      </c>
      <c r="C218" s="18">
        <v>2</v>
      </c>
      <c r="D218" s="104" t="s">
        <v>415</v>
      </c>
      <c r="E218" s="101"/>
      <c r="F218" s="101"/>
      <c r="G218" s="17" t="str">
        <f t="shared" si="13"/>
        <v/>
      </c>
      <c r="K218" s="2" t="str">
        <f t="shared" si="14"/>
        <v>송민아</v>
      </c>
      <c r="L218" s="2" t="str">
        <f t="shared" si="12"/>
        <v>민아</v>
      </c>
      <c r="M218" s="2" t="str">
        <f t="shared" si="15"/>
        <v/>
      </c>
      <c r="N218" s="5" t="s">
        <v>26</v>
      </c>
      <c r="P218" t="s">
        <v>26</v>
      </c>
    </row>
    <row r="219" spans="2:16" x14ac:dyDescent="0.3">
      <c r="B219" s="16">
        <v>10811</v>
      </c>
      <c r="C219" s="18">
        <v>2</v>
      </c>
      <c r="D219" s="104" t="s">
        <v>416</v>
      </c>
      <c r="E219" s="101"/>
      <c r="F219" s="101"/>
      <c r="G219" s="17" t="str">
        <f t="shared" si="13"/>
        <v/>
      </c>
      <c r="K219" s="2" t="str">
        <f t="shared" si="14"/>
        <v>염원</v>
      </c>
      <c r="L219" s="2" t="str">
        <f t="shared" si="12"/>
        <v>염원</v>
      </c>
      <c r="M219" s="2" t="str">
        <f t="shared" si="15"/>
        <v/>
      </c>
      <c r="N219" s="5" t="s">
        <v>26</v>
      </c>
      <c r="P219" t="s">
        <v>26</v>
      </c>
    </row>
    <row r="220" spans="2:16" x14ac:dyDescent="0.3">
      <c r="B220" s="16">
        <v>10812</v>
      </c>
      <c r="C220" s="18">
        <v>2</v>
      </c>
      <c r="D220" s="104" t="s">
        <v>417</v>
      </c>
      <c r="E220" s="101"/>
      <c r="F220" s="101"/>
      <c r="G220" s="17" t="str">
        <f t="shared" si="13"/>
        <v/>
      </c>
      <c r="K220" s="2" t="str">
        <f t="shared" si="14"/>
        <v>정아영</v>
      </c>
      <c r="L220" s="2" t="str">
        <f t="shared" si="12"/>
        <v>아영</v>
      </c>
      <c r="M220" s="2" t="str">
        <f t="shared" si="15"/>
        <v/>
      </c>
      <c r="N220" s="5" t="s">
        <v>26</v>
      </c>
      <c r="P220" t="s">
        <v>26</v>
      </c>
    </row>
    <row r="221" spans="2:16" x14ac:dyDescent="0.3">
      <c r="B221" s="16">
        <v>10813</v>
      </c>
      <c r="C221" s="18">
        <v>2</v>
      </c>
      <c r="D221" s="104" t="s">
        <v>418</v>
      </c>
      <c r="E221" s="101"/>
      <c r="F221" s="101"/>
      <c r="G221" s="17" t="str">
        <f t="shared" si="13"/>
        <v/>
      </c>
      <c r="K221" s="2" t="str">
        <f t="shared" si="14"/>
        <v>정예빈</v>
      </c>
      <c r="L221" s="2" t="str">
        <f t="shared" si="12"/>
        <v>예빈</v>
      </c>
      <c r="M221" s="2" t="str">
        <f t="shared" si="15"/>
        <v/>
      </c>
      <c r="N221" s="5" t="s">
        <v>26</v>
      </c>
      <c r="P221" t="s">
        <v>26</v>
      </c>
    </row>
    <row r="222" spans="2:16" x14ac:dyDescent="0.3">
      <c r="B222" s="16">
        <v>10814</v>
      </c>
      <c r="C222" s="18">
        <v>2</v>
      </c>
      <c r="D222" s="104" t="s">
        <v>419</v>
      </c>
      <c r="E222" s="101"/>
      <c r="F222" s="101"/>
      <c r="G222" s="17" t="str">
        <f t="shared" si="13"/>
        <v/>
      </c>
      <c r="K222" s="2" t="str">
        <f t="shared" si="14"/>
        <v>진혜주</v>
      </c>
      <c r="L222" s="2" t="str">
        <f t="shared" si="12"/>
        <v>혜주</v>
      </c>
      <c r="M222" s="2" t="str">
        <f t="shared" si="15"/>
        <v/>
      </c>
      <c r="N222" s="5" t="s">
        <v>26</v>
      </c>
      <c r="P222" t="s">
        <v>26</v>
      </c>
    </row>
    <row r="223" spans="2:16" x14ac:dyDescent="0.3">
      <c r="B223" s="16">
        <v>10816</v>
      </c>
      <c r="C223" s="18">
        <v>1</v>
      </c>
      <c r="D223" s="104" t="s">
        <v>420</v>
      </c>
      <c r="E223" s="101"/>
      <c r="F223" s="101"/>
      <c r="G223" s="17" t="str">
        <f t="shared" si="13"/>
        <v/>
      </c>
      <c r="K223" s="2" t="str">
        <f t="shared" si="14"/>
        <v>김정원</v>
      </c>
      <c r="L223" s="2" t="str">
        <f t="shared" si="12"/>
        <v>정원</v>
      </c>
      <c r="M223" s="2" t="str">
        <f t="shared" si="15"/>
        <v/>
      </c>
      <c r="N223" s="5" t="s">
        <v>26</v>
      </c>
      <c r="P223" t="s">
        <v>26</v>
      </c>
    </row>
    <row r="224" spans="2:16" x14ac:dyDescent="0.3">
      <c r="B224" s="16">
        <v>10817</v>
      </c>
      <c r="C224" s="18">
        <v>1</v>
      </c>
      <c r="D224" s="104" t="s">
        <v>421</v>
      </c>
      <c r="E224" s="101"/>
      <c r="F224" s="101"/>
      <c r="G224" s="17" t="str">
        <f t="shared" si="13"/>
        <v/>
      </c>
      <c r="K224" s="2" t="str">
        <f t="shared" si="14"/>
        <v>김태연</v>
      </c>
      <c r="L224" s="2" t="str">
        <f t="shared" si="12"/>
        <v>태연</v>
      </c>
      <c r="M224" s="2" t="str">
        <f t="shared" si="15"/>
        <v/>
      </c>
      <c r="N224" s="5" t="s">
        <v>26</v>
      </c>
      <c r="P224" t="s">
        <v>26</v>
      </c>
    </row>
    <row r="225" spans="2:16" x14ac:dyDescent="0.3">
      <c r="B225" s="16">
        <v>10818</v>
      </c>
      <c r="C225" s="18">
        <v>1</v>
      </c>
      <c r="D225" s="104" t="s">
        <v>422</v>
      </c>
      <c r="E225" s="101"/>
      <c r="F225" s="101"/>
      <c r="G225" s="17" t="str">
        <f t="shared" si="13"/>
        <v/>
      </c>
      <c r="K225" s="2" t="str">
        <f t="shared" si="14"/>
        <v>두서율</v>
      </c>
      <c r="L225" s="2" t="str">
        <f t="shared" si="12"/>
        <v>서율</v>
      </c>
      <c r="M225" s="2" t="str">
        <f t="shared" si="15"/>
        <v/>
      </c>
      <c r="N225" s="5" t="s">
        <v>26</v>
      </c>
      <c r="P225" t="s">
        <v>26</v>
      </c>
    </row>
    <row r="226" spans="2:16" x14ac:dyDescent="0.3">
      <c r="B226" s="16">
        <v>10819</v>
      </c>
      <c r="C226" s="18">
        <v>1</v>
      </c>
      <c r="D226" s="104" t="s">
        <v>423</v>
      </c>
      <c r="E226" s="101"/>
      <c r="F226" s="101"/>
      <c r="G226" s="17" t="str">
        <f t="shared" si="13"/>
        <v/>
      </c>
      <c r="K226" s="2" t="str">
        <f t="shared" si="14"/>
        <v>류재환</v>
      </c>
      <c r="L226" s="2" t="str">
        <f t="shared" ref="L226:L261" si="16">RIGHT(K226,2)</f>
        <v>재환</v>
      </c>
      <c r="M226" s="2" t="str">
        <f t="shared" si="15"/>
        <v/>
      </c>
      <c r="N226" s="5" t="s">
        <v>26</v>
      </c>
      <c r="P226" t="s">
        <v>26</v>
      </c>
    </row>
    <row r="227" spans="2:16" x14ac:dyDescent="0.3">
      <c r="B227" s="16">
        <v>10820</v>
      </c>
      <c r="C227" s="18">
        <v>1</v>
      </c>
      <c r="D227" s="104" t="s">
        <v>424</v>
      </c>
      <c r="E227" s="101"/>
      <c r="F227" s="101"/>
      <c r="G227" s="17" t="str">
        <f t="shared" si="13"/>
        <v/>
      </c>
      <c r="K227" s="2" t="str">
        <f t="shared" si="14"/>
        <v>설예환</v>
      </c>
      <c r="L227" s="2" t="str">
        <f t="shared" si="16"/>
        <v>예환</v>
      </c>
      <c r="M227" s="2" t="str">
        <f t="shared" si="15"/>
        <v/>
      </c>
      <c r="N227" s="5" t="s">
        <v>26</v>
      </c>
      <c r="P227" t="s">
        <v>26</v>
      </c>
    </row>
    <row r="228" spans="2:16" x14ac:dyDescent="0.3">
      <c r="B228" s="16">
        <v>10821</v>
      </c>
      <c r="C228" s="18">
        <v>1</v>
      </c>
      <c r="D228" s="104" t="s">
        <v>425</v>
      </c>
      <c r="E228" s="101"/>
      <c r="F228" s="101"/>
      <c r="G228" s="17" t="str">
        <f t="shared" si="13"/>
        <v/>
      </c>
      <c r="K228" s="2" t="str">
        <f t="shared" si="14"/>
        <v>신인철</v>
      </c>
      <c r="L228" s="2" t="str">
        <f t="shared" si="16"/>
        <v>인철</v>
      </c>
      <c r="M228" s="2" t="str">
        <f t="shared" si="15"/>
        <v/>
      </c>
      <c r="N228" s="5" t="s">
        <v>26</v>
      </c>
      <c r="P228" t="s">
        <v>26</v>
      </c>
    </row>
    <row r="229" spans="2:16" x14ac:dyDescent="0.3">
      <c r="B229" s="16">
        <v>10822</v>
      </c>
      <c r="C229" s="18">
        <v>1</v>
      </c>
      <c r="D229" s="104" t="s">
        <v>426</v>
      </c>
      <c r="E229" s="101"/>
      <c r="F229" s="101"/>
      <c r="G229" s="17" t="str">
        <f t="shared" si="13"/>
        <v/>
      </c>
      <c r="K229" s="2" t="str">
        <f t="shared" si="14"/>
        <v>오현빈</v>
      </c>
      <c r="L229" s="2" t="str">
        <f t="shared" si="16"/>
        <v>현빈</v>
      </c>
      <c r="M229" s="2" t="str">
        <f t="shared" si="15"/>
        <v/>
      </c>
      <c r="N229" s="5" t="s">
        <v>26</v>
      </c>
      <c r="P229" t="s">
        <v>26</v>
      </c>
    </row>
    <row r="230" spans="2:16" x14ac:dyDescent="0.3">
      <c r="B230" s="16">
        <v>10823</v>
      </c>
      <c r="C230" s="18">
        <v>1</v>
      </c>
      <c r="D230" s="104" t="s">
        <v>427</v>
      </c>
      <c r="E230" s="101"/>
      <c r="F230" s="101"/>
      <c r="G230" s="17" t="str">
        <f t="shared" si="13"/>
        <v/>
      </c>
      <c r="K230" s="2" t="str">
        <f t="shared" si="14"/>
        <v>이동건</v>
      </c>
      <c r="L230" s="2" t="str">
        <f t="shared" si="16"/>
        <v>동건</v>
      </c>
      <c r="M230" s="2" t="str">
        <f t="shared" si="15"/>
        <v/>
      </c>
      <c r="N230" s="5" t="s">
        <v>26</v>
      </c>
      <c r="P230" t="s">
        <v>26</v>
      </c>
    </row>
    <row r="231" spans="2:16" x14ac:dyDescent="0.3">
      <c r="B231" s="16">
        <v>10824</v>
      </c>
      <c r="C231" s="18">
        <v>1</v>
      </c>
      <c r="D231" s="104" t="s">
        <v>428</v>
      </c>
      <c r="E231" s="101"/>
      <c r="F231" s="101"/>
      <c r="G231" s="17" t="str">
        <f t="shared" si="13"/>
        <v/>
      </c>
      <c r="K231" s="2" t="str">
        <f t="shared" si="14"/>
        <v>이연빈</v>
      </c>
      <c r="L231" s="2" t="str">
        <f t="shared" si="16"/>
        <v>연빈</v>
      </c>
      <c r="M231" s="2" t="str">
        <f t="shared" si="15"/>
        <v/>
      </c>
      <c r="N231" s="5" t="s">
        <v>26</v>
      </c>
      <c r="P231" t="s">
        <v>26</v>
      </c>
    </row>
    <row r="232" spans="2:16" x14ac:dyDescent="0.3">
      <c r="B232" s="16">
        <v>10825</v>
      </c>
      <c r="C232" s="18">
        <v>1</v>
      </c>
      <c r="D232" s="104" t="s">
        <v>429</v>
      </c>
      <c r="E232" s="101"/>
      <c r="F232" s="101"/>
      <c r="G232" s="17" t="str">
        <f t="shared" si="13"/>
        <v/>
      </c>
      <c r="K232" s="2" t="str">
        <f t="shared" si="14"/>
        <v>이현빈</v>
      </c>
      <c r="L232" s="2" t="str">
        <f t="shared" si="16"/>
        <v>현빈</v>
      </c>
      <c r="M232" s="2" t="str">
        <f t="shared" si="15"/>
        <v/>
      </c>
      <c r="N232" s="5" t="s">
        <v>26</v>
      </c>
      <c r="P232" t="s">
        <v>26</v>
      </c>
    </row>
    <row r="233" spans="2:16" x14ac:dyDescent="0.3">
      <c r="B233" s="16">
        <v>10826</v>
      </c>
      <c r="C233" s="18">
        <v>1</v>
      </c>
      <c r="D233" s="104" t="s">
        <v>430</v>
      </c>
      <c r="E233" s="101"/>
      <c r="F233" s="101"/>
      <c r="G233" s="17" t="str">
        <f t="shared" si="13"/>
        <v/>
      </c>
      <c r="K233" s="2" t="str">
        <f t="shared" si="14"/>
        <v>이현준</v>
      </c>
      <c r="L233" s="2" t="str">
        <f t="shared" si="16"/>
        <v>현준</v>
      </c>
      <c r="M233" s="2" t="str">
        <f t="shared" si="15"/>
        <v/>
      </c>
      <c r="N233" s="5" t="s">
        <v>26</v>
      </c>
      <c r="P233" t="s">
        <v>26</v>
      </c>
    </row>
    <row r="234" spans="2:16" x14ac:dyDescent="0.3">
      <c r="B234" s="16">
        <v>10827</v>
      </c>
      <c r="C234" s="18">
        <v>1</v>
      </c>
      <c r="D234" s="104" t="s">
        <v>431</v>
      </c>
      <c r="E234" s="101"/>
      <c r="F234" s="101"/>
      <c r="G234" s="17" t="str">
        <f t="shared" si="13"/>
        <v/>
      </c>
      <c r="K234" s="2" t="str">
        <f t="shared" si="14"/>
        <v>전우현</v>
      </c>
      <c r="L234" s="2" t="str">
        <f t="shared" si="16"/>
        <v>우현</v>
      </c>
      <c r="M234" s="2" t="str">
        <f t="shared" si="15"/>
        <v/>
      </c>
      <c r="N234" s="5" t="s">
        <v>26</v>
      </c>
      <c r="P234" t="s">
        <v>26</v>
      </c>
    </row>
    <row r="235" spans="2:16" x14ac:dyDescent="0.3">
      <c r="B235" s="16">
        <v>10828</v>
      </c>
      <c r="C235" s="18">
        <v>1</v>
      </c>
      <c r="D235" s="104" t="s">
        <v>432</v>
      </c>
      <c r="E235" s="101"/>
      <c r="F235" s="101"/>
      <c r="G235" s="17" t="str">
        <f t="shared" si="13"/>
        <v/>
      </c>
      <c r="K235" s="2" t="str">
        <f t="shared" si="14"/>
        <v>정문경</v>
      </c>
      <c r="L235" s="2" t="str">
        <f t="shared" si="16"/>
        <v>문경</v>
      </c>
      <c r="M235" s="2" t="str">
        <f t="shared" si="15"/>
        <v/>
      </c>
      <c r="N235" s="5" t="s">
        <v>26</v>
      </c>
      <c r="P235" t="s">
        <v>26</v>
      </c>
    </row>
    <row r="236" spans="2:16" x14ac:dyDescent="0.3">
      <c r="B236" s="16">
        <v>10829</v>
      </c>
      <c r="C236" s="18">
        <v>1</v>
      </c>
      <c r="D236" s="104" t="s">
        <v>375</v>
      </c>
      <c r="E236" s="101"/>
      <c r="F236" s="101"/>
      <c r="G236" s="17" t="str">
        <f t="shared" si="13"/>
        <v/>
      </c>
      <c r="K236" s="2" t="str">
        <f t="shared" si="14"/>
        <v>최서현</v>
      </c>
      <c r="L236" s="2" t="str">
        <f t="shared" si="16"/>
        <v>서현</v>
      </c>
      <c r="M236" s="2" t="str">
        <f t="shared" si="15"/>
        <v>동명</v>
      </c>
      <c r="N236" s="5" t="s">
        <v>530</v>
      </c>
      <c r="P236" t="s">
        <v>26</v>
      </c>
    </row>
    <row r="237" spans="2:16" x14ac:dyDescent="0.3">
      <c r="B237" s="16">
        <v>10830</v>
      </c>
      <c r="C237" s="18">
        <v>2</v>
      </c>
      <c r="D237" s="104" t="s">
        <v>198</v>
      </c>
      <c r="E237" s="101"/>
      <c r="F237" s="101"/>
      <c r="G237" s="17" t="str">
        <f t="shared" si="13"/>
        <v/>
      </c>
      <c r="K237" s="2" t="str">
        <f t="shared" si="14"/>
        <v>김민지</v>
      </c>
      <c r="L237" s="2" t="str">
        <f t="shared" si="16"/>
        <v>민지</v>
      </c>
      <c r="M237" s="2" t="str">
        <f t="shared" si="15"/>
        <v>동명</v>
      </c>
      <c r="N237" s="5" t="s">
        <v>530</v>
      </c>
      <c r="P237" t="s">
        <v>26</v>
      </c>
    </row>
    <row r="238" spans="2:16" x14ac:dyDescent="0.3">
      <c r="B238" s="16">
        <v>10901</v>
      </c>
      <c r="C238" s="18">
        <v>2</v>
      </c>
      <c r="D238" s="104" t="s">
        <v>433</v>
      </c>
      <c r="E238" s="101"/>
      <c r="F238" s="101"/>
      <c r="G238" s="17" t="str">
        <f t="shared" si="13"/>
        <v/>
      </c>
      <c r="K238" s="2" t="str">
        <f t="shared" si="14"/>
        <v>구나경</v>
      </c>
      <c r="L238" s="2" t="str">
        <f t="shared" si="16"/>
        <v>나경</v>
      </c>
      <c r="M238" s="2" t="str">
        <f t="shared" si="15"/>
        <v/>
      </c>
      <c r="N238" s="5" t="s">
        <v>26</v>
      </c>
      <c r="P238" t="s">
        <v>26</v>
      </c>
    </row>
    <row r="239" spans="2:16" x14ac:dyDescent="0.3">
      <c r="B239" s="16">
        <v>10902</v>
      </c>
      <c r="C239" s="18">
        <v>2</v>
      </c>
      <c r="D239" s="104" t="s">
        <v>434</v>
      </c>
      <c r="E239" s="101"/>
      <c r="F239" s="101"/>
      <c r="G239" s="17" t="str">
        <f t="shared" si="13"/>
        <v/>
      </c>
      <c r="K239" s="2" t="str">
        <f t="shared" si="14"/>
        <v>기현희</v>
      </c>
      <c r="L239" s="2" t="str">
        <f t="shared" si="16"/>
        <v>현희</v>
      </c>
      <c r="M239" s="2" t="str">
        <f t="shared" si="15"/>
        <v/>
      </c>
      <c r="N239" s="5" t="s">
        <v>26</v>
      </c>
      <c r="P239" t="s">
        <v>26</v>
      </c>
    </row>
    <row r="240" spans="2:16" x14ac:dyDescent="0.3">
      <c r="B240" s="16">
        <v>10903</v>
      </c>
      <c r="C240" s="18">
        <v>2</v>
      </c>
      <c r="D240" s="104" t="s">
        <v>435</v>
      </c>
      <c r="E240" s="101"/>
      <c r="F240" s="101"/>
      <c r="G240" s="17" t="str">
        <f t="shared" si="13"/>
        <v/>
      </c>
      <c r="K240" s="2" t="str">
        <f t="shared" si="14"/>
        <v>김정서</v>
      </c>
      <c r="L240" s="2" t="str">
        <f t="shared" si="16"/>
        <v>정서</v>
      </c>
      <c r="M240" s="2" t="str">
        <f t="shared" si="15"/>
        <v/>
      </c>
      <c r="N240" s="5" t="s">
        <v>26</v>
      </c>
      <c r="P240" t="s">
        <v>26</v>
      </c>
    </row>
    <row r="241" spans="2:16" x14ac:dyDescent="0.3">
      <c r="B241" s="16">
        <v>10904</v>
      </c>
      <c r="C241" s="18">
        <v>2</v>
      </c>
      <c r="D241" s="104" t="s">
        <v>436</v>
      </c>
      <c r="E241" s="101"/>
      <c r="F241" s="101"/>
      <c r="G241" s="17" t="str">
        <f t="shared" si="13"/>
        <v/>
      </c>
      <c r="K241" s="2" t="str">
        <f t="shared" si="14"/>
        <v>김해원</v>
      </c>
      <c r="L241" s="2" t="str">
        <f t="shared" si="16"/>
        <v>해원</v>
      </c>
      <c r="M241" s="2" t="str">
        <f t="shared" si="15"/>
        <v/>
      </c>
      <c r="N241" s="5" t="s">
        <v>26</v>
      </c>
      <c r="P241" t="s">
        <v>26</v>
      </c>
    </row>
    <row r="242" spans="2:16" x14ac:dyDescent="0.3">
      <c r="B242" s="16">
        <v>10905</v>
      </c>
      <c r="C242" s="18">
        <v>2</v>
      </c>
      <c r="D242" s="104" t="s">
        <v>437</v>
      </c>
      <c r="E242" s="101"/>
      <c r="F242" s="101"/>
      <c r="G242" s="17" t="str">
        <f t="shared" si="13"/>
        <v/>
      </c>
      <c r="K242" s="2" t="str">
        <f t="shared" si="14"/>
        <v>김현수</v>
      </c>
      <c r="L242" s="2" t="str">
        <f t="shared" si="16"/>
        <v>현수</v>
      </c>
      <c r="M242" s="2" t="str">
        <f t="shared" si="15"/>
        <v/>
      </c>
      <c r="N242" s="5" t="s">
        <v>26</v>
      </c>
      <c r="P242" t="s">
        <v>26</v>
      </c>
    </row>
    <row r="243" spans="2:16" x14ac:dyDescent="0.3">
      <c r="B243" s="16">
        <v>10906</v>
      </c>
      <c r="C243" s="18">
        <v>2</v>
      </c>
      <c r="D243" s="104" t="s">
        <v>438</v>
      </c>
      <c r="E243" s="101"/>
      <c r="F243" s="101"/>
      <c r="G243" s="17" t="str">
        <f t="shared" si="13"/>
        <v/>
      </c>
      <c r="K243" s="2" t="str">
        <f t="shared" si="14"/>
        <v>우지수</v>
      </c>
      <c r="L243" s="2" t="str">
        <f t="shared" si="16"/>
        <v>지수</v>
      </c>
      <c r="M243" s="2" t="str">
        <f t="shared" si="15"/>
        <v/>
      </c>
      <c r="N243" s="5" t="s">
        <v>26</v>
      </c>
      <c r="P243" t="s">
        <v>26</v>
      </c>
    </row>
    <row r="244" spans="2:16" x14ac:dyDescent="0.3">
      <c r="B244" s="16">
        <v>10907</v>
      </c>
      <c r="C244" s="18">
        <v>2</v>
      </c>
      <c r="D244" s="104" t="s">
        <v>439</v>
      </c>
      <c r="E244" s="101"/>
      <c r="F244" s="101"/>
      <c r="G244" s="17" t="str">
        <f t="shared" si="13"/>
        <v/>
      </c>
      <c r="K244" s="2" t="str">
        <f t="shared" si="14"/>
        <v>이아현</v>
      </c>
      <c r="L244" s="2" t="str">
        <f t="shared" si="16"/>
        <v>아현</v>
      </c>
      <c r="M244" s="2" t="str">
        <f t="shared" si="15"/>
        <v/>
      </c>
      <c r="N244" s="5" t="s">
        <v>26</v>
      </c>
      <c r="P244" t="s">
        <v>26</v>
      </c>
    </row>
    <row r="245" spans="2:16" x14ac:dyDescent="0.3">
      <c r="B245" s="16">
        <v>10908</v>
      </c>
      <c r="C245" s="18">
        <v>2</v>
      </c>
      <c r="D245" s="104" t="s">
        <v>440</v>
      </c>
      <c r="E245" s="101"/>
      <c r="F245" s="101"/>
      <c r="G245" s="17" t="str">
        <f t="shared" si="13"/>
        <v/>
      </c>
      <c r="K245" s="2" t="str">
        <f t="shared" si="14"/>
        <v>이윤희</v>
      </c>
      <c r="L245" s="2" t="str">
        <f t="shared" si="16"/>
        <v>윤희</v>
      </c>
      <c r="M245" s="2" t="str">
        <f t="shared" si="15"/>
        <v/>
      </c>
      <c r="N245" s="5" t="s">
        <v>26</v>
      </c>
      <c r="P245" t="s">
        <v>26</v>
      </c>
    </row>
    <row r="246" spans="2:16" x14ac:dyDescent="0.3">
      <c r="B246" s="16">
        <v>10909</v>
      </c>
      <c r="C246" s="18">
        <v>2</v>
      </c>
      <c r="D246" s="104" t="s">
        <v>441</v>
      </c>
      <c r="E246" s="101"/>
      <c r="F246" s="101"/>
      <c r="G246" s="17" t="str">
        <f t="shared" si="13"/>
        <v/>
      </c>
      <c r="K246" s="2" t="str">
        <f t="shared" si="14"/>
        <v>장혜리</v>
      </c>
      <c r="L246" s="2" t="str">
        <f t="shared" si="16"/>
        <v>혜리</v>
      </c>
      <c r="M246" s="2" t="str">
        <f t="shared" si="15"/>
        <v/>
      </c>
      <c r="N246" s="5" t="s">
        <v>26</v>
      </c>
      <c r="P246" t="s">
        <v>26</v>
      </c>
    </row>
    <row r="247" spans="2:16" x14ac:dyDescent="0.3">
      <c r="B247" s="16">
        <v>10910</v>
      </c>
      <c r="C247" s="18">
        <v>2</v>
      </c>
      <c r="D247" s="104" t="s">
        <v>442</v>
      </c>
      <c r="E247" s="101"/>
      <c r="F247" s="101"/>
      <c r="G247" s="17" t="str">
        <f t="shared" si="13"/>
        <v/>
      </c>
      <c r="K247" s="2" t="str">
        <f t="shared" si="14"/>
        <v>정선영</v>
      </c>
      <c r="L247" s="2" t="str">
        <f t="shared" si="16"/>
        <v>선영</v>
      </c>
      <c r="M247" s="2" t="str">
        <f t="shared" si="15"/>
        <v/>
      </c>
      <c r="N247" s="5" t="s">
        <v>26</v>
      </c>
      <c r="P247" t="s">
        <v>26</v>
      </c>
    </row>
    <row r="248" spans="2:16" x14ac:dyDescent="0.3">
      <c r="B248" s="16">
        <v>10911</v>
      </c>
      <c r="C248" s="18">
        <v>2</v>
      </c>
      <c r="D248" s="104" t="s">
        <v>443</v>
      </c>
      <c r="E248" s="101"/>
      <c r="F248" s="101"/>
      <c r="G248" s="17" t="str">
        <f t="shared" si="13"/>
        <v/>
      </c>
      <c r="K248" s="2" t="str">
        <f t="shared" si="14"/>
        <v>정재희</v>
      </c>
      <c r="L248" s="2" t="str">
        <f t="shared" si="16"/>
        <v>재희</v>
      </c>
      <c r="M248" s="2" t="str">
        <f t="shared" si="15"/>
        <v/>
      </c>
      <c r="N248" s="5" t="s">
        <v>26</v>
      </c>
      <c r="P248" t="s">
        <v>26</v>
      </c>
    </row>
    <row r="249" spans="2:16" x14ac:dyDescent="0.3">
      <c r="B249" s="16">
        <v>10912</v>
      </c>
      <c r="C249" s="18">
        <v>2</v>
      </c>
      <c r="D249" s="104" t="s">
        <v>444</v>
      </c>
      <c r="E249" s="101"/>
      <c r="F249" s="101"/>
      <c r="G249" s="17" t="str">
        <f t="shared" si="13"/>
        <v/>
      </c>
      <c r="K249" s="2" t="str">
        <f t="shared" si="14"/>
        <v>최고은</v>
      </c>
      <c r="L249" s="2" t="str">
        <f t="shared" si="16"/>
        <v>고은</v>
      </c>
      <c r="M249" s="2" t="str">
        <f t="shared" si="15"/>
        <v/>
      </c>
      <c r="N249" s="5" t="s">
        <v>26</v>
      </c>
      <c r="P249" t="s">
        <v>26</v>
      </c>
    </row>
    <row r="250" spans="2:16" x14ac:dyDescent="0.3">
      <c r="B250" s="16">
        <v>10913</v>
      </c>
      <c r="C250" s="18">
        <v>2</v>
      </c>
      <c r="D250" s="104" t="s">
        <v>445</v>
      </c>
      <c r="E250" s="101"/>
      <c r="F250" s="101"/>
      <c r="G250" s="17" t="str">
        <f t="shared" si="13"/>
        <v/>
      </c>
      <c r="K250" s="2" t="str">
        <f t="shared" si="14"/>
        <v>최서영</v>
      </c>
      <c r="L250" s="2" t="str">
        <f t="shared" si="16"/>
        <v>서영</v>
      </c>
      <c r="M250" s="2" t="str">
        <f t="shared" si="15"/>
        <v/>
      </c>
      <c r="N250" s="5" t="s">
        <v>26</v>
      </c>
      <c r="P250" t="s">
        <v>26</v>
      </c>
    </row>
    <row r="251" spans="2:16" x14ac:dyDescent="0.3">
      <c r="B251" s="16">
        <v>10914</v>
      </c>
      <c r="C251" s="18">
        <v>2</v>
      </c>
      <c r="D251" s="104" t="s">
        <v>446</v>
      </c>
      <c r="E251" s="101"/>
      <c r="F251" s="101"/>
      <c r="G251" s="17" t="str">
        <f t="shared" si="13"/>
        <v/>
      </c>
      <c r="K251" s="2" t="str">
        <f t="shared" si="14"/>
        <v>하수빈</v>
      </c>
      <c r="L251" s="2" t="str">
        <f t="shared" si="16"/>
        <v>수빈</v>
      </c>
      <c r="M251" s="2" t="str">
        <f t="shared" si="15"/>
        <v/>
      </c>
      <c r="N251" s="5" t="s">
        <v>26</v>
      </c>
      <c r="P251" t="s">
        <v>26</v>
      </c>
    </row>
    <row r="252" spans="2:16" x14ac:dyDescent="0.3">
      <c r="B252" s="16">
        <v>10915</v>
      </c>
      <c r="C252" s="18">
        <v>2</v>
      </c>
      <c r="D252" s="104" t="s">
        <v>447</v>
      </c>
      <c r="E252" s="101"/>
      <c r="F252" s="101"/>
      <c r="G252" s="17" t="str">
        <f t="shared" si="13"/>
        <v/>
      </c>
      <c r="K252" s="2" t="str">
        <f t="shared" si="14"/>
        <v>황보</v>
      </c>
      <c r="L252" s="2" t="str">
        <f t="shared" si="16"/>
        <v>황보</v>
      </c>
      <c r="M252" s="2" t="str">
        <f t="shared" si="15"/>
        <v/>
      </c>
      <c r="N252" s="5" t="s">
        <v>26</v>
      </c>
      <c r="P252" t="s">
        <v>26</v>
      </c>
    </row>
    <row r="253" spans="2:16" x14ac:dyDescent="0.3">
      <c r="B253" s="16">
        <v>10917</v>
      </c>
      <c r="C253" s="18">
        <v>1</v>
      </c>
      <c r="D253" s="104" t="s">
        <v>448</v>
      </c>
      <c r="E253" s="101"/>
      <c r="F253" s="101"/>
      <c r="G253" s="17" t="str">
        <f t="shared" si="13"/>
        <v/>
      </c>
      <c r="K253" s="2" t="str">
        <f t="shared" si="14"/>
        <v>고건중</v>
      </c>
      <c r="L253" s="2" t="str">
        <f t="shared" si="16"/>
        <v>건중</v>
      </c>
      <c r="M253" s="2" t="str">
        <f t="shared" si="15"/>
        <v/>
      </c>
      <c r="N253" s="5" t="s">
        <v>26</v>
      </c>
      <c r="P253" t="s">
        <v>26</v>
      </c>
    </row>
    <row r="254" spans="2:16" x14ac:dyDescent="0.3">
      <c r="B254" s="16">
        <v>10918</v>
      </c>
      <c r="C254" s="18">
        <v>1</v>
      </c>
      <c r="D254" s="104" t="s">
        <v>449</v>
      </c>
      <c r="E254" s="101"/>
      <c r="F254" s="101"/>
      <c r="G254" s="17" t="str">
        <f t="shared" si="13"/>
        <v/>
      </c>
      <c r="K254" s="2" t="str">
        <f t="shared" si="14"/>
        <v>김시혁</v>
      </c>
      <c r="L254" s="2" t="str">
        <f t="shared" si="16"/>
        <v>시혁</v>
      </c>
      <c r="M254" s="2" t="str">
        <f t="shared" si="15"/>
        <v/>
      </c>
      <c r="N254" s="5" t="s">
        <v>26</v>
      </c>
      <c r="P254" t="s">
        <v>26</v>
      </c>
    </row>
    <row r="255" spans="2:16" x14ac:dyDescent="0.3">
      <c r="B255" s="16">
        <v>10919</v>
      </c>
      <c r="C255" s="18">
        <v>1</v>
      </c>
      <c r="D255" s="104" t="s">
        <v>450</v>
      </c>
      <c r="E255" s="101"/>
      <c r="F255" s="101"/>
      <c r="G255" s="17" t="str">
        <f t="shared" si="13"/>
        <v/>
      </c>
      <c r="K255" s="2" t="str">
        <f t="shared" si="14"/>
        <v>박건</v>
      </c>
      <c r="L255" s="2" t="str">
        <f t="shared" si="16"/>
        <v>박건</v>
      </c>
      <c r="M255" s="2" t="str">
        <f t="shared" si="15"/>
        <v/>
      </c>
      <c r="N255" s="5" t="s">
        <v>26</v>
      </c>
      <c r="P255" t="s">
        <v>26</v>
      </c>
    </row>
    <row r="256" spans="2:16" x14ac:dyDescent="0.3">
      <c r="B256" s="16">
        <v>10920</v>
      </c>
      <c r="C256" s="18">
        <v>1</v>
      </c>
      <c r="D256" s="104" t="s">
        <v>451</v>
      </c>
      <c r="E256" s="101"/>
      <c r="F256" s="101"/>
      <c r="G256" s="17" t="str">
        <f t="shared" si="13"/>
        <v/>
      </c>
      <c r="K256" s="2" t="str">
        <f t="shared" si="14"/>
        <v>박민규</v>
      </c>
      <c r="L256" s="2" t="str">
        <f t="shared" si="16"/>
        <v>민규</v>
      </c>
      <c r="M256" s="2" t="str">
        <f t="shared" si="15"/>
        <v/>
      </c>
      <c r="N256" s="5" t="s">
        <v>26</v>
      </c>
      <c r="P256" t="s">
        <v>26</v>
      </c>
    </row>
    <row r="257" spans="2:16" x14ac:dyDescent="0.3">
      <c r="B257" s="16">
        <v>10921</v>
      </c>
      <c r="C257" s="18">
        <v>1</v>
      </c>
      <c r="D257" s="104" t="s">
        <v>452</v>
      </c>
      <c r="E257" s="101"/>
      <c r="F257" s="101"/>
      <c r="G257" s="17" t="str">
        <f t="shared" si="13"/>
        <v/>
      </c>
      <c r="K257" s="2" t="str">
        <f t="shared" si="14"/>
        <v>박정서</v>
      </c>
      <c r="L257" s="2" t="str">
        <f t="shared" si="16"/>
        <v>정서</v>
      </c>
      <c r="M257" s="2" t="str">
        <f t="shared" si="15"/>
        <v/>
      </c>
      <c r="N257" s="5" t="s">
        <v>26</v>
      </c>
      <c r="P257" t="s">
        <v>26</v>
      </c>
    </row>
    <row r="258" spans="2:16" x14ac:dyDescent="0.3">
      <c r="B258" s="16">
        <v>10922</v>
      </c>
      <c r="C258" s="18">
        <v>1</v>
      </c>
      <c r="D258" s="104" t="s">
        <v>453</v>
      </c>
      <c r="E258" s="101"/>
      <c r="F258" s="101"/>
      <c r="G258" s="17" t="str">
        <f t="shared" si="13"/>
        <v/>
      </c>
      <c r="K258" s="2" t="str">
        <f t="shared" si="14"/>
        <v>변아성</v>
      </c>
      <c r="L258" s="2" t="str">
        <f t="shared" si="16"/>
        <v>아성</v>
      </c>
      <c r="M258" s="2" t="str">
        <f t="shared" si="15"/>
        <v/>
      </c>
      <c r="N258" s="5" t="s">
        <v>26</v>
      </c>
      <c r="P258" t="s">
        <v>26</v>
      </c>
    </row>
    <row r="259" spans="2:16" x14ac:dyDescent="0.3">
      <c r="B259" s="16">
        <v>10923</v>
      </c>
      <c r="C259" s="18">
        <v>1</v>
      </c>
      <c r="D259" s="104" t="s">
        <v>454</v>
      </c>
      <c r="E259" s="101"/>
      <c r="F259" s="101"/>
      <c r="G259" s="17" t="str">
        <f t="shared" si="13"/>
        <v/>
      </c>
      <c r="K259" s="2" t="str">
        <f t="shared" si="14"/>
        <v>변영준</v>
      </c>
      <c r="L259" s="2" t="str">
        <f t="shared" si="16"/>
        <v>영준</v>
      </c>
      <c r="M259" s="2" t="str">
        <f t="shared" si="15"/>
        <v/>
      </c>
      <c r="N259" s="5" t="s">
        <v>26</v>
      </c>
      <c r="P259" t="s">
        <v>26</v>
      </c>
    </row>
    <row r="260" spans="2:16" x14ac:dyDescent="0.3">
      <c r="B260" s="16">
        <v>10924</v>
      </c>
      <c r="C260" s="18">
        <v>1</v>
      </c>
      <c r="D260" s="104" t="s">
        <v>455</v>
      </c>
      <c r="E260" s="101"/>
      <c r="F260" s="101"/>
      <c r="G260" s="17" t="str">
        <f t="shared" ref="G260:G323" si="17">IF(AND(D260=E260,E260=F260),"",IF(AND(F260="",D260=E260),"",IF(AND(D260="",E260=F260),"",IF(AND(E260="",D260=F260),"",""))))</f>
        <v/>
      </c>
      <c r="K260" s="2" t="str">
        <f t="shared" ref="K260:K323" si="18">IF(D260="","",+D260)</f>
        <v>봉승준</v>
      </c>
      <c r="L260" s="2" t="str">
        <f t="shared" si="16"/>
        <v>승준</v>
      </c>
      <c r="M260" s="2" t="str">
        <f t="shared" ref="M260:M323" si="19">IF(B260="","",IF(COUNTIF($K$3:$K$295,K260)&gt;1,"동명",""))</f>
        <v/>
      </c>
      <c r="N260" s="5" t="s">
        <v>26</v>
      </c>
      <c r="P260" t="s">
        <v>26</v>
      </c>
    </row>
    <row r="261" spans="2:16" x14ac:dyDescent="0.3">
      <c r="B261" s="16">
        <v>10925</v>
      </c>
      <c r="C261" s="18">
        <v>1</v>
      </c>
      <c r="D261" s="104" t="s">
        <v>456</v>
      </c>
      <c r="E261" s="101"/>
      <c r="F261" s="101"/>
      <c r="G261" s="17" t="str">
        <f t="shared" si="17"/>
        <v/>
      </c>
      <c r="K261" s="2" t="str">
        <f t="shared" si="18"/>
        <v>유준수</v>
      </c>
      <c r="L261" s="2" t="str">
        <f t="shared" si="16"/>
        <v>준수</v>
      </c>
      <c r="M261" s="2" t="str">
        <f t="shared" si="19"/>
        <v/>
      </c>
      <c r="N261" s="5" t="s">
        <v>26</v>
      </c>
      <c r="P261" t="s">
        <v>26</v>
      </c>
    </row>
    <row r="262" spans="2:16" x14ac:dyDescent="0.3">
      <c r="B262" s="16">
        <v>10926</v>
      </c>
      <c r="C262" s="18">
        <v>1</v>
      </c>
      <c r="D262" s="104" t="s">
        <v>457</v>
      </c>
      <c r="E262" s="101"/>
      <c r="F262" s="101"/>
      <c r="G262" s="17" t="str">
        <f t="shared" si="17"/>
        <v/>
      </c>
      <c r="K262" s="2" t="str">
        <f t="shared" si="18"/>
        <v>유창현</v>
      </c>
      <c r="L262" s="2" t="str">
        <f t="shared" ref="L262:L325" si="20">RIGHT(K262,2)</f>
        <v>창현</v>
      </c>
      <c r="M262" s="2" t="str">
        <f t="shared" si="19"/>
        <v/>
      </c>
      <c r="N262" s="5" t="s">
        <v>26</v>
      </c>
      <c r="P262" t="s">
        <v>26</v>
      </c>
    </row>
    <row r="263" spans="2:16" x14ac:dyDescent="0.3">
      <c r="B263" s="16">
        <v>10927</v>
      </c>
      <c r="C263" s="18">
        <v>1</v>
      </c>
      <c r="D263" s="104" t="s">
        <v>458</v>
      </c>
      <c r="E263" s="101"/>
      <c r="F263" s="101"/>
      <c r="G263" s="17" t="str">
        <f t="shared" si="17"/>
        <v/>
      </c>
      <c r="K263" s="2" t="str">
        <f t="shared" si="18"/>
        <v>윤하셉</v>
      </c>
      <c r="L263" s="2" t="str">
        <f t="shared" si="20"/>
        <v>하셉</v>
      </c>
      <c r="M263" s="2" t="str">
        <f t="shared" si="19"/>
        <v/>
      </c>
      <c r="N263" s="5" t="s">
        <v>26</v>
      </c>
      <c r="P263" t="s">
        <v>26</v>
      </c>
    </row>
    <row r="264" spans="2:16" x14ac:dyDescent="0.3">
      <c r="B264" s="16">
        <v>10928</v>
      </c>
      <c r="C264" s="18">
        <v>1</v>
      </c>
      <c r="D264" s="104" t="s">
        <v>459</v>
      </c>
      <c r="E264" s="101"/>
      <c r="F264" s="101"/>
      <c r="G264" s="17" t="str">
        <f t="shared" si="17"/>
        <v/>
      </c>
      <c r="K264" s="2" t="str">
        <f t="shared" si="18"/>
        <v>이인용</v>
      </c>
      <c r="L264" s="2" t="str">
        <f t="shared" si="20"/>
        <v>인용</v>
      </c>
      <c r="M264" s="2" t="str">
        <f t="shared" si="19"/>
        <v/>
      </c>
      <c r="N264" s="5" t="s">
        <v>26</v>
      </c>
      <c r="P264" t="s">
        <v>26</v>
      </c>
    </row>
    <row r="265" spans="2:16" x14ac:dyDescent="0.3">
      <c r="B265" s="16">
        <v>10929</v>
      </c>
      <c r="C265" s="18">
        <v>1</v>
      </c>
      <c r="D265" s="104" t="s">
        <v>256</v>
      </c>
      <c r="E265" s="101"/>
      <c r="F265" s="101"/>
      <c r="G265" s="17" t="str">
        <f t="shared" si="17"/>
        <v/>
      </c>
      <c r="K265" s="2" t="str">
        <f t="shared" si="18"/>
        <v>임승민</v>
      </c>
      <c r="L265" s="2" t="str">
        <f t="shared" si="20"/>
        <v>승민</v>
      </c>
      <c r="M265" s="2" t="str">
        <f t="shared" si="19"/>
        <v>동명</v>
      </c>
      <c r="N265" s="5" t="s">
        <v>530</v>
      </c>
      <c r="P265" t="s">
        <v>26</v>
      </c>
    </row>
    <row r="266" spans="2:16" x14ac:dyDescent="0.3">
      <c r="B266" s="16">
        <v>10930</v>
      </c>
      <c r="C266" s="18">
        <v>1</v>
      </c>
      <c r="D266" s="104" t="s">
        <v>460</v>
      </c>
      <c r="E266" s="101"/>
      <c r="F266" s="101"/>
      <c r="G266" s="17" t="str">
        <f t="shared" si="17"/>
        <v/>
      </c>
      <c r="K266" s="2" t="str">
        <f t="shared" si="18"/>
        <v>정진욱</v>
      </c>
      <c r="L266" s="2" t="str">
        <f t="shared" si="20"/>
        <v>진욱</v>
      </c>
      <c r="M266" s="2" t="str">
        <f t="shared" si="19"/>
        <v/>
      </c>
      <c r="N266" s="5" t="s">
        <v>26</v>
      </c>
      <c r="P266" t="s">
        <v>26</v>
      </c>
    </row>
    <row r="267" spans="2:16" x14ac:dyDescent="0.3">
      <c r="B267" s="16">
        <v>10931</v>
      </c>
      <c r="C267" s="18">
        <v>2</v>
      </c>
      <c r="D267" s="104" t="s">
        <v>461</v>
      </c>
      <c r="E267" s="101"/>
      <c r="F267" s="101"/>
      <c r="G267" s="17" t="str">
        <f t="shared" si="17"/>
        <v/>
      </c>
      <c r="K267" s="2" t="str">
        <f t="shared" si="18"/>
        <v>서정민</v>
      </c>
      <c r="L267" s="2" t="str">
        <f t="shared" si="20"/>
        <v>정민</v>
      </c>
      <c r="M267" s="2" t="str">
        <f t="shared" si="19"/>
        <v/>
      </c>
      <c r="N267" s="5" t="s">
        <v>26</v>
      </c>
      <c r="P267" t="s">
        <v>26</v>
      </c>
    </row>
    <row r="268" spans="2:16" x14ac:dyDescent="0.3">
      <c r="B268" s="16">
        <v>11001</v>
      </c>
      <c r="C268" s="18">
        <v>2</v>
      </c>
      <c r="D268" s="104" t="s">
        <v>462</v>
      </c>
      <c r="E268" s="101"/>
      <c r="F268" s="101"/>
      <c r="G268" s="17" t="str">
        <f t="shared" si="17"/>
        <v/>
      </c>
      <c r="K268" s="2" t="str">
        <f t="shared" si="18"/>
        <v>권은선</v>
      </c>
      <c r="L268" s="2" t="str">
        <f t="shared" si="20"/>
        <v>은선</v>
      </c>
      <c r="M268" s="2" t="str">
        <f t="shared" si="19"/>
        <v/>
      </c>
      <c r="N268" s="5" t="s">
        <v>26</v>
      </c>
      <c r="P268" t="s">
        <v>26</v>
      </c>
    </row>
    <row r="269" spans="2:16" x14ac:dyDescent="0.3">
      <c r="B269" s="16">
        <v>11002</v>
      </c>
      <c r="C269" s="18">
        <v>2</v>
      </c>
      <c r="D269" s="104" t="s">
        <v>463</v>
      </c>
      <c r="E269" s="101"/>
      <c r="F269" s="101"/>
      <c r="G269" s="17" t="str">
        <f t="shared" si="17"/>
        <v/>
      </c>
      <c r="K269" s="2" t="str">
        <f t="shared" si="18"/>
        <v>김나현</v>
      </c>
      <c r="L269" s="2" t="str">
        <f t="shared" si="20"/>
        <v>나현</v>
      </c>
      <c r="M269" s="2" t="str">
        <f t="shared" si="19"/>
        <v/>
      </c>
      <c r="N269" s="5" t="s">
        <v>26</v>
      </c>
      <c r="P269" t="s">
        <v>26</v>
      </c>
    </row>
    <row r="270" spans="2:16" x14ac:dyDescent="0.3">
      <c r="B270" s="16">
        <v>11003</v>
      </c>
      <c r="C270" s="18">
        <v>2</v>
      </c>
      <c r="D270" s="104" t="s">
        <v>464</v>
      </c>
      <c r="E270" s="101"/>
      <c r="F270" s="101"/>
      <c r="G270" s="17" t="str">
        <f t="shared" si="17"/>
        <v/>
      </c>
      <c r="K270" s="2" t="str">
        <f t="shared" si="18"/>
        <v>김도경</v>
      </c>
      <c r="L270" s="2" t="str">
        <f t="shared" si="20"/>
        <v>도경</v>
      </c>
      <c r="M270" s="2" t="str">
        <f t="shared" si="19"/>
        <v/>
      </c>
      <c r="N270" s="5" t="s">
        <v>26</v>
      </c>
      <c r="P270" t="s">
        <v>26</v>
      </c>
    </row>
    <row r="271" spans="2:16" x14ac:dyDescent="0.3">
      <c r="B271" s="16">
        <v>11004</v>
      </c>
      <c r="C271" s="18">
        <v>2</v>
      </c>
      <c r="D271" s="104" t="s">
        <v>465</v>
      </c>
      <c r="E271" s="101"/>
      <c r="F271" s="101"/>
      <c r="G271" s="17" t="str">
        <f t="shared" si="17"/>
        <v/>
      </c>
      <c r="K271" s="2" t="str">
        <f t="shared" si="18"/>
        <v>김예나</v>
      </c>
      <c r="L271" s="2" t="str">
        <f t="shared" si="20"/>
        <v>예나</v>
      </c>
      <c r="M271" s="2" t="str">
        <f t="shared" si="19"/>
        <v/>
      </c>
      <c r="N271" s="5" t="s">
        <v>26</v>
      </c>
      <c r="P271" t="s">
        <v>26</v>
      </c>
    </row>
    <row r="272" spans="2:16" x14ac:dyDescent="0.3">
      <c r="B272" s="16">
        <v>11005</v>
      </c>
      <c r="C272" s="18">
        <v>2</v>
      </c>
      <c r="D272" s="104" t="s">
        <v>466</v>
      </c>
      <c r="E272" s="101"/>
      <c r="F272" s="101"/>
      <c r="G272" s="17" t="str">
        <f t="shared" si="17"/>
        <v/>
      </c>
      <c r="K272" s="2" t="str">
        <f t="shared" si="18"/>
        <v>김채령</v>
      </c>
      <c r="L272" s="2" t="str">
        <f t="shared" si="20"/>
        <v>채령</v>
      </c>
      <c r="M272" s="2" t="str">
        <f t="shared" si="19"/>
        <v/>
      </c>
      <c r="N272" s="5" t="s">
        <v>26</v>
      </c>
      <c r="P272" t="s">
        <v>26</v>
      </c>
    </row>
    <row r="273" spans="2:16" x14ac:dyDescent="0.3">
      <c r="B273" s="16">
        <v>11006</v>
      </c>
      <c r="C273" s="18">
        <v>2</v>
      </c>
      <c r="D273" s="104" t="s">
        <v>467</v>
      </c>
      <c r="E273" s="101"/>
      <c r="F273" s="101"/>
      <c r="G273" s="17" t="str">
        <f t="shared" si="17"/>
        <v/>
      </c>
      <c r="K273" s="2" t="str">
        <f t="shared" si="18"/>
        <v>문지유</v>
      </c>
      <c r="L273" s="2" t="str">
        <f t="shared" si="20"/>
        <v>지유</v>
      </c>
      <c r="M273" s="2" t="str">
        <f t="shared" si="19"/>
        <v/>
      </c>
      <c r="N273" s="5" t="s">
        <v>26</v>
      </c>
      <c r="P273" t="s">
        <v>26</v>
      </c>
    </row>
    <row r="274" spans="2:16" x14ac:dyDescent="0.3">
      <c r="B274" s="16">
        <v>11007</v>
      </c>
      <c r="C274" s="18">
        <v>2</v>
      </c>
      <c r="D274" s="104" t="s">
        <v>468</v>
      </c>
      <c r="E274" s="101"/>
      <c r="F274" s="101"/>
      <c r="G274" s="17" t="str">
        <f t="shared" si="17"/>
        <v/>
      </c>
      <c r="K274" s="2" t="str">
        <f t="shared" si="18"/>
        <v>박소윤</v>
      </c>
      <c r="L274" s="2" t="str">
        <f t="shared" si="20"/>
        <v>소윤</v>
      </c>
      <c r="M274" s="2" t="str">
        <f t="shared" si="19"/>
        <v/>
      </c>
      <c r="N274" s="5" t="s">
        <v>26</v>
      </c>
      <c r="P274" t="s">
        <v>26</v>
      </c>
    </row>
    <row r="275" spans="2:16" x14ac:dyDescent="0.3">
      <c r="B275" s="16">
        <v>11008</v>
      </c>
      <c r="C275" s="18">
        <v>2</v>
      </c>
      <c r="D275" s="104" t="s">
        <v>327</v>
      </c>
      <c r="E275" s="101"/>
      <c r="F275" s="101"/>
      <c r="G275" s="17" t="str">
        <f t="shared" si="17"/>
        <v/>
      </c>
      <c r="K275" s="2" t="str">
        <f t="shared" si="18"/>
        <v>박지인</v>
      </c>
      <c r="L275" s="2" t="str">
        <f t="shared" si="20"/>
        <v>지인</v>
      </c>
      <c r="M275" s="2" t="str">
        <f t="shared" si="19"/>
        <v>동명</v>
      </c>
      <c r="N275" s="5" t="s">
        <v>530</v>
      </c>
      <c r="P275" t="s">
        <v>26</v>
      </c>
    </row>
    <row r="276" spans="2:16" x14ac:dyDescent="0.3">
      <c r="B276" s="16">
        <v>11009</v>
      </c>
      <c r="C276" s="18">
        <v>2</v>
      </c>
      <c r="D276" s="104" t="s">
        <v>469</v>
      </c>
      <c r="E276" s="101"/>
      <c r="F276" s="101"/>
      <c r="G276" s="17" t="str">
        <f t="shared" si="17"/>
        <v/>
      </c>
      <c r="K276" s="2" t="str">
        <f t="shared" si="18"/>
        <v>이새안</v>
      </c>
      <c r="L276" s="2" t="str">
        <f t="shared" si="20"/>
        <v>새안</v>
      </c>
      <c r="M276" s="2" t="str">
        <f t="shared" si="19"/>
        <v/>
      </c>
      <c r="N276" s="5" t="s">
        <v>26</v>
      </c>
      <c r="P276" t="s">
        <v>26</v>
      </c>
    </row>
    <row r="277" spans="2:16" x14ac:dyDescent="0.3">
      <c r="B277" s="16">
        <v>11010</v>
      </c>
      <c r="C277" s="18">
        <v>2</v>
      </c>
      <c r="D277" s="104" t="s">
        <v>470</v>
      </c>
      <c r="E277" s="101"/>
      <c r="F277" s="101"/>
      <c r="G277" s="17" t="str">
        <f t="shared" si="17"/>
        <v/>
      </c>
      <c r="K277" s="2" t="str">
        <f t="shared" si="18"/>
        <v>이은임</v>
      </c>
      <c r="L277" s="2" t="str">
        <f t="shared" si="20"/>
        <v>은임</v>
      </c>
      <c r="M277" s="2" t="str">
        <f t="shared" si="19"/>
        <v/>
      </c>
      <c r="N277" s="5" t="s">
        <v>26</v>
      </c>
      <c r="P277" t="s">
        <v>26</v>
      </c>
    </row>
    <row r="278" spans="2:16" x14ac:dyDescent="0.3">
      <c r="B278" s="16">
        <v>11011</v>
      </c>
      <c r="C278" s="18">
        <v>2</v>
      </c>
      <c r="D278" s="104" t="s">
        <v>471</v>
      </c>
      <c r="E278" s="101"/>
      <c r="F278" s="101"/>
      <c r="G278" s="17" t="str">
        <f t="shared" si="17"/>
        <v/>
      </c>
      <c r="K278" s="2" t="str">
        <f t="shared" si="18"/>
        <v>정진이</v>
      </c>
      <c r="L278" s="2" t="str">
        <f t="shared" si="20"/>
        <v>진이</v>
      </c>
      <c r="M278" s="2" t="str">
        <f t="shared" si="19"/>
        <v/>
      </c>
      <c r="N278" s="5" t="s">
        <v>26</v>
      </c>
      <c r="P278" t="s">
        <v>26</v>
      </c>
    </row>
    <row r="279" spans="2:16" x14ac:dyDescent="0.3">
      <c r="B279" s="16">
        <v>11012</v>
      </c>
      <c r="C279" s="18">
        <v>2</v>
      </c>
      <c r="D279" s="104" t="s">
        <v>472</v>
      </c>
      <c r="E279" s="101"/>
      <c r="F279" s="101"/>
      <c r="G279" s="17" t="str">
        <f t="shared" si="17"/>
        <v/>
      </c>
      <c r="K279" s="2" t="str">
        <f t="shared" si="18"/>
        <v>조수빈</v>
      </c>
      <c r="L279" s="2" t="str">
        <f t="shared" si="20"/>
        <v>수빈</v>
      </c>
      <c r="M279" s="2" t="str">
        <f t="shared" si="19"/>
        <v/>
      </c>
      <c r="N279" s="5" t="s">
        <v>26</v>
      </c>
      <c r="P279" t="s">
        <v>26</v>
      </c>
    </row>
    <row r="280" spans="2:16" x14ac:dyDescent="0.3">
      <c r="B280" s="16">
        <v>11014</v>
      </c>
      <c r="C280" s="18">
        <v>2</v>
      </c>
      <c r="D280" s="104" t="s">
        <v>473</v>
      </c>
      <c r="E280" s="101"/>
      <c r="F280" s="101"/>
      <c r="G280" s="17" t="str">
        <f t="shared" si="17"/>
        <v/>
      </c>
      <c r="K280" s="2" t="str">
        <f t="shared" si="18"/>
        <v>호유진</v>
      </c>
      <c r="L280" s="2" t="str">
        <f t="shared" si="20"/>
        <v>유진</v>
      </c>
      <c r="M280" s="2" t="str">
        <f t="shared" si="19"/>
        <v/>
      </c>
      <c r="N280" s="5" t="s">
        <v>26</v>
      </c>
      <c r="P280" t="s">
        <v>26</v>
      </c>
    </row>
    <row r="281" spans="2:16" x14ac:dyDescent="0.3">
      <c r="B281" s="16">
        <v>11015</v>
      </c>
      <c r="C281" s="18">
        <v>1</v>
      </c>
      <c r="D281" s="104" t="s">
        <v>474</v>
      </c>
      <c r="E281" s="101"/>
      <c r="F281" s="101"/>
      <c r="G281" s="17" t="str">
        <f t="shared" si="17"/>
        <v/>
      </c>
      <c r="K281" s="2" t="str">
        <f t="shared" si="18"/>
        <v>강선우</v>
      </c>
      <c r="L281" s="2" t="str">
        <f t="shared" si="20"/>
        <v>선우</v>
      </c>
      <c r="M281" s="2" t="str">
        <f t="shared" si="19"/>
        <v/>
      </c>
      <c r="N281" s="5" t="s">
        <v>26</v>
      </c>
      <c r="P281" t="s">
        <v>26</v>
      </c>
    </row>
    <row r="282" spans="2:16" x14ac:dyDescent="0.3">
      <c r="B282" s="16">
        <v>11016</v>
      </c>
      <c r="C282" s="18">
        <v>1</v>
      </c>
      <c r="D282" s="104" t="s">
        <v>475</v>
      </c>
      <c r="E282" s="101"/>
      <c r="F282" s="101"/>
      <c r="G282" s="17" t="str">
        <f t="shared" si="17"/>
        <v/>
      </c>
      <c r="K282" s="2" t="str">
        <f t="shared" si="18"/>
        <v>강현우</v>
      </c>
      <c r="L282" s="2" t="str">
        <f t="shared" si="20"/>
        <v>현우</v>
      </c>
      <c r="M282" s="2" t="str">
        <f t="shared" si="19"/>
        <v/>
      </c>
      <c r="N282" s="5" t="s">
        <v>26</v>
      </c>
      <c r="P282" t="s">
        <v>26</v>
      </c>
    </row>
    <row r="283" spans="2:16" x14ac:dyDescent="0.3">
      <c r="B283" s="16">
        <v>11017</v>
      </c>
      <c r="C283" s="18">
        <v>1</v>
      </c>
      <c r="D283" s="104" t="s">
        <v>476</v>
      </c>
      <c r="E283" s="101"/>
      <c r="F283" s="101"/>
      <c r="G283" s="17" t="str">
        <f t="shared" si="17"/>
        <v/>
      </c>
      <c r="K283" s="2" t="str">
        <f t="shared" si="18"/>
        <v>고욱진</v>
      </c>
      <c r="L283" s="2" t="str">
        <f t="shared" si="20"/>
        <v>욱진</v>
      </c>
      <c r="M283" s="2" t="str">
        <f t="shared" si="19"/>
        <v/>
      </c>
      <c r="N283" s="5" t="s">
        <v>26</v>
      </c>
      <c r="P283" t="s">
        <v>26</v>
      </c>
    </row>
    <row r="284" spans="2:16" x14ac:dyDescent="0.3">
      <c r="B284" s="16">
        <v>11019</v>
      </c>
      <c r="C284" s="18">
        <v>1</v>
      </c>
      <c r="D284" s="104" t="s">
        <v>477</v>
      </c>
      <c r="E284" s="101"/>
      <c r="F284" s="101"/>
      <c r="G284" s="17" t="str">
        <f t="shared" si="17"/>
        <v/>
      </c>
      <c r="K284" s="2" t="str">
        <f t="shared" si="18"/>
        <v>김윤규</v>
      </c>
      <c r="L284" s="2" t="str">
        <f t="shared" si="20"/>
        <v>윤규</v>
      </c>
      <c r="M284" s="2" t="str">
        <f t="shared" si="19"/>
        <v/>
      </c>
      <c r="N284" s="5" t="s">
        <v>26</v>
      </c>
      <c r="P284" t="s">
        <v>26</v>
      </c>
    </row>
    <row r="285" spans="2:16" x14ac:dyDescent="0.3">
      <c r="B285" s="16">
        <v>11020</v>
      </c>
      <c r="C285" s="18">
        <v>1</v>
      </c>
      <c r="D285" s="104" t="s">
        <v>478</v>
      </c>
      <c r="E285" s="101"/>
      <c r="F285" s="101"/>
      <c r="G285" s="17" t="str">
        <f t="shared" si="17"/>
        <v/>
      </c>
      <c r="K285" s="2" t="str">
        <f t="shared" si="18"/>
        <v>김지원</v>
      </c>
      <c r="L285" s="2" t="str">
        <f t="shared" si="20"/>
        <v>지원</v>
      </c>
      <c r="M285" s="2" t="str">
        <f t="shared" si="19"/>
        <v/>
      </c>
      <c r="N285" s="5" t="s">
        <v>26</v>
      </c>
      <c r="P285" t="s">
        <v>26</v>
      </c>
    </row>
    <row r="286" spans="2:16" x14ac:dyDescent="0.3">
      <c r="B286" s="16">
        <v>11021</v>
      </c>
      <c r="C286" s="18">
        <v>1</v>
      </c>
      <c r="D286" s="104" t="s">
        <v>479</v>
      </c>
      <c r="E286" s="101"/>
      <c r="F286" s="101"/>
      <c r="G286" s="17" t="str">
        <f t="shared" si="17"/>
        <v/>
      </c>
      <c r="K286" s="2" t="str">
        <f t="shared" si="18"/>
        <v>박찬혁</v>
      </c>
      <c r="L286" s="2" t="str">
        <f t="shared" si="20"/>
        <v>찬혁</v>
      </c>
      <c r="M286" s="2" t="str">
        <f t="shared" si="19"/>
        <v/>
      </c>
      <c r="N286" s="5" t="s">
        <v>26</v>
      </c>
      <c r="P286" t="s">
        <v>26</v>
      </c>
    </row>
    <row r="287" spans="2:16" x14ac:dyDescent="0.3">
      <c r="B287" s="16">
        <v>11022</v>
      </c>
      <c r="C287" s="18">
        <v>1</v>
      </c>
      <c r="D287" s="104" t="s">
        <v>480</v>
      </c>
      <c r="E287" s="101"/>
      <c r="F287" s="101"/>
      <c r="G287" s="17" t="str">
        <f t="shared" si="17"/>
        <v/>
      </c>
      <c r="K287" s="2" t="str">
        <f t="shared" si="18"/>
        <v>송민욱</v>
      </c>
      <c r="L287" s="2" t="str">
        <f t="shared" si="20"/>
        <v>민욱</v>
      </c>
      <c r="M287" s="2" t="str">
        <f t="shared" si="19"/>
        <v/>
      </c>
      <c r="N287" s="5" t="s">
        <v>26</v>
      </c>
      <c r="P287" t="s">
        <v>26</v>
      </c>
    </row>
    <row r="288" spans="2:16" x14ac:dyDescent="0.3">
      <c r="B288" s="16">
        <v>11023</v>
      </c>
      <c r="C288" s="18">
        <v>1</v>
      </c>
      <c r="D288" s="104" t="s">
        <v>481</v>
      </c>
      <c r="E288" s="101"/>
      <c r="F288" s="101"/>
      <c r="G288" s="17" t="str">
        <f t="shared" si="17"/>
        <v/>
      </c>
      <c r="K288" s="2" t="str">
        <f t="shared" si="18"/>
        <v>이승준</v>
      </c>
      <c r="L288" s="2" t="str">
        <f t="shared" si="20"/>
        <v>승준</v>
      </c>
      <c r="M288" s="2" t="str">
        <f t="shared" si="19"/>
        <v/>
      </c>
      <c r="N288" s="5" t="s">
        <v>26</v>
      </c>
      <c r="P288" t="s">
        <v>26</v>
      </c>
    </row>
    <row r="289" spans="2:16" x14ac:dyDescent="0.3">
      <c r="B289" s="16">
        <v>11024</v>
      </c>
      <c r="C289" s="18">
        <v>1</v>
      </c>
      <c r="D289" s="104" t="s">
        <v>482</v>
      </c>
      <c r="E289" s="101"/>
      <c r="F289" s="101"/>
      <c r="G289" s="17" t="str">
        <f t="shared" si="17"/>
        <v/>
      </c>
      <c r="K289" s="2" t="str">
        <f t="shared" si="18"/>
        <v>이연호</v>
      </c>
      <c r="L289" s="2" t="str">
        <f t="shared" si="20"/>
        <v>연호</v>
      </c>
      <c r="M289" s="2" t="str">
        <f t="shared" si="19"/>
        <v/>
      </c>
      <c r="N289" s="5" t="s">
        <v>26</v>
      </c>
      <c r="P289" t="s">
        <v>26</v>
      </c>
    </row>
    <row r="290" spans="2:16" x14ac:dyDescent="0.3">
      <c r="B290" s="16">
        <v>11025</v>
      </c>
      <c r="C290" s="18">
        <v>1</v>
      </c>
      <c r="D290" s="104" t="s">
        <v>483</v>
      </c>
      <c r="E290" s="101"/>
      <c r="F290" s="101"/>
      <c r="G290" s="17" t="str">
        <f t="shared" si="17"/>
        <v/>
      </c>
      <c r="K290" s="2" t="str">
        <f t="shared" si="18"/>
        <v>이재석</v>
      </c>
      <c r="L290" s="2" t="str">
        <f t="shared" si="20"/>
        <v>재석</v>
      </c>
      <c r="M290" s="2" t="str">
        <f t="shared" si="19"/>
        <v/>
      </c>
      <c r="N290" s="5" t="s">
        <v>26</v>
      </c>
      <c r="P290" t="s">
        <v>26</v>
      </c>
    </row>
    <row r="291" spans="2:16" x14ac:dyDescent="0.3">
      <c r="B291" s="16">
        <v>11026</v>
      </c>
      <c r="C291" s="18">
        <v>1</v>
      </c>
      <c r="D291" s="104" t="s">
        <v>484</v>
      </c>
      <c r="E291" s="101"/>
      <c r="F291" s="101"/>
      <c r="G291" s="17" t="str">
        <f t="shared" si="17"/>
        <v/>
      </c>
      <c r="K291" s="2" t="str">
        <f t="shared" si="18"/>
        <v>정기혁</v>
      </c>
      <c r="L291" s="2" t="str">
        <f t="shared" si="20"/>
        <v>기혁</v>
      </c>
      <c r="M291" s="2" t="str">
        <f t="shared" si="19"/>
        <v/>
      </c>
      <c r="N291" s="5" t="s">
        <v>26</v>
      </c>
      <c r="P291" t="s">
        <v>26</v>
      </c>
    </row>
    <row r="292" spans="2:16" x14ac:dyDescent="0.3">
      <c r="B292" s="16">
        <v>11027</v>
      </c>
      <c r="C292" s="18">
        <v>1</v>
      </c>
      <c r="D292" s="104" t="s">
        <v>485</v>
      </c>
      <c r="E292" s="101"/>
      <c r="F292" s="101"/>
      <c r="G292" s="17" t="str">
        <f t="shared" si="17"/>
        <v/>
      </c>
      <c r="K292" s="2" t="str">
        <f t="shared" si="18"/>
        <v>조승빈</v>
      </c>
      <c r="L292" s="2" t="str">
        <f t="shared" si="20"/>
        <v>승빈</v>
      </c>
      <c r="M292" s="2" t="str">
        <f t="shared" si="19"/>
        <v/>
      </c>
      <c r="N292" s="5" t="s">
        <v>26</v>
      </c>
      <c r="P292" t="s">
        <v>26</v>
      </c>
    </row>
    <row r="293" spans="2:16" x14ac:dyDescent="0.3">
      <c r="B293" s="16">
        <v>11028</v>
      </c>
      <c r="C293" s="18">
        <v>1</v>
      </c>
      <c r="D293" s="104" t="s">
        <v>486</v>
      </c>
      <c r="E293" s="101"/>
      <c r="F293" s="101"/>
      <c r="G293" s="17" t="str">
        <f t="shared" si="17"/>
        <v/>
      </c>
      <c r="K293" s="2" t="str">
        <f t="shared" si="18"/>
        <v>차승인</v>
      </c>
      <c r="L293" s="2" t="str">
        <f t="shared" si="20"/>
        <v>승인</v>
      </c>
      <c r="M293" s="2" t="str">
        <f t="shared" si="19"/>
        <v/>
      </c>
      <c r="N293" s="5" t="s">
        <v>26</v>
      </c>
      <c r="P293" t="s">
        <v>26</v>
      </c>
    </row>
    <row r="294" spans="2:16" x14ac:dyDescent="0.3">
      <c r="B294" s="16">
        <v>11029</v>
      </c>
      <c r="C294" s="18">
        <v>1</v>
      </c>
      <c r="D294" s="104" t="s">
        <v>487</v>
      </c>
      <c r="E294" s="101"/>
      <c r="F294" s="101"/>
      <c r="G294" s="17" t="str">
        <f t="shared" si="17"/>
        <v/>
      </c>
      <c r="K294" s="2" t="str">
        <f t="shared" si="18"/>
        <v>편중운</v>
      </c>
      <c r="L294" s="2" t="str">
        <f t="shared" si="20"/>
        <v>중운</v>
      </c>
      <c r="M294" s="2" t="str">
        <f t="shared" si="19"/>
        <v/>
      </c>
      <c r="N294" s="5" t="s">
        <v>26</v>
      </c>
      <c r="P294" t="s">
        <v>26</v>
      </c>
    </row>
    <row r="295" spans="2:16" x14ac:dyDescent="0.3">
      <c r="B295" s="16">
        <v>11030</v>
      </c>
      <c r="C295" s="18">
        <v>1</v>
      </c>
      <c r="D295" s="104" t="s">
        <v>488</v>
      </c>
      <c r="E295" s="101"/>
      <c r="F295" s="101"/>
      <c r="G295" s="17" t="str">
        <f t="shared" si="17"/>
        <v/>
      </c>
      <c r="K295" s="2" t="str">
        <f t="shared" si="18"/>
        <v>하승민</v>
      </c>
      <c r="L295" s="2" t="str">
        <f t="shared" si="20"/>
        <v>승민</v>
      </c>
      <c r="M295" s="2" t="str">
        <f t="shared" si="19"/>
        <v/>
      </c>
      <c r="N295" s="5" t="s">
        <v>26</v>
      </c>
      <c r="P295" t="s">
        <v>26</v>
      </c>
    </row>
    <row r="296" spans="2:16" x14ac:dyDescent="0.3">
      <c r="B296" s="16"/>
      <c r="C296" s="18"/>
      <c r="D296" s="104"/>
      <c r="E296" s="101"/>
      <c r="F296" s="101"/>
      <c r="G296" s="17" t="str">
        <f t="shared" si="17"/>
        <v/>
      </c>
      <c r="K296" s="2" t="str">
        <f t="shared" si="18"/>
        <v/>
      </c>
      <c r="L296" s="2" t="str">
        <f t="shared" si="20"/>
        <v/>
      </c>
      <c r="M296" s="2" t="str">
        <f t="shared" si="19"/>
        <v/>
      </c>
      <c r="N296" s="5"/>
      <c r="P296" t="s">
        <v>26</v>
      </c>
    </row>
    <row r="297" spans="2:16" x14ac:dyDescent="0.3">
      <c r="B297" s="16"/>
      <c r="C297" s="18"/>
      <c r="D297" s="104"/>
      <c r="E297" s="101"/>
      <c r="F297" s="101"/>
      <c r="G297" s="17" t="str">
        <f t="shared" si="17"/>
        <v/>
      </c>
      <c r="K297" s="2" t="str">
        <f t="shared" si="18"/>
        <v/>
      </c>
      <c r="L297" s="2" t="str">
        <f t="shared" si="20"/>
        <v/>
      </c>
      <c r="M297" s="2" t="str">
        <f t="shared" si="19"/>
        <v/>
      </c>
      <c r="N297" s="5"/>
      <c r="P297" t="s">
        <v>26</v>
      </c>
    </row>
    <row r="298" spans="2:16" x14ac:dyDescent="0.3">
      <c r="B298" s="16"/>
      <c r="C298" s="18"/>
      <c r="D298" s="104"/>
      <c r="E298" s="101"/>
      <c r="F298" s="101"/>
      <c r="G298" s="17" t="str">
        <f t="shared" si="17"/>
        <v/>
      </c>
      <c r="K298" s="2" t="str">
        <f t="shared" si="18"/>
        <v/>
      </c>
      <c r="L298" s="2" t="str">
        <f t="shared" si="20"/>
        <v/>
      </c>
      <c r="M298" s="2" t="str">
        <f t="shared" si="19"/>
        <v/>
      </c>
      <c r="N298" s="5"/>
      <c r="P298" t="s">
        <v>26</v>
      </c>
    </row>
    <row r="299" spans="2:16" x14ac:dyDescent="0.3">
      <c r="B299" s="16"/>
      <c r="C299" s="18"/>
      <c r="D299" s="104"/>
      <c r="E299" s="101"/>
      <c r="F299" s="101"/>
      <c r="G299" s="17" t="str">
        <f t="shared" si="17"/>
        <v/>
      </c>
      <c r="K299" s="2" t="str">
        <f t="shared" si="18"/>
        <v/>
      </c>
      <c r="L299" s="2" t="str">
        <f t="shared" si="20"/>
        <v/>
      </c>
      <c r="M299" s="2" t="str">
        <f t="shared" si="19"/>
        <v/>
      </c>
      <c r="N299" s="5"/>
      <c r="P299" t="s">
        <v>26</v>
      </c>
    </row>
    <row r="300" spans="2:16" x14ac:dyDescent="0.3">
      <c r="B300" s="16"/>
      <c r="C300" s="18"/>
      <c r="D300" s="104"/>
      <c r="E300" s="101"/>
      <c r="F300" s="101"/>
      <c r="G300" s="17" t="str">
        <f t="shared" si="17"/>
        <v/>
      </c>
      <c r="K300" s="2" t="str">
        <f t="shared" si="18"/>
        <v/>
      </c>
      <c r="L300" s="2" t="str">
        <f t="shared" si="20"/>
        <v/>
      </c>
      <c r="M300" s="2" t="str">
        <f t="shared" si="19"/>
        <v/>
      </c>
      <c r="N300" s="5"/>
      <c r="P300" t="s">
        <v>26</v>
      </c>
    </row>
    <row r="301" spans="2:16" x14ac:dyDescent="0.3">
      <c r="B301" s="16"/>
      <c r="C301" s="18"/>
      <c r="D301" s="104"/>
      <c r="E301" s="101"/>
      <c r="F301" s="101"/>
      <c r="G301" s="17" t="str">
        <f t="shared" si="17"/>
        <v/>
      </c>
      <c r="K301" s="2" t="str">
        <f t="shared" si="18"/>
        <v/>
      </c>
      <c r="L301" s="2" t="str">
        <f t="shared" si="20"/>
        <v/>
      </c>
      <c r="M301" s="2" t="str">
        <f t="shared" si="19"/>
        <v/>
      </c>
      <c r="N301" s="5"/>
      <c r="P301" t="s">
        <v>26</v>
      </c>
    </row>
    <row r="302" spans="2:16" x14ac:dyDescent="0.3">
      <c r="B302" s="16"/>
      <c r="C302" s="18"/>
      <c r="D302" s="104"/>
      <c r="E302" s="101"/>
      <c r="F302" s="101"/>
      <c r="G302" s="17" t="str">
        <f t="shared" si="17"/>
        <v/>
      </c>
      <c r="K302" s="2" t="str">
        <f t="shared" si="18"/>
        <v/>
      </c>
      <c r="L302" s="2" t="str">
        <f t="shared" si="20"/>
        <v/>
      </c>
      <c r="M302" s="2" t="str">
        <f t="shared" si="19"/>
        <v/>
      </c>
      <c r="N302" s="5"/>
      <c r="P302" t="s">
        <v>26</v>
      </c>
    </row>
    <row r="303" spans="2:16" x14ac:dyDescent="0.3">
      <c r="B303" s="16"/>
      <c r="C303" s="18"/>
      <c r="D303" s="104"/>
      <c r="E303" s="101"/>
      <c r="F303" s="101"/>
      <c r="G303" s="17" t="str">
        <f t="shared" si="17"/>
        <v/>
      </c>
      <c r="K303" s="2" t="str">
        <f t="shared" si="18"/>
        <v/>
      </c>
      <c r="L303" s="2" t="str">
        <f t="shared" si="20"/>
        <v/>
      </c>
      <c r="M303" s="2" t="str">
        <f t="shared" si="19"/>
        <v/>
      </c>
      <c r="N303" s="5"/>
      <c r="P303" t="s">
        <v>26</v>
      </c>
    </row>
    <row r="304" spans="2:16" x14ac:dyDescent="0.3">
      <c r="B304" s="16"/>
      <c r="C304" s="18"/>
      <c r="D304" s="104"/>
      <c r="E304" s="101"/>
      <c r="F304" s="101"/>
      <c r="G304" s="17" t="str">
        <f t="shared" si="17"/>
        <v/>
      </c>
      <c r="K304" s="2" t="str">
        <f t="shared" si="18"/>
        <v/>
      </c>
      <c r="L304" s="2" t="str">
        <f t="shared" si="20"/>
        <v/>
      </c>
      <c r="M304" s="2" t="str">
        <f t="shared" si="19"/>
        <v/>
      </c>
      <c r="N304" s="5"/>
      <c r="P304" t="s">
        <v>26</v>
      </c>
    </row>
    <row r="305" spans="2:16" x14ac:dyDescent="0.3">
      <c r="B305" s="16"/>
      <c r="C305" s="18"/>
      <c r="D305" s="104"/>
      <c r="E305" s="101"/>
      <c r="F305" s="101"/>
      <c r="G305" s="17" t="str">
        <f t="shared" si="17"/>
        <v/>
      </c>
      <c r="K305" s="2" t="str">
        <f t="shared" si="18"/>
        <v/>
      </c>
      <c r="L305" s="2" t="str">
        <f t="shared" si="20"/>
        <v/>
      </c>
      <c r="M305" s="2" t="str">
        <f t="shared" si="19"/>
        <v/>
      </c>
      <c r="N305" s="5"/>
      <c r="P305" t="s">
        <v>26</v>
      </c>
    </row>
    <row r="306" spans="2:16" x14ac:dyDescent="0.3">
      <c r="B306" s="16"/>
      <c r="C306" s="18"/>
      <c r="D306" s="104"/>
      <c r="E306" s="101"/>
      <c r="F306" s="101"/>
      <c r="G306" s="17" t="str">
        <f t="shared" si="17"/>
        <v/>
      </c>
      <c r="K306" s="2" t="str">
        <f t="shared" si="18"/>
        <v/>
      </c>
      <c r="L306" s="2" t="str">
        <f t="shared" si="20"/>
        <v/>
      </c>
      <c r="M306" s="2" t="str">
        <f t="shared" si="19"/>
        <v/>
      </c>
      <c r="N306" s="5"/>
      <c r="P306" t="s">
        <v>26</v>
      </c>
    </row>
    <row r="307" spans="2:16" x14ac:dyDescent="0.3">
      <c r="B307" s="16"/>
      <c r="C307" s="18"/>
      <c r="D307" s="104"/>
      <c r="E307" s="101"/>
      <c r="F307" s="101"/>
      <c r="G307" s="17" t="str">
        <f t="shared" si="17"/>
        <v/>
      </c>
      <c r="K307" s="2" t="str">
        <f t="shared" si="18"/>
        <v/>
      </c>
      <c r="L307" s="2" t="str">
        <f t="shared" si="20"/>
        <v/>
      </c>
      <c r="M307" s="2" t="str">
        <f t="shared" si="19"/>
        <v/>
      </c>
      <c r="N307" s="5"/>
      <c r="P307" t="s">
        <v>26</v>
      </c>
    </row>
    <row r="308" spans="2:16" x14ac:dyDescent="0.3">
      <c r="B308" s="16"/>
      <c r="C308" s="18"/>
      <c r="D308" s="104"/>
      <c r="E308" s="101"/>
      <c r="F308" s="101"/>
      <c r="G308" s="17" t="str">
        <f t="shared" si="17"/>
        <v/>
      </c>
      <c r="K308" s="2" t="str">
        <f t="shared" si="18"/>
        <v/>
      </c>
      <c r="L308" s="2" t="str">
        <f t="shared" si="20"/>
        <v/>
      </c>
      <c r="M308" s="2" t="str">
        <f t="shared" si="19"/>
        <v/>
      </c>
      <c r="N308" s="5"/>
      <c r="P308" t="s">
        <v>26</v>
      </c>
    </row>
    <row r="309" spans="2:16" x14ac:dyDescent="0.3">
      <c r="B309" s="16"/>
      <c r="C309" s="18"/>
      <c r="D309" s="104"/>
      <c r="E309" s="101"/>
      <c r="F309" s="101"/>
      <c r="G309" s="17" t="str">
        <f t="shared" si="17"/>
        <v/>
      </c>
      <c r="K309" s="2" t="str">
        <f t="shared" si="18"/>
        <v/>
      </c>
      <c r="L309" s="2" t="str">
        <f t="shared" si="20"/>
        <v/>
      </c>
      <c r="M309" s="2" t="str">
        <f t="shared" si="19"/>
        <v/>
      </c>
      <c r="N309" s="5"/>
      <c r="P309" t="s">
        <v>26</v>
      </c>
    </row>
    <row r="310" spans="2:16" x14ac:dyDescent="0.3">
      <c r="B310" s="16"/>
      <c r="C310" s="18"/>
      <c r="D310" s="104"/>
      <c r="E310" s="101"/>
      <c r="F310" s="101"/>
      <c r="G310" s="17" t="str">
        <f t="shared" si="17"/>
        <v/>
      </c>
      <c r="K310" s="2" t="str">
        <f t="shared" si="18"/>
        <v/>
      </c>
      <c r="L310" s="2" t="str">
        <f t="shared" si="20"/>
        <v/>
      </c>
      <c r="M310" s="2" t="str">
        <f t="shared" si="19"/>
        <v/>
      </c>
      <c r="N310" s="5"/>
      <c r="P310" t="s">
        <v>26</v>
      </c>
    </row>
    <row r="311" spans="2:16" x14ac:dyDescent="0.3">
      <c r="B311" s="16"/>
      <c r="C311" s="18"/>
      <c r="D311" s="104"/>
      <c r="E311" s="101"/>
      <c r="F311" s="101"/>
      <c r="G311" s="17" t="str">
        <f t="shared" si="17"/>
        <v/>
      </c>
      <c r="K311" s="2" t="str">
        <f t="shared" si="18"/>
        <v/>
      </c>
      <c r="L311" s="2" t="str">
        <f t="shared" si="20"/>
        <v/>
      </c>
      <c r="M311" s="2" t="str">
        <f t="shared" si="19"/>
        <v/>
      </c>
      <c r="N311" s="5"/>
      <c r="P311" t="s">
        <v>26</v>
      </c>
    </row>
    <row r="312" spans="2:16" x14ac:dyDescent="0.3">
      <c r="B312" s="16"/>
      <c r="C312" s="18"/>
      <c r="D312" s="104"/>
      <c r="E312" s="101"/>
      <c r="F312" s="101"/>
      <c r="G312" s="17" t="str">
        <f t="shared" si="17"/>
        <v/>
      </c>
      <c r="K312" s="2" t="str">
        <f t="shared" si="18"/>
        <v/>
      </c>
      <c r="L312" s="2" t="str">
        <f t="shared" si="20"/>
        <v/>
      </c>
      <c r="M312" s="2" t="str">
        <f t="shared" si="19"/>
        <v/>
      </c>
      <c r="N312" s="5"/>
      <c r="P312" t="s">
        <v>26</v>
      </c>
    </row>
    <row r="313" spans="2:16" x14ac:dyDescent="0.3">
      <c r="B313" s="16"/>
      <c r="C313" s="18"/>
      <c r="D313" s="104"/>
      <c r="E313" s="101"/>
      <c r="F313" s="101"/>
      <c r="G313" s="17" t="str">
        <f t="shared" si="17"/>
        <v/>
      </c>
      <c r="K313" s="2" t="str">
        <f t="shared" si="18"/>
        <v/>
      </c>
      <c r="L313" s="2" t="str">
        <f t="shared" si="20"/>
        <v/>
      </c>
      <c r="M313" s="2" t="str">
        <f t="shared" si="19"/>
        <v/>
      </c>
      <c r="N313" s="5"/>
      <c r="P313" t="s">
        <v>26</v>
      </c>
    </row>
    <row r="314" spans="2:16" x14ac:dyDescent="0.3">
      <c r="B314" s="16"/>
      <c r="C314" s="18"/>
      <c r="D314" s="104"/>
      <c r="E314" s="101"/>
      <c r="F314" s="101"/>
      <c r="G314" s="17" t="str">
        <f t="shared" si="17"/>
        <v/>
      </c>
      <c r="K314" s="2" t="str">
        <f t="shared" si="18"/>
        <v/>
      </c>
      <c r="L314" s="2" t="str">
        <f t="shared" si="20"/>
        <v/>
      </c>
      <c r="M314" s="2" t="str">
        <f t="shared" si="19"/>
        <v/>
      </c>
      <c r="N314" s="5"/>
      <c r="P314" t="s">
        <v>26</v>
      </c>
    </row>
    <row r="315" spans="2:16" x14ac:dyDescent="0.3">
      <c r="B315" s="16"/>
      <c r="C315" s="18"/>
      <c r="D315" s="104"/>
      <c r="E315" s="101"/>
      <c r="F315" s="101"/>
      <c r="G315" s="17" t="str">
        <f t="shared" si="17"/>
        <v/>
      </c>
      <c r="K315" s="2" t="str">
        <f t="shared" si="18"/>
        <v/>
      </c>
      <c r="L315" s="2" t="str">
        <f t="shared" si="20"/>
        <v/>
      </c>
      <c r="M315" s="2" t="str">
        <f t="shared" si="19"/>
        <v/>
      </c>
      <c r="N315" s="5"/>
      <c r="P315" t="s">
        <v>26</v>
      </c>
    </row>
    <row r="316" spans="2:16" x14ac:dyDescent="0.3">
      <c r="B316" s="16"/>
      <c r="C316" s="18"/>
      <c r="D316" s="104"/>
      <c r="E316" s="101"/>
      <c r="F316" s="101"/>
      <c r="G316" s="17" t="str">
        <f t="shared" si="17"/>
        <v/>
      </c>
      <c r="K316" s="2" t="str">
        <f t="shared" si="18"/>
        <v/>
      </c>
      <c r="L316" s="2" t="str">
        <f t="shared" si="20"/>
        <v/>
      </c>
      <c r="M316" s="2" t="str">
        <f t="shared" si="19"/>
        <v/>
      </c>
      <c r="N316" s="5"/>
      <c r="P316" t="s">
        <v>26</v>
      </c>
    </row>
    <row r="317" spans="2:16" x14ac:dyDescent="0.3">
      <c r="B317" s="16"/>
      <c r="C317" s="18"/>
      <c r="D317" s="104"/>
      <c r="E317" s="101"/>
      <c r="F317" s="101"/>
      <c r="G317" s="17" t="str">
        <f t="shared" si="17"/>
        <v/>
      </c>
      <c r="K317" s="2" t="str">
        <f t="shared" si="18"/>
        <v/>
      </c>
      <c r="L317" s="2" t="str">
        <f t="shared" si="20"/>
        <v/>
      </c>
      <c r="M317" s="2" t="str">
        <f t="shared" si="19"/>
        <v/>
      </c>
      <c r="N317" s="5"/>
      <c r="P317" t="s">
        <v>26</v>
      </c>
    </row>
    <row r="318" spans="2:16" x14ac:dyDescent="0.3">
      <c r="B318" s="16"/>
      <c r="C318" s="18"/>
      <c r="D318" s="104"/>
      <c r="E318" s="101"/>
      <c r="F318" s="101"/>
      <c r="G318" s="17" t="str">
        <f t="shared" si="17"/>
        <v/>
      </c>
      <c r="K318" s="2" t="str">
        <f t="shared" si="18"/>
        <v/>
      </c>
      <c r="L318" s="2" t="str">
        <f t="shared" si="20"/>
        <v/>
      </c>
      <c r="M318" s="2" t="str">
        <f t="shared" si="19"/>
        <v/>
      </c>
      <c r="N318" s="5"/>
      <c r="P318" t="s">
        <v>26</v>
      </c>
    </row>
    <row r="319" spans="2:16" x14ac:dyDescent="0.3">
      <c r="B319" s="16"/>
      <c r="C319" s="18"/>
      <c r="D319" s="104"/>
      <c r="E319" s="101"/>
      <c r="F319" s="101"/>
      <c r="G319" s="17" t="str">
        <f t="shared" si="17"/>
        <v/>
      </c>
      <c r="K319" s="2" t="str">
        <f t="shared" si="18"/>
        <v/>
      </c>
      <c r="L319" s="2" t="str">
        <f t="shared" si="20"/>
        <v/>
      </c>
      <c r="M319" s="2" t="str">
        <f t="shared" si="19"/>
        <v/>
      </c>
      <c r="N319" s="5"/>
      <c r="P319" t="s">
        <v>26</v>
      </c>
    </row>
    <row r="320" spans="2:16" x14ac:dyDescent="0.3">
      <c r="B320" s="16"/>
      <c r="C320" s="18"/>
      <c r="D320" s="104"/>
      <c r="E320" s="101"/>
      <c r="F320" s="101"/>
      <c r="G320" s="17" t="str">
        <f t="shared" si="17"/>
        <v/>
      </c>
      <c r="K320" s="2" t="str">
        <f t="shared" si="18"/>
        <v/>
      </c>
      <c r="L320" s="2" t="str">
        <f t="shared" si="20"/>
        <v/>
      </c>
      <c r="M320" s="2" t="str">
        <f t="shared" si="19"/>
        <v/>
      </c>
      <c r="N320" s="5"/>
      <c r="P320" t="s">
        <v>26</v>
      </c>
    </row>
    <row r="321" spans="2:16" x14ac:dyDescent="0.3">
      <c r="B321" s="16"/>
      <c r="C321" s="18"/>
      <c r="D321" s="104"/>
      <c r="E321" s="101"/>
      <c r="F321" s="101"/>
      <c r="G321" s="17" t="str">
        <f t="shared" si="17"/>
        <v/>
      </c>
      <c r="K321" s="2" t="str">
        <f t="shared" si="18"/>
        <v/>
      </c>
      <c r="L321" s="2" t="str">
        <f t="shared" si="20"/>
        <v/>
      </c>
      <c r="M321" s="2" t="str">
        <f t="shared" si="19"/>
        <v/>
      </c>
      <c r="N321" s="5"/>
      <c r="P321" t="s">
        <v>26</v>
      </c>
    </row>
    <row r="322" spans="2:16" x14ac:dyDescent="0.3">
      <c r="B322" s="16"/>
      <c r="C322" s="18"/>
      <c r="D322" s="104"/>
      <c r="E322" s="101"/>
      <c r="F322" s="101"/>
      <c r="G322" s="17" t="str">
        <f t="shared" si="17"/>
        <v/>
      </c>
      <c r="K322" s="2" t="str">
        <f t="shared" si="18"/>
        <v/>
      </c>
      <c r="L322" s="2" t="str">
        <f t="shared" si="20"/>
        <v/>
      </c>
      <c r="M322" s="2" t="str">
        <f t="shared" si="19"/>
        <v/>
      </c>
      <c r="N322" s="5"/>
      <c r="P322" t="s">
        <v>26</v>
      </c>
    </row>
    <row r="323" spans="2:16" x14ac:dyDescent="0.3">
      <c r="B323" s="16"/>
      <c r="C323" s="18"/>
      <c r="D323" s="104"/>
      <c r="E323" s="101"/>
      <c r="F323" s="101"/>
      <c r="G323" s="17" t="str">
        <f t="shared" si="17"/>
        <v/>
      </c>
      <c r="K323" s="2" t="str">
        <f t="shared" si="18"/>
        <v/>
      </c>
      <c r="L323" s="2" t="str">
        <f t="shared" si="20"/>
        <v/>
      </c>
      <c r="M323" s="2" t="str">
        <f t="shared" si="19"/>
        <v/>
      </c>
      <c r="N323" s="5"/>
      <c r="P323" t="s">
        <v>26</v>
      </c>
    </row>
    <row r="324" spans="2:16" x14ac:dyDescent="0.3">
      <c r="B324" s="16"/>
      <c r="C324" s="18"/>
      <c r="D324" s="104"/>
      <c r="E324" s="101"/>
      <c r="F324" s="101"/>
      <c r="G324" s="17" t="str">
        <f t="shared" ref="G324:G387" si="21">IF(AND(D324=E324,E324=F324),"",IF(AND(F324="",D324=E324),"",IF(AND(D324="",E324=F324),"",IF(AND(E324="",D324=F324),"",""))))</f>
        <v/>
      </c>
      <c r="K324" s="2" t="str">
        <f t="shared" ref="K324:K387" si="22">IF(D324="","",+D324)</f>
        <v/>
      </c>
      <c r="L324" s="2" t="str">
        <f t="shared" si="20"/>
        <v/>
      </c>
      <c r="M324" s="2" t="str">
        <f t="shared" ref="M324:M387" si="23">IF(B324="","",IF(COUNTIF($K$3:$K$295,K324)&gt;1,"동명",""))</f>
        <v/>
      </c>
      <c r="N324" s="5"/>
      <c r="P324" t="s">
        <v>26</v>
      </c>
    </row>
    <row r="325" spans="2:16" x14ac:dyDescent="0.3">
      <c r="B325" s="16"/>
      <c r="C325" s="18"/>
      <c r="D325" s="104"/>
      <c r="E325" s="101"/>
      <c r="F325" s="101"/>
      <c r="G325" s="17" t="str">
        <f t="shared" si="21"/>
        <v/>
      </c>
      <c r="K325" s="2" t="str">
        <f t="shared" si="22"/>
        <v/>
      </c>
      <c r="L325" s="2" t="str">
        <f t="shared" si="20"/>
        <v/>
      </c>
      <c r="M325" s="2" t="str">
        <f t="shared" si="23"/>
        <v/>
      </c>
      <c r="N325" s="5"/>
      <c r="P325" t="s">
        <v>26</v>
      </c>
    </row>
    <row r="326" spans="2:16" x14ac:dyDescent="0.3">
      <c r="B326" s="16"/>
      <c r="C326" s="18"/>
      <c r="D326" s="104"/>
      <c r="E326" s="101"/>
      <c r="F326" s="101"/>
      <c r="G326" s="17" t="str">
        <f t="shared" si="21"/>
        <v/>
      </c>
      <c r="K326" s="2" t="str">
        <f t="shared" si="22"/>
        <v/>
      </c>
      <c r="L326" s="2" t="str">
        <f t="shared" ref="L326:L389" si="24">RIGHT(K326,2)</f>
        <v/>
      </c>
      <c r="M326" s="2" t="str">
        <f t="shared" si="23"/>
        <v/>
      </c>
      <c r="N326" s="5"/>
      <c r="P326" t="s">
        <v>26</v>
      </c>
    </row>
    <row r="327" spans="2:16" x14ac:dyDescent="0.3">
      <c r="B327" s="16"/>
      <c r="C327" s="18"/>
      <c r="D327" s="104"/>
      <c r="E327" s="101"/>
      <c r="F327" s="101"/>
      <c r="G327" s="17" t="str">
        <f t="shared" si="21"/>
        <v/>
      </c>
      <c r="K327" s="2" t="str">
        <f t="shared" si="22"/>
        <v/>
      </c>
      <c r="L327" s="2" t="str">
        <f t="shared" si="24"/>
        <v/>
      </c>
      <c r="M327" s="2" t="str">
        <f t="shared" si="23"/>
        <v/>
      </c>
      <c r="N327" s="5"/>
      <c r="P327" t="s">
        <v>26</v>
      </c>
    </row>
    <row r="328" spans="2:16" x14ac:dyDescent="0.3">
      <c r="B328" s="16"/>
      <c r="C328" s="18"/>
      <c r="D328" s="104"/>
      <c r="E328" s="101"/>
      <c r="F328" s="101"/>
      <c r="G328" s="17" t="str">
        <f t="shared" si="21"/>
        <v/>
      </c>
      <c r="K328" s="2" t="str">
        <f t="shared" si="22"/>
        <v/>
      </c>
      <c r="L328" s="2" t="str">
        <f t="shared" si="24"/>
        <v/>
      </c>
      <c r="M328" s="2" t="str">
        <f t="shared" si="23"/>
        <v/>
      </c>
      <c r="N328" s="5"/>
      <c r="P328" t="s">
        <v>26</v>
      </c>
    </row>
    <row r="329" spans="2:16" x14ac:dyDescent="0.3">
      <c r="B329" s="16"/>
      <c r="C329" s="18"/>
      <c r="D329" s="104"/>
      <c r="E329" s="101"/>
      <c r="F329" s="101"/>
      <c r="G329" s="17" t="str">
        <f t="shared" si="21"/>
        <v/>
      </c>
      <c r="K329" s="2" t="str">
        <f t="shared" si="22"/>
        <v/>
      </c>
      <c r="L329" s="2" t="str">
        <f t="shared" si="24"/>
        <v/>
      </c>
      <c r="M329" s="2" t="str">
        <f t="shared" si="23"/>
        <v/>
      </c>
      <c r="N329" s="5"/>
      <c r="P329" t="s">
        <v>26</v>
      </c>
    </row>
    <row r="330" spans="2:16" x14ac:dyDescent="0.3">
      <c r="B330" s="16"/>
      <c r="C330" s="18"/>
      <c r="D330" s="104"/>
      <c r="E330" s="101"/>
      <c r="F330" s="101"/>
      <c r="G330" s="17" t="str">
        <f t="shared" si="21"/>
        <v/>
      </c>
      <c r="K330" s="2" t="str">
        <f t="shared" si="22"/>
        <v/>
      </c>
      <c r="L330" s="2" t="str">
        <f t="shared" si="24"/>
        <v/>
      </c>
      <c r="M330" s="2" t="str">
        <f t="shared" si="23"/>
        <v/>
      </c>
      <c r="N330" s="5"/>
      <c r="P330" t="s">
        <v>26</v>
      </c>
    </row>
    <row r="331" spans="2:16" x14ac:dyDescent="0.3">
      <c r="B331" s="16"/>
      <c r="C331" s="18"/>
      <c r="D331" s="104"/>
      <c r="E331" s="101"/>
      <c r="F331" s="101"/>
      <c r="G331" s="17" t="str">
        <f t="shared" si="21"/>
        <v/>
      </c>
      <c r="K331" s="2" t="str">
        <f t="shared" si="22"/>
        <v/>
      </c>
      <c r="L331" s="2" t="str">
        <f t="shared" si="24"/>
        <v/>
      </c>
      <c r="M331" s="2" t="str">
        <f t="shared" si="23"/>
        <v/>
      </c>
      <c r="N331" s="5"/>
      <c r="P331" t="s">
        <v>26</v>
      </c>
    </row>
    <row r="332" spans="2:16" x14ac:dyDescent="0.3">
      <c r="B332" s="16"/>
      <c r="C332" s="18"/>
      <c r="D332" s="104"/>
      <c r="E332" s="101"/>
      <c r="F332" s="101"/>
      <c r="G332" s="17" t="str">
        <f t="shared" si="21"/>
        <v/>
      </c>
      <c r="K332" s="2" t="str">
        <f t="shared" si="22"/>
        <v/>
      </c>
      <c r="L332" s="2" t="str">
        <f t="shared" si="24"/>
        <v/>
      </c>
      <c r="M332" s="2" t="str">
        <f t="shared" si="23"/>
        <v/>
      </c>
      <c r="N332" s="5"/>
      <c r="P332" t="s">
        <v>26</v>
      </c>
    </row>
    <row r="333" spans="2:16" x14ac:dyDescent="0.3">
      <c r="B333" s="16"/>
      <c r="C333" s="18"/>
      <c r="D333" s="104"/>
      <c r="E333" s="101"/>
      <c r="F333" s="101"/>
      <c r="G333" s="17" t="str">
        <f t="shared" si="21"/>
        <v/>
      </c>
      <c r="K333" s="2" t="str">
        <f t="shared" si="22"/>
        <v/>
      </c>
      <c r="L333" s="2" t="str">
        <f t="shared" si="24"/>
        <v/>
      </c>
      <c r="M333" s="2" t="str">
        <f t="shared" si="23"/>
        <v/>
      </c>
      <c r="N333" s="5"/>
      <c r="P333" t="s">
        <v>26</v>
      </c>
    </row>
    <row r="334" spans="2:16" x14ac:dyDescent="0.3">
      <c r="B334" s="16"/>
      <c r="C334" s="18"/>
      <c r="D334" s="104"/>
      <c r="E334" s="101"/>
      <c r="F334" s="101"/>
      <c r="G334" s="17" t="str">
        <f t="shared" si="21"/>
        <v/>
      </c>
      <c r="K334" s="2" t="str">
        <f t="shared" si="22"/>
        <v/>
      </c>
      <c r="L334" s="2" t="str">
        <f t="shared" si="24"/>
        <v/>
      </c>
      <c r="M334" s="2" t="str">
        <f t="shared" si="23"/>
        <v/>
      </c>
      <c r="N334" s="5"/>
      <c r="P334" t="s">
        <v>26</v>
      </c>
    </row>
    <row r="335" spans="2:16" x14ac:dyDescent="0.3">
      <c r="B335" s="16"/>
      <c r="C335" s="18"/>
      <c r="D335" s="104"/>
      <c r="E335" s="101"/>
      <c r="F335" s="101"/>
      <c r="G335" s="17" t="str">
        <f t="shared" si="21"/>
        <v/>
      </c>
      <c r="K335" s="2" t="str">
        <f t="shared" si="22"/>
        <v/>
      </c>
      <c r="L335" s="2" t="str">
        <f t="shared" si="24"/>
        <v/>
      </c>
      <c r="M335" s="2" t="str">
        <f t="shared" si="23"/>
        <v/>
      </c>
      <c r="N335" s="5"/>
      <c r="P335" t="s">
        <v>26</v>
      </c>
    </row>
    <row r="336" spans="2:16" x14ac:dyDescent="0.3">
      <c r="B336" s="16"/>
      <c r="C336" s="18"/>
      <c r="D336" s="104"/>
      <c r="E336" s="101"/>
      <c r="F336" s="101"/>
      <c r="G336" s="17" t="str">
        <f t="shared" si="21"/>
        <v/>
      </c>
      <c r="K336" s="2" t="str">
        <f t="shared" si="22"/>
        <v/>
      </c>
      <c r="L336" s="2" t="str">
        <f t="shared" si="24"/>
        <v/>
      </c>
      <c r="M336" s="2" t="str">
        <f t="shared" si="23"/>
        <v/>
      </c>
      <c r="N336" s="5"/>
      <c r="P336" t="s">
        <v>26</v>
      </c>
    </row>
    <row r="337" spans="2:16" x14ac:dyDescent="0.3">
      <c r="B337" s="16"/>
      <c r="C337" s="18"/>
      <c r="D337" s="104"/>
      <c r="E337" s="101"/>
      <c r="F337" s="101"/>
      <c r="G337" s="17" t="str">
        <f t="shared" si="21"/>
        <v/>
      </c>
      <c r="K337" s="2" t="str">
        <f t="shared" si="22"/>
        <v/>
      </c>
      <c r="L337" s="2" t="str">
        <f t="shared" si="24"/>
        <v/>
      </c>
      <c r="M337" s="2" t="str">
        <f t="shared" si="23"/>
        <v/>
      </c>
      <c r="N337" s="5"/>
      <c r="P337" t="s">
        <v>26</v>
      </c>
    </row>
    <row r="338" spans="2:16" x14ac:dyDescent="0.3">
      <c r="B338" s="16"/>
      <c r="C338" s="18"/>
      <c r="D338" s="104"/>
      <c r="E338" s="101"/>
      <c r="F338" s="101"/>
      <c r="G338" s="17" t="str">
        <f t="shared" si="21"/>
        <v/>
      </c>
      <c r="K338" s="2" t="str">
        <f t="shared" si="22"/>
        <v/>
      </c>
      <c r="L338" s="2" t="str">
        <f t="shared" si="24"/>
        <v/>
      </c>
      <c r="M338" s="2" t="str">
        <f t="shared" si="23"/>
        <v/>
      </c>
      <c r="N338" s="5"/>
      <c r="P338" t="s">
        <v>26</v>
      </c>
    </row>
    <row r="339" spans="2:16" x14ac:dyDescent="0.3">
      <c r="B339" s="16"/>
      <c r="C339" s="18"/>
      <c r="D339" s="104"/>
      <c r="E339" s="101"/>
      <c r="F339" s="101"/>
      <c r="G339" s="17" t="str">
        <f t="shared" si="21"/>
        <v/>
      </c>
      <c r="K339" s="2" t="str">
        <f t="shared" si="22"/>
        <v/>
      </c>
      <c r="L339" s="2" t="str">
        <f t="shared" si="24"/>
        <v/>
      </c>
      <c r="M339" s="2" t="str">
        <f t="shared" si="23"/>
        <v/>
      </c>
      <c r="N339" s="5"/>
      <c r="P339" t="s">
        <v>26</v>
      </c>
    </row>
    <row r="340" spans="2:16" x14ac:dyDescent="0.3">
      <c r="B340" s="16"/>
      <c r="C340" s="18"/>
      <c r="D340" s="104"/>
      <c r="E340" s="101"/>
      <c r="F340" s="101"/>
      <c r="G340" s="17" t="str">
        <f t="shared" si="21"/>
        <v/>
      </c>
      <c r="K340" s="2" t="str">
        <f t="shared" si="22"/>
        <v/>
      </c>
      <c r="L340" s="2" t="str">
        <f t="shared" si="24"/>
        <v/>
      </c>
      <c r="M340" s="2" t="str">
        <f t="shared" si="23"/>
        <v/>
      </c>
      <c r="N340" s="5"/>
      <c r="P340" t="s">
        <v>26</v>
      </c>
    </row>
    <row r="341" spans="2:16" x14ac:dyDescent="0.3">
      <c r="B341" s="16"/>
      <c r="C341" s="18"/>
      <c r="D341" s="104"/>
      <c r="E341" s="101"/>
      <c r="F341" s="101"/>
      <c r="G341" s="17" t="str">
        <f t="shared" si="21"/>
        <v/>
      </c>
      <c r="K341" s="2" t="str">
        <f t="shared" si="22"/>
        <v/>
      </c>
      <c r="L341" s="2" t="str">
        <f t="shared" si="24"/>
        <v/>
      </c>
      <c r="M341" s="2" t="str">
        <f t="shared" si="23"/>
        <v/>
      </c>
      <c r="N341" s="5"/>
      <c r="P341" t="s">
        <v>26</v>
      </c>
    </row>
    <row r="342" spans="2:16" x14ac:dyDescent="0.3">
      <c r="B342" s="16"/>
      <c r="C342" s="18"/>
      <c r="D342" s="104"/>
      <c r="E342" s="101"/>
      <c r="F342" s="101"/>
      <c r="G342" s="17" t="str">
        <f t="shared" si="21"/>
        <v/>
      </c>
      <c r="K342" s="2" t="str">
        <f t="shared" si="22"/>
        <v/>
      </c>
      <c r="L342" s="2" t="str">
        <f t="shared" si="24"/>
        <v/>
      </c>
      <c r="M342" s="2" t="str">
        <f t="shared" si="23"/>
        <v/>
      </c>
      <c r="N342" s="5"/>
      <c r="P342" t="s">
        <v>26</v>
      </c>
    </row>
    <row r="343" spans="2:16" x14ac:dyDescent="0.3">
      <c r="B343" s="16"/>
      <c r="C343" s="18"/>
      <c r="D343" s="104"/>
      <c r="E343" s="101"/>
      <c r="F343" s="101"/>
      <c r="G343" s="17" t="str">
        <f t="shared" si="21"/>
        <v/>
      </c>
      <c r="K343" s="2" t="str">
        <f t="shared" si="22"/>
        <v/>
      </c>
      <c r="L343" s="2" t="str">
        <f t="shared" si="24"/>
        <v/>
      </c>
      <c r="M343" s="2" t="str">
        <f t="shared" si="23"/>
        <v/>
      </c>
      <c r="N343" s="5"/>
      <c r="P343" t="s">
        <v>26</v>
      </c>
    </row>
    <row r="344" spans="2:16" x14ac:dyDescent="0.3">
      <c r="B344" s="16"/>
      <c r="C344" s="18"/>
      <c r="D344" s="104"/>
      <c r="E344" s="101"/>
      <c r="F344" s="101"/>
      <c r="G344" s="17" t="str">
        <f t="shared" si="21"/>
        <v/>
      </c>
      <c r="K344" s="2" t="str">
        <f t="shared" si="22"/>
        <v/>
      </c>
      <c r="L344" s="2" t="str">
        <f t="shared" si="24"/>
        <v/>
      </c>
      <c r="M344" s="2" t="str">
        <f t="shared" si="23"/>
        <v/>
      </c>
      <c r="N344" s="5"/>
      <c r="P344" t="s">
        <v>26</v>
      </c>
    </row>
    <row r="345" spans="2:16" x14ac:dyDescent="0.3">
      <c r="B345" s="16"/>
      <c r="C345" s="18"/>
      <c r="D345" s="104"/>
      <c r="E345" s="101"/>
      <c r="F345" s="101"/>
      <c r="G345" s="17" t="str">
        <f t="shared" si="21"/>
        <v/>
      </c>
      <c r="K345" s="2" t="str">
        <f t="shared" si="22"/>
        <v/>
      </c>
      <c r="L345" s="2" t="str">
        <f t="shared" si="24"/>
        <v/>
      </c>
      <c r="M345" s="2" t="str">
        <f t="shared" si="23"/>
        <v/>
      </c>
      <c r="N345" s="5"/>
      <c r="P345" t="s">
        <v>26</v>
      </c>
    </row>
    <row r="346" spans="2:16" x14ac:dyDescent="0.3">
      <c r="B346" s="16"/>
      <c r="C346" s="18"/>
      <c r="D346" s="104"/>
      <c r="E346" s="101"/>
      <c r="F346" s="101"/>
      <c r="G346" s="17" t="str">
        <f t="shared" si="21"/>
        <v/>
      </c>
      <c r="K346" s="2" t="str">
        <f t="shared" si="22"/>
        <v/>
      </c>
      <c r="L346" s="2" t="str">
        <f t="shared" si="24"/>
        <v/>
      </c>
      <c r="M346" s="2" t="str">
        <f t="shared" si="23"/>
        <v/>
      </c>
      <c r="N346" s="5"/>
      <c r="P346" t="s">
        <v>26</v>
      </c>
    </row>
    <row r="347" spans="2:16" x14ac:dyDescent="0.3">
      <c r="B347" s="16"/>
      <c r="C347" s="18"/>
      <c r="D347" s="104"/>
      <c r="E347" s="101"/>
      <c r="F347" s="101"/>
      <c r="G347" s="17" t="str">
        <f t="shared" si="21"/>
        <v/>
      </c>
      <c r="K347" s="2" t="str">
        <f t="shared" si="22"/>
        <v/>
      </c>
      <c r="L347" s="2" t="str">
        <f t="shared" si="24"/>
        <v/>
      </c>
      <c r="M347" s="2" t="str">
        <f t="shared" si="23"/>
        <v/>
      </c>
      <c r="N347" s="5"/>
      <c r="P347" t="s">
        <v>26</v>
      </c>
    </row>
    <row r="348" spans="2:16" x14ac:dyDescent="0.3">
      <c r="B348" s="16"/>
      <c r="C348" s="18"/>
      <c r="D348" s="104"/>
      <c r="E348" s="101"/>
      <c r="F348" s="101"/>
      <c r="G348" s="17" t="str">
        <f t="shared" si="21"/>
        <v/>
      </c>
      <c r="K348" s="2" t="str">
        <f t="shared" si="22"/>
        <v/>
      </c>
      <c r="L348" s="2" t="str">
        <f t="shared" si="24"/>
        <v/>
      </c>
      <c r="M348" s="2" t="str">
        <f t="shared" si="23"/>
        <v/>
      </c>
      <c r="N348" s="5"/>
      <c r="P348" t="s">
        <v>26</v>
      </c>
    </row>
    <row r="349" spans="2:16" x14ac:dyDescent="0.3">
      <c r="B349" s="16"/>
      <c r="C349" s="18"/>
      <c r="D349" s="104"/>
      <c r="E349" s="101"/>
      <c r="F349" s="101"/>
      <c r="G349" s="17" t="str">
        <f t="shared" si="21"/>
        <v/>
      </c>
      <c r="K349" s="2" t="str">
        <f t="shared" si="22"/>
        <v/>
      </c>
      <c r="L349" s="2" t="str">
        <f t="shared" si="24"/>
        <v/>
      </c>
      <c r="M349" s="2" t="str">
        <f t="shared" si="23"/>
        <v/>
      </c>
      <c r="N349" s="5"/>
      <c r="P349" t="s">
        <v>26</v>
      </c>
    </row>
    <row r="350" spans="2:16" x14ac:dyDescent="0.3">
      <c r="B350" s="16"/>
      <c r="C350" s="18"/>
      <c r="D350" s="104"/>
      <c r="E350" s="101"/>
      <c r="F350" s="101"/>
      <c r="G350" s="17" t="str">
        <f t="shared" si="21"/>
        <v/>
      </c>
      <c r="K350" s="2" t="str">
        <f t="shared" si="22"/>
        <v/>
      </c>
      <c r="L350" s="2" t="str">
        <f t="shared" si="24"/>
        <v/>
      </c>
      <c r="M350" s="2" t="str">
        <f t="shared" si="23"/>
        <v/>
      </c>
      <c r="N350" s="5"/>
      <c r="P350" t="s">
        <v>26</v>
      </c>
    </row>
    <row r="351" spans="2:16" x14ac:dyDescent="0.3">
      <c r="B351" s="16"/>
      <c r="C351" s="18"/>
      <c r="D351" s="104"/>
      <c r="E351" s="101"/>
      <c r="F351" s="101"/>
      <c r="G351" s="17" t="str">
        <f t="shared" si="21"/>
        <v/>
      </c>
      <c r="K351" s="2" t="str">
        <f t="shared" si="22"/>
        <v/>
      </c>
      <c r="L351" s="2" t="str">
        <f t="shared" si="24"/>
        <v/>
      </c>
      <c r="M351" s="2" t="str">
        <f t="shared" si="23"/>
        <v/>
      </c>
      <c r="N351" s="5"/>
      <c r="P351" t="s">
        <v>26</v>
      </c>
    </row>
    <row r="352" spans="2:16" x14ac:dyDescent="0.3">
      <c r="B352" s="16"/>
      <c r="C352" s="18"/>
      <c r="D352" s="104"/>
      <c r="E352" s="101"/>
      <c r="F352" s="101"/>
      <c r="G352" s="17" t="str">
        <f t="shared" si="21"/>
        <v/>
      </c>
      <c r="K352" s="2" t="str">
        <f t="shared" si="22"/>
        <v/>
      </c>
      <c r="L352" s="2" t="str">
        <f t="shared" si="24"/>
        <v/>
      </c>
      <c r="M352" s="2" t="str">
        <f t="shared" si="23"/>
        <v/>
      </c>
      <c r="N352" s="5"/>
      <c r="P352" t="s">
        <v>26</v>
      </c>
    </row>
    <row r="353" spans="2:16" x14ac:dyDescent="0.3">
      <c r="B353" s="16"/>
      <c r="C353" s="18"/>
      <c r="D353" s="104"/>
      <c r="E353" s="101"/>
      <c r="F353" s="101"/>
      <c r="G353" s="17" t="str">
        <f t="shared" si="21"/>
        <v/>
      </c>
      <c r="K353" s="2" t="str">
        <f t="shared" si="22"/>
        <v/>
      </c>
      <c r="L353" s="2" t="str">
        <f t="shared" si="24"/>
        <v/>
      </c>
      <c r="M353" s="2" t="str">
        <f t="shared" si="23"/>
        <v/>
      </c>
      <c r="N353" s="5"/>
      <c r="P353" t="s">
        <v>26</v>
      </c>
    </row>
    <row r="354" spans="2:16" x14ac:dyDescent="0.3">
      <c r="B354" s="16"/>
      <c r="C354" s="18"/>
      <c r="D354" s="104"/>
      <c r="E354" s="101"/>
      <c r="F354" s="101"/>
      <c r="G354" s="17" t="str">
        <f t="shared" si="21"/>
        <v/>
      </c>
      <c r="K354" s="2" t="str">
        <f t="shared" si="22"/>
        <v/>
      </c>
      <c r="L354" s="2" t="str">
        <f t="shared" si="24"/>
        <v/>
      </c>
      <c r="M354" s="2" t="str">
        <f t="shared" si="23"/>
        <v/>
      </c>
      <c r="N354" s="5"/>
      <c r="P354" t="s">
        <v>26</v>
      </c>
    </row>
    <row r="355" spans="2:16" x14ac:dyDescent="0.3">
      <c r="B355" s="16"/>
      <c r="C355" s="18"/>
      <c r="D355" s="104"/>
      <c r="E355" s="101"/>
      <c r="F355" s="101"/>
      <c r="G355" s="17" t="str">
        <f t="shared" si="21"/>
        <v/>
      </c>
      <c r="K355" s="2" t="str">
        <f t="shared" si="22"/>
        <v/>
      </c>
      <c r="L355" s="2" t="str">
        <f t="shared" si="24"/>
        <v/>
      </c>
      <c r="M355" s="2" t="str">
        <f t="shared" si="23"/>
        <v/>
      </c>
      <c r="N355" s="5"/>
      <c r="P355" t="s">
        <v>26</v>
      </c>
    </row>
    <row r="356" spans="2:16" x14ac:dyDescent="0.3">
      <c r="B356" s="16"/>
      <c r="C356" s="18"/>
      <c r="D356" s="104"/>
      <c r="E356" s="101"/>
      <c r="F356" s="101"/>
      <c r="G356" s="17" t="str">
        <f t="shared" si="21"/>
        <v/>
      </c>
      <c r="K356" s="2" t="str">
        <f t="shared" si="22"/>
        <v/>
      </c>
      <c r="L356" s="2" t="str">
        <f t="shared" si="24"/>
        <v/>
      </c>
      <c r="M356" s="2" t="str">
        <f t="shared" si="23"/>
        <v/>
      </c>
      <c r="N356" s="5"/>
      <c r="P356" t="s">
        <v>26</v>
      </c>
    </row>
    <row r="357" spans="2:16" x14ac:dyDescent="0.3">
      <c r="B357" s="16"/>
      <c r="C357" s="18"/>
      <c r="D357" s="104"/>
      <c r="E357" s="101"/>
      <c r="F357" s="101"/>
      <c r="G357" s="17" t="str">
        <f t="shared" si="21"/>
        <v/>
      </c>
      <c r="K357" s="2" t="str">
        <f t="shared" si="22"/>
        <v/>
      </c>
      <c r="L357" s="2" t="str">
        <f t="shared" si="24"/>
        <v/>
      </c>
      <c r="M357" s="2" t="str">
        <f t="shared" si="23"/>
        <v/>
      </c>
      <c r="N357" s="5"/>
      <c r="P357" t="s">
        <v>26</v>
      </c>
    </row>
    <row r="358" spans="2:16" x14ac:dyDescent="0.3">
      <c r="B358" s="16"/>
      <c r="C358" s="18"/>
      <c r="D358" s="104"/>
      <c r="E358" s="101"/>
      <c r="F358" s="101"/>
      <c r="G358" s="17" t="str">
        <f t="shared" si="21"/>
        <v/>
      </c>
      <c r="K358" s="2" t="str">
        <f t="shared" si="22"/>
        <v/>
      </c>
      <c r="L358" s="2" t="str">
        <f t="shared" si="24"/>
        <v/>
      </c>
      <c r="M358" s="2" t="str">
        <f t="shared" si="23"/>
        <v/>
      </c>
      <c r="N358" s="5"/>
      <c r="P358" t="s">
        <v>26</v>
      </c>
    </row>
    <row r="359" spans="2:16" x14ac:dyDescent="0.3">
      <c r="B359" s="16"/>
      <c r="C359" s="18"/>
      <c r="D359" s="104"/>
      <c r="E359" s="101"/>
      <c r="F359" s="101"/>
      <c r="G359" s="17" t="str">
        <f t="shared" si="21"/>
        <v/>
      </c>
      <c r="K359" s="2" t="str">
        <f t="shared" si="22"/>
        <v/>
      </c>
      <c r="L359" s="2" t="str">
        <f t="shared" si="24"/>
        <v/>
      </c>
      <c r="M359" s="2" t="str">
        <f t="shared" si="23"/>
        <v/>
      </c>
      <c r="N359" s="5"/>
      <c r="P359" t="s">
        <v>26</v>
      </c>
    </row>
    <row r="360" spans="2:16" x14ac:dyDescent="0.3">
      <c r="B360" s="16"/>
      <c r="C360" s="18"/>
      <c r="D360" s="104"/>
      <c r="E360" s="101"/>
      <c r="F360" s="101"/>
      <c r="G360" s="17" t="str">
        <f t="shared" si="21"/>
        <v/>
      </c>
      <c r="K360" s="2" t="str">
        <f t="shared" si="22"/>
        <v/>
      </c>
      <c r="L360" s="2" t="str">
        <f t="shared" si="24"/>
        <v/>
      </c>
      <c r="M360" s="2" t="str">
        <f t="shared" si="23"/>
        <v/>
      </c>
      <c r="N360" s="5"/>
      <c r="P360" t="s">
        <v>26</v>
      </c>
    </row>
    <row r="361" spans="2:16" x14ac:dyDescent="0.3">
      <c r="B361" s="16"/>
      <c r="C361" s="18"/>
      <c r="D361" s="104"/>
      <c r="E361" s="101"/>
      <c r="F361" s="101"/>
      <c r="G361" s="17" t="str">
        <f t="shared" si="21"/>
        <v/>
      </c>
      <c r="K361" s="2" t="str">
        <f t="shared" si="22"/>
        <v/>
      </c>
      <c r="L361" s="2" t="str">
        <f t="shared" si="24"/>
        <v/>
      </c>
      <c r="M361" s="2" t="str">
        <f t="shared" si="23"/>
        <v/>
      </c>
      <c r="N361" s="5"/>
      <c r="P361" t="s">
        <v>26</v>
      </c>
    </row>
    <row r="362" spans="2:16" x14ac:dyDescent="0.3">
      <c r="B362" s="16"/>
      <c r="C362" s="18"/>
      <c r="D362" s="104"/>
      <c r="E362" s="101"/>
      <c r="F362" s="101"/>
      <c r="G362" s="17" t="str">
        <f t="shared" si="21"/>
        <v/>
      </c>
      <c r="K362" s="2" t="str">
        <f t="shared" si="22"/>
        <v/>
      </c>
      <c r="L362" s="2" t="str">
        <f t="shared" si="24"/>
        <v/>
      </c>
      <c r="M362" s="2" t="str">
        <f t="shared" si="23"/>
        <v/>
      </c>
      <c r="N362" s="5"/>
      <c r="P362" t="s">
        <v>26</v>
      </c>
    </row>
    <row r="363" spans="2:16" x14ac:dyDescent="0.3">
      <c r="B363" s="16"/>
      <c r="C363" s="18"/>
      <c r="D363" s="104"/>
      <c r="E363" s="101"/>
      <c r="F363" s="101"/>
      <c r="G363" s="17" t="str">
        <f t="shared" si="21"/>
        <v/>
      </c>
      <c r="K363" s="2" t="str">
        <f t="shared" si="22"/>
        <v/>
      </c>
      <c r="L363" s="2" t="str">
        <f t="shared" si="24"/>
        <v/>
      </c>
      <c r="M363" s="2" t="str">
        <f t="shared" si="23"/>
        <v/>
      </c>
      <c r="N363" s="5"/>
      <c r="P363" t="s">
        <v>26</v>
      </c>
    </row>
    <row r="364" spans="2:16" x14ac:dyDescent="0.3">
      <c r="B364" s="16"/>
      <c r="C364" s="18"/>
      <c r="D364" s="104"/>
      <c r="E364" s="101"/>
      <c r="F364" s="101"/>
      <c r="G364" s="17" t="str">
        <f t="shared" si="21"/>
        <v/>
      </c>
      <c r="K364" s="2" t="str">
        <f t="shared" si="22"/>
        <v/>
      </c>
      <c r="L364" s="2" t="str">
        <f t="shared" si="24"/>
        <v/>
      </c>
      <c r="M364" s="2" t="str">
        <f t="shared" si="23"/>
        <v/>
      </c>
      <c r="N364" s="5"/>
      <c r="P364" t="s">
        <v>26</v>
      </c>
    </row>
    <row r="365" spans="2:16" x14ac:dyDescent="0.3">
      <c r="B365" s="16"/>
      <c r="C365" s="18"/>
      <c r="D365" s="104"/>
      <c r="E365" s="101"/>
      <c r="F365" s="101"/>
      <c r="G365" s="17" t="str">
        <f t="shared" si="21"/>
        <v/>
      </c>
      <c r="K365" s="2" t="str">
        <f t="shared" si="22"/>
        <v/>
      </c>
      <c r="L365" s="2" t="str">
        <f t="shared" si="24"/>
        <v/>
      </c>
      <c r="M365" s="2" t="str">
        <f t="shared" si="23"/>
        <v/>
      </c>
      <c r="N365" s="5"/>
      <c r="P365" t="s">
        <v>26</v>
      </c>
    </row>
    <row r="366" spans="2:16" x14ac:dyDescent="0.3">
      <c r="B366" s="16"/>
      <c r="C366" s="18"/>
      <c r="D366" s="104"/>
      <c r="E366" s="101"/>
      <c r="F366" s="101"/>
      <c r="G366" s="17" t="str">
        <f t="shared" si="21"/>
        <v/>
      </c>
      <c r="K366" s="2" t="str">
        <f t="shared" si="22"/>
        <v/>
      </c>
      <c r="L366" s="2" t="str">
        <f t="shared" si="24"/>
        <v/>
      </c>
      <c r="M366" s="2" t="str">
        <f t="shared" si="23"/>
        <v/>
      </c>
      <c r="N366" s="5"/>
      <c r="P366" t="s">
        <v>26</v>
      </c>
    </row>
    <row r="367" spans="2:16" x14ac:dyDescent="0.3">
      <c r="B367" s="16"/>
      <c r="C367" s="18"/>
      <c r="D367" s="104"/>
      <c r="E367" s="101"/>
      <c r="F367" s="101"/>
      <c r="G367" s="17" t="str">
        <f t="shared" si="21"/>
        <v/>
      </c>
      <c r="K367" s="2" t="str">
        <f t="shared" si="22"/>
        <v/>
      </c>
      <c r="L367" s="2" t="str">
        <f t="shared" si="24"/>
        <v/>
      </c>
      <c r="M367" s="2" t="str">
        <f t="shared" si="23"/>
        <v/>
      </c>
      <c r="N367" s="5"/>
      <c r="P367" t="s">
        <v>26</v>
      </c>
    </row>
    <row r="368" spans="2:16" x14ac:dyDescent="0.3">
      <c r="B368" s="16"/>
      <c r="C368" s="18"/>
      <c r="D368" s="104"/>
      <c r="E368" s="101"/>
      <c r="F368" s="101"/>
      <c r="G368" s="17" t="str">
        <f t="shared" si="21"/>
        <v/>
      </c>
      <c r="K368" s="2" t="str">
        <f t="shared" si="22"/>
        <v/>
      </c>
      <c r="L368" s="2" t="str">
        <f t="shared" si="24"/>
        <v/>
      </c>
      <c r="M368" s="2" t="str">
        <f t="shared" si="23"/>
        <v/>
      </c>
      <c r="N368" s="5"/>
      <c r="P368" t="s">
        <v>26</v>
      </c>
    </row>
    <row r="369" spans="2:16" x14ac:dyDescent="0.3">
      <c r="B369" s="16"/>
      <c r="C369" s="18"/>
      <c r="D369" s="104"/>
      <c r="E369" s="101"/>
      <c r="F369" s="101"/>
      <c r="G369" s="17" t="str">
        <f t="shared" si="21"/>
        <v/>
      </c>
      <c r="K369" s="2" t="str">
        <f t="shared" si="22"/>
        <v/>
      </c>
      <c r="L369" s="2" t="str">
        <f t="shared" si="24"/>
        <v/>
      </c>
      <c r="M369" s="2" t="str">
        <f t="shared" si="23"/>
        <v/>
      </c>
      <c r="N369" s="5"/>
      <c r="P369" t="s">
        <v>26</v>
      </c>
    </row>
    <row r="370" spans="2:16" x14ac:dyDescent="0.3">
      <c r="B370" s="16"/>
      <c r="C370" s="18"/>
      <c r="D370" s="104"/>
      <c r="E370" s="101"/>
      <c r="F370" s="101"/>
      <c r="G370" s="17" t="str">
        <f t="shared" si="21"/>
        <v/>
      </c>
      <c r="K370" s="2" t="str">
        <f t="shared" si="22"/>
        <v/>
      </c>
      <c r="L370" s="2" t="str">
        <f t="shared" si="24"/>
        <v/>
      </c>
      <c r="M370" s="2" t="str">
        <f t="shared" si="23"/>
        <v/>
      </c>
      <c r="N370" s="5"/>
      <c r="P370" t="s">
        <v>26</v>
      </c>
    </row>
    <row r="371" spans="2:16" x14ac:dyDescent="0.3">
      <c r="B371" s="16"/>
      <c r="C371" s="18"/>
      <c r="D371" s="104"/>
      <c r="E371" s="101"/>
      <c r="F371" s="101"/>
      <c r="G371" s="17" t="str">
        <f t="shared" si="21"/>
        <v/>
      </c>
      <c r="K371" s="2" t="str">
        <f t="shared" si="22"/>
        <v/>
      </c>
      <c r="L371" s="2" t="str">
        <f t="shared" si="24"/>
        <v/>
      </c>
      <c r="M371" s="2" t="str">
        <f t="shared" si="23"/>
        <v/>
      </c>
      <c r="N371" s="5"/>
      <c r="P371" t="s">
        <v>26</v>
      </c>
    </row>
    <row r="372" spans="2:16" x14ac:dyDescent="0.3">
      <c r="B372" s="16"/>
      <c r="C372" s="18"/>
      <c r="D372" s="104"/>
      <c r="E372" s="101"/>
      <c r="F372" s="101"/>
      <c r="G372" s="17" t="str">
        <f t="shared" si="21"/>
        <v/>
      </c>
      <c r="K372" s="2" t="str">
        <f t="shared" si="22"/>
        <v/>
      </c>
      <c r="L372" s="2" t="str">
        <f t="shared" si="24"/>
        <v/>
      </c>
      <c r="M372" s="2" t="str">
        <f t="shared" si="23"/>
        <v/>
      </c>
      <c r="N372" s="5"/>
      <c r="P372" t="s">
        <v>26</v>
      </c>
    </row>
    <row r="373" spans="2:16" x14ac:dyDescent="0.3">
      <c r="B373" s="16"/>
      <c r="C373" s="18"/>
      <c r="D373" s="104"/>
      <c r="E373" s="101"/>
      <c r="F373" s="101"/>
      <c r="G373" s="17" t="str">
        <f t="shared" si="21"/>
        <v/>
      </c>
      <c r="K373" s="2" t="str">
        <f t="shared" si="22"/>
        <v/>
      </c>
      <c r="L373" s="2" t="str">
        <f t="shared" si="24"/>
        <v/>
      </c>
      <c r="M373" s="2" t="str">
        <f t="shared" si="23"/>
        <v/>
      </c>
      <c r="N373" s="5"/>
      <c r="P373" t="s">
        <v>26</v>
      </c>
    </row>
    <row r="374" spans="2:16" x14ac:dyDescent="0.3">
      <c r="B374" s="16"/>
      <c r="C374" s="18"/>
      <c r="D374" s="104"/>
      <c r="E374" s="101"/>
      <c r="F374" s="101"/>
      <c r="G374" s="17" t="str">
        <f t="shared" si="21"/>
        <v/>
      </c>
      <c r="K374" s="2" t="str">
        <f t="shared" si="22"/>
        <v/>
      </c>
      <c r="L374" s="2" t="str">
        <f t="shared" si="24"/>
        <v/>
      </c>
      <c r="M374" s="2" t="str">
        <f t="shared" si="23"/>
        <v/>
      </c>
      <c r="N374" s="5"/>
      <c r="P374" t="s">
        <v>26</v>
      </c>
    </row>
    <row r="375" spans="2:16" x14ac:dyDescent="0.3">
      <c r="B375" s="16"/>
      <c r="C375" s="18"/>
      <c r="D375" s="104"/>
      <c r="E375" s="101"/>
      <c r="F375" s="101"/>
      <c r="G375" s="17" t="str">
        <f t="shared" si="21"/>
        <v/>
      </c>
      <c r="K375" s="2" t="str">
        <f t="shared" si="22"/>
        <v/>
      </c>
      <c r="L375" s="2" t="str">
        <f t="shared" si="24"/>
        <v/>
      </c>
      <c r="M375" s="2" t="str">
        <f t="shared" si="23"/>
        <v/>
      </c>
      <c r="N375" s="5"/>
      <c r="P375" t="s">
        <v>26</v>
      </c>
    </row>
    <row r="376" spans="2:16" x14ac:dyDescent="0.3">
      <c r="B376" s="16"/>
      <c r="C376" s="18"/>
      <c r="D376" s="104"/>
      <c r="E376" s="101"/>
      <c r="F376" s="101"/>
      <c r="G376" s="17" t="str">
        <f t="shared" si="21"/>
        <v/>
      </c>
      <c r="K376" s="2" t="str">
        <f t="shared" si="22"/>
        <v/>
      </c>
      <c r="L376" s="2" t="str">
        <f t="shared" si="24"/>
        <v/>
      </c>
      <c r="M376" s="2" t="str">
        <f t="shared" si="23"/>
        <v/>
      </c>
      <c r="N376" s="5"/>
      <c r="P376" t="s">
        <v>26</v>
      </c>
    </row>
    <row r="377" spans="2:16" x14ac:dyDescent="0.3">
      <c r="B377" s="16"/>
      <c r="C377" s="18"/>
      <c r="D377" s="104"/>
      <c r="E377" s="101"/>
      <c r="F377" s="101"/>
      <c r="G377" s="17" t="str">
        <f t="shared" si="21"/>
        <v/>
      </c>
      <c r="K377" s="2" t="str">
        <f t="shared" si="22"/>
        <v/>
      </c>
      <c r="L377" s="2" t="str">
        <f t="shared" si="24"/>
        <v/>
      </c>
      <c r="M377" s="2" t="str">
        <f t="shared" si="23"/>
        <v/>
      </c>
      <c r="N377" s="5"/>
      <c r="P377" t="s">
        <v>26</v>
      </c>
    </row>
    <row r="378" spans="2:16" x14ac:dyDescent="0.3">
      <c r="B378" s="16"/>
      <c r="C378" s="18"/>
      <c r="D378" s="104"/>
      <c r="E378" s="101"/>
      <c r="F378" s="101"/>
      <c r="G378" s="17" t="str">
        <f t="shared" si="21"/>
        <v/>
      </c>
      <c r="K378" s="2" t="str">
        <f t="shared" si="22"/>
        <v/>
      </c>
      <c r="L378" s="2" t="str">
        <f t="shared" si="24"/>
        <v/>
      </c>
      <c r="M378" s="2" t="str">
        <f t="shared" si="23"/>
        <v/>
      </c>
      <c r="N378" s="5"/>
      <c r="P378" t="s">
        <v>26</v>
      </c>
    </row>
    <row r="379" spans="2:16" x14ac:dyDescent="0.3">
      <c r="B379" s="16"/>
      <c r="C379" s="18"/>
      <c r="D379" s="104"/>
      <c r="E379" s="101"/>
      <c r="F379" s="101"/>
      <c r="G379" s="17" t="str">
        <f t="shared" si="21"/>
        <v/>
      </c>
      <c r="K379" s="2" t="str">
        <f t="shared" si="22"/>
        <v/>
      </c>
      <c r="L379" s="2" t="str">
        <f t="shared" si="24"/>
        <v/>
      </c>
      <c r="M379" s="2" t="str">
        <f t="shared" si="23"/>
        <v/>
      </c>
      <c r="N379" s="5"/>
      <c r="P379" t="s">
        <v>26</v>
      </c>
    </row>
    <row r="380" spans="2:16" x14ac:dyDescent="0.3">
      <c r="B380" s="16"/>
      <c r="C380" s="18"/>
      <c r="D380" s="104"/>
      <c r="E380" s="101"/>
      <c r="F380" s="101"/>
      <c r="G380" s="17" t="str">
        <f t="shared" si="21"/>
        <v/>
      </c>
      <c r="K380" s="2" t="str">
        <f t="shared" si="22"/>
        <v/>
      </c>
      <c r="L380" s="2" t="str">
        <f t="shared" si="24"/>
        <v/>
      </c>
      <c r="M380" s="2" t="str">
        <f t="shared" si="23"/>
        <v/>
      </c>
      <c r="N380" s="5"/>
      <c r="P380" t="s">
        <v>26</v>
      </c>
    </row>
    <row r="381" spans="2:16" x14ac:dyDescent="0.3">
      <c r="B381" s="16"/>
      <c r="C381" s="18"/>
      <c r="D381" s="104"/>
      <c r="E381" s="101"/>
      <c r="F381" s="101"/>
      <c r="G381" s="17" t="str">
        <f t="shared" si="21"/>
        <v/>
      </c>
      <c r="K381" s="2" t="str">
        <f t="shared" si="22"/>
        <v/>
      </c>
      <c r="L381" s="2" t="str">
        <f t="shared" si="24"/>
        <v/>
      </c>
      <c r="M381" s="2" t="str">
        <f t="shared" si="23"/>
        <v/>
      </c>
      <c r="N381" s="5"/>
      <c r="P381" t="s">
        <v>26</v>
      </c>
    </row>
    <row r="382" spans="2:16" x14ac:dyDescent="0.3">
      <c r="B382" s="16"/>
      <c r="C382" s="18"/>
      <c r="D382" s="104"/>
      <c r="E382" s="101"/>
      <c r="F382" s="101"/>
      <c r="G382" s="17" t="str">
        <f t="shared" si="21"/>
        <v/>
      </c>
      <c r="K382" s="2" t="str">
        <f t="shared" si="22"/>
        <v/>
      </c>
      <c r="L382" s="2" t="str">
        <f t="shared" si="24"/>
        <v/>
      </c>
      <c r="M382" s="2" t="str">
        <f t="shared" si="23"/>
        <v/>
      </c>
      <c r="N382" s="5"/>
      <c r="P382" t="s">
        <v>26</v>
      </c>
    </row>
    <row r="383" spans="2:16" x14ac:dyDescent="0.3">
      <c r="B383" s="16"/>
      <c r="C383" s="18"/>
      <c r="D383" s="104"/>
      <c r="E383" s="101"/>
      <c r="F383" s="101"/>
      <c r="G383" s="17" t="str">
        <f t="shared" si="21"/>
        <v/>
      </c>
      <c r="K383" s="2" t="str">
        <f t="shared" si="22"/>
        <v/>
      </c>
      <c r="L383" s="2" t="str">
        <f t="shared" si="24"/>
        <v/>
      </c>
      <c r="M383" s="2" t="str">
        <f t="shared" si="23"/>
        <v/>
      </c>
      <c r="N383" s="5"/>
      <c r="P383" t="s">
        <v>26</v>
      </c>
    </row>
    <row r="384" spans="2:16" x14ac:dyDescent="0.3">
      <c r="B384" s="16"/>
      <c r="C384" s="18"/>
      <c r="D384" s="104"/>
      <c r="E384" s="101"/>
      <c r="F384" s="101"/>
      <c r="G384" s="17" t="str">
        <f t="shared" si="21"/>
        <v/>
      </c>
      <c r="K384" s="2" t="str">
        <f t="shared" si="22"/>
        <v/>
      </c>
      <c r="L384" s="2" t="str">
        <f t="shared" si="24"/>
        <v/>
      </c>
      <c r="M384" s="2" t="str">
        <f t="shared" si="23"/>
        <v/>
      </c>
      <c r="N384" s="5"/>
      <c r="P384" t="s">
        <v>26</v>
      </c>
    </row>
    <row r="385" spans="2:16" x14ac:dyDescent="0.3">
      <c r="B385" s="16"/>
      <c r="C385" s="18"/>
      <c r="D385" s="104"/>
      <c r="E385" s="101"/>
      <c r="F385" s="101"/>
      <c r="G385" s="17" t="str">
        <f t="shared" si="21"/>
        <v/>
      </c>
      <c r="K385" s="2" t="str">
        <f t="shared" si="22"/>
        <v/>
      </c>
      <c r="L385" s="2" t="str">
        <f t="shared" si="24"/>
        <v/>
      </c>
      <c r="M385" s="2" t="str">
        <f t="shared" si="23"/>
        <v/>
      </c>
      <c r="N385" s="5"/>
      <c r="P385" t="s">
        <v>26</v>
      </c>
    </row>
    <row r="386" spans="2:16" x14ac:dyDescent="0.3">
      <c r="B386" s="16"/>
      <c r="C386" s="18"/>
      <c r="D386" s="104"/>
      <c r="E386" s="101"/>
      <c r="F386" s="101"/>
      <c r="G386" s="17" t="str">
        <f t="shared" si="21"/>
        <v/>
      </c>
      <c r="K386" s="2" t="str">
        <f t="shared" si="22"/>
        <v/>
      </c>
      <c r="L386" s="2" t="str">
        <f t="shared" si="24"/>
        <v/>
      </c>
      <c r="M386" s="2" t="str">
        <f t="shared" si="23"/>
        <v/>
      </c>
      <c r="N386" s="5"/>
      <c r="P386" t="s">
        <v>26</v>
      </c>
    </row>
    <row r="387" spans="2:16" x14ac:dyDescent="0.3">
      <c r="B387" s="16"/>
      <c r="C387" s="18"/>
      <c r="D387" s="104"/>
      <c r="E387" s="101"/>
      <c r="F387" s="101"/>
      <c r="G387" s="17" t="str">
        <f t="shared" si="21"/>
        <v/>
      </c>
      <c r="K387" s="2" t="str">
        <f t="shared" si="22"/>
        <v/>
      </c>
      <c r="L387" s="2" t="str">
        <f t="shared" si="24"/>
        <v/>
      </c>
      <c r="M387" s="2" t="str">
        <f t="shared" si="23"/>
        <v/>
      </c>
      <c r="N387" s="5"/>
      <c r="P387" t="s">
        <v>26</v>
      </c>
    </row>
    <row r="388" spans="2:16" x14ac:dyDescent="0.3">
      <c r="B388" s="16"/>
      <c r="C388" s="18"/>
      <c r="D388" s="104"/>
      <c r="E388" s="101"/>
      <c r="F388" s="101"/>
      <c r="G388" s="17" t="str">
        <f t="shared" ref="G388:G451" si="25">IF(AND(D388=E388,E388=F388),"",IF(AND(F388="",D388=E388),"",IF(AND(D388="",E388=F388),"",IF(AND(E388="",D388=F388),"",""))))</f>
        <v/>
      </c>
      <c r="K388" s="2" t="str">
        <f t="shared" ref="K388:K451" si="26">IF(D388="","",+D388)</f>
        <v/>
      </c>
      <c r="L388" s="2" t="str">
        <f t="shared" si="24"/>
        <v/>
      </c>
      <c r="M388" s="2" t="str">
        <f t="shared" ref="M388:M451" si="27">IF(B388="","",IF(COUNTIF($K$3:$K$295,K388)&gt;1,"동명",""))</f>
        <v/>
      </c>
      <c r="N388" s="5"/>
      <c r="P388" t="s">
        <v>26</v>
      </c>
    </row>
    <row r="389" spans="2:16" x14ac:dyDescent="0.3">
      <c r="B389" s="16"/>
      <c r="C389" s="18"/>
      <c r="D389" s="104"/>
      <c r="E389" s="101"/>
      <c r="F389" s="101"/>
      <c r="G389" s="17" t="str">
        <f t="shared" si="25"/>
        <v/>
      </c>
      <c r="K389" s="2" t="str">
        <f t="shared" si="26"/>
        <v/>
      </c>
      <c r="L389" s="2" t="str">
        <f t="shared" si="24"/>
        <v/>
      </c>
      <c r="M389" s="2" t="str">
        <f t="shared" si="27"/>
        <v/>
      </c>
      <c r="N389" s="5"/>
      <c r="P389" t="s">
        <v>26</v>
      </c>
    </row>
    <row r="390" spans="2:16" x14ac:dyDescent="0.3">
      <c r="B390" s="16"/>
      <c r="C390" s="18"/>
      <c r="D390" s="104"/>
      <c r="E390" s="101"/>
      <c r="F390" s="101"/>
      <c r="G390" s="17" t="str">
        <f t="shared" si="25"/>
        <v/>
      </c>
      <c r="K390" s="2" t="str">
        <f t="shared" si="26"/>
        <v/>
      </c>
      <c r="L390" s="2" t="str">
        <f t="shared" ref="L390:L453" si="28">RIGHT(K390,2)</f>
        <v/>
      </c>
      <c r="M390" s="2" t="str">
        <f t="shared" si="27"/>
        <v/>
      </c>
      <c r="N390" s="5"/>
      <c r="P390" t="s">
        <v>26</v>
      </c>
    </row>
    <row r="391" spans="2:16" x14ac:dyDescent="0.3">
      <c r="B391" s="16"/>
      <c r="C391" s="18"/>
      <c r="D391" s="104"/>
      <c r="E391" s="101"/>
      <c r="F391" s="101"/>
      <c r="G391" s="17" t="str">
        <f t="shared" si="25"/>
        <v/>
      </c>
      <c r="K391" s="2" t="str">
        <f t="shared" si="26"/>
        <v/>
      </c>
      <c r="L391" s="2" t="str">
        <f t="shared" si="28"/>
        <v/>
      </c>
      <c r="M391" s="2" t="str">
        <f t="shared" si="27"/>
        <v/>
      </c>
      <c r="N391" s="5"/>
      <c r="P391" t="s">
        <v>26</v>
      </c>
    </row>
    <row r="392" spans="2:16" x14ac:dyDescent="0.3">
      <c r="B392" s="16"/>
      <c r="C392" s="18"/>
      <c r="D392" s="104"/>
      <c r="E392" s="101"/>
      <c r="F392" s="101"/>
      <c r="G392" s="17" t="str">
        <f t="shared" si="25"/>
        <v/>
      </c>
      <c r="K392" s="2" t="str">
        <f t="shared" si="26"/>
        <v/>
      </c>
      <c r="L392" s="2" t="str">
        <f t="shared" si="28"/>
        <v/>
      </c>
      <c r="M392" s="2" t="str">
        <f t="shared" si="27"/>
        <v/>
      </c>
      <c r="N392" s="5"/>
      <c r="P392" t="s">
        <v>26</v>
      </c>
    </row>
    <row r="393" spans="2:16" x14ac:dyDescent="0.3">
      <c r="B393" s="16"/>
      <c r="C393" s="18"/>
      <c r="D393" s="104"/>
      <c r="E393" s="101"/>
      <c r="F393" s="101"/>
      <c r="G393" s="17" t="str">
        <f t="shared" si="25"/>
        <v/>
      </c>
      <c r="K393" s="2" t="str">
        <f t="shared" si="26"/>
        <v/>
      </c>
      <c r="L393" s="2" t="str">
        <f t="shared" si="28"/>
        <v/>
      </c>
      <c r="M393" s="2" t="str">
        <f t="shared" si="27"/>
        <v/>
      </c>
      <c r="N393" s="5"/>
      <c r="P393" t="s">
        <v>26</v>
      </c>
    </row>
    <row r="394" spans="2:16" x14ac:dyDescent="0.3">
      <c r="B394" s="16"/>
      <c r="C394" s="18"/>
      <c r="D394" s="104"/>
      <c r="E394" s="101"/>
      <c r="F394" s="101"/>
      <c r="G394" s="17" t="str">
        <f t="shared" si="25"/>
        <v/>
      </c>
      <c r="K394" s="2" t="str">
        <f t="shared" si="26"/>
        <v/>
      </c>
      <c r="L394" s="2" t="str">
        <f t="shared" si="28"/>
        <v/>
      </c>
      <c r="M394" s="2" t="str">
        <f t="shared" si="27"/>
        <v/>
      </c>
      <c r="N394" s="5"/>
      <c r="P394" t="s">
        <v>26</v>
      </c>
    </row>
    <row r="395" spans="2:16" x14ac:dyDescent="0.3">
      <c r="B395" s="16"/>
      <c r="C395" s="18"/>
      <c r="D395" s="104"/>
      <c r="E395" s="101"/>
      <c r="F395" s="101"/>
      <c r="G395" s="17" t="str">
        <f t="shared" si="25"/>
        <v/>
      </c>
      <c r="K395" s="2" t="str">
        <f t="shared" si="26"/>
        <v/>
      </c>
      <c r="L395" s="2" t="str">
        <f t="shared" si="28"/>
        <v/>
      </c>
      <c r="M395" s="2" t="str">
        <f t="shared" si="27"/>
        <v/>
      </c>
      <c r="N395" s="5"/>
      <c r="P395" t="s">
        <v>26</v>
      </c>
    </row>
    <row r="396" spans="2:16" x14ac:dyDescent="0.3">
      <c r="B396" s="16"/>
      <c r="C396" s="18"/>
      <c r="D396" s="104"/>
      <c r="E396" s="101"/>
      <c r="F396" s="101"/>
      <c r="G396" s="17" t="str">
        <f t="shared" si="25"/>
        <v/>
      </c>
      <c r="K396" s="2" t="str">
        <f t="shared" si="26"/>
        <v/>
      </c>
      <c r="L396" s="2" t="str">
        <f t="shared" si="28"/>
        <v/>
      </c>
      <c r="M396" s="2" t="str">
        <f t="shared" si="27"/>
        <v/>
      </c>
      <c r="N396" s="5"/>
      <c r="P396" t="s">
        <v>26</v>
      </c>
    </row>
    <row r="397" spans="2:16" x14ac:dyDescent="0.3">
      <c r="B397" s="16"/>
      <c r="C397" s="18"/>
      <c r="D397" s="104"/>
      <c r="E397" s="101"/>
      <c r="F397" s="101"/>
      <c r="G397" s="17" t="str">
        <f t="shared" si="25"/>
        <v/>
      </c>
      <c r="K397" s="2" t="str">
        <f t="shared" si="26"/>
        <v/>
      </c>
      <c r="L397" s="2" t="str">
        <f t="shared" si="28"/>
        <v/>
      </c>
      <c r="M397" s="2" t="str">
        <f t="shared" si="27"/>
        <v/>
      </c>
      <c r="N397" s="5"/>
      <c r="P397" t="s">
        <v>26</v>
      </c>
    </row>
    <row r="398" spans="2:16" x14ac:dyDescent="0.3">
      <c r="B398" s="16"/>
      <c r="C398" s="18"/>
      <c r="D398" s="104"/>
      <c r="E398" s="101"/>
      <c r="F398" s="101"/>
      <c r="G398" s="17" t="str">
        <f t="shared" si="25"/>
        <v/>
      </c>
      <c r="K398" s="2" t="str">
        <f t="shared" si="26"/>
        <v/>
      </c>
      <c r="L398" s="2" t="str">
        <f t="shared" si="28"/>
        <v/>
      </c>
      <c r="M398" s="2" t="str">
        <f t="shared" si="27"/>
        <v/>
      </c>
      <c r="N398" s="5"/>
      <c r="P398" t="s">
        <v>26</v>
      </c>
    </row>
    <row r="399" spans="2:16" x14ac:dyDescent="0.3">
      <c r="B399" s="16"/>
      <c r="C399" s="18"/>
      <c r="D399" s="104"/>
      <c r="E399" s="101"/>
      <c r="F399" s="101"/>
      <c r="G399" s="17" t="str">
        <f t="shared" si="25"/>
        <v/>
      </c>
      <c r="K399" s="2" t="str">
        <f t="shared" si="26"/>
        <v/>
      </c>
      <c r="L399" s="2" t="str">
        <f t="shared" si="28"/>
        <v/>
      </c>
      <c r="M399" s="2" t="str">
        <f t="shared" si="27"/>
        <v/>
      </c>
      <c r="N399" s="5"/>
      <c r="P399" t="s">
        <v>26</v>
      </c>
    </row>
    <row r="400" spans="2:16" x14ac:dyDescent="0.3">
      <c r="B400" s="16"/>
      <c r="C400" s="18"/>
      <c r="D400" s="104"/>
      <c r="E400" s="101"/>
      <c r="F400" s="101"/>
      <c r="G400" s="17" t="str">
        <f t="shared" si="25"/>
        <v/>
      </c>
      <c r="K400" s="2" t="str">
        <f t="shared" si="26"/>
        <v/>
      </c>
      <c r="L400" s="2" t="str">
        <f t="shared" si="28"/>
        <v/>
      </c>
      <c r="M400" s="2" t="str">
        <f t="shared" si="27"/>
        <v/>
      </c>
      <c r="N400" s="5"/>
      <c r="P400" t="s">
        <v>26</v>
      </c>
    </row>
    <row r="401" spans="2:16" x14ac:dyDescent="0.3">
      <c r="B401" s="16"/>
      <c r="C401" s="18"/>
      <c r="D401" s="104"/>
      <c r="E401" s="101"/>
      <c r="F401" s="101"/>
      <c r="G401" s="17" t="str">
        <f t="shared" si="25"/>
        <v/>
      </c>
      <c r="K401" s="2" t="str">
        <f t="shared" si="26"/>
        <v/>
      </c>
      <c r="L401" s="2" t="str">
        <f t="shared" si="28"/>
        <v/>
      </c>
      <c r="M401" s="2" t="str">
        <f t="shared" si="27"/>
        <v/>
      </c>
      <c r="N401" s="5"/>
      <c r="P401" t="s">
        <v>26</v>
      </c>
    </row>
    <row r="402" spans="2:16" x14ac:dyDescent="0.3">
      <c r="B402" s="16"/>
      <c r="C402" s="18"/>
      <c r="D402" s="104"/>
      <c r="E402" s="101"/>
      <c r="F402" s="101"/>
      <c r="G402" s="17" t="str">
        <f t="shared" si="25"/>
        <v/>
      </c>
      <c r="K402" s="2" t="str">
        <f t="shared" si="26"/>
        <v/>
      </c>
      <c r="L402" s="2" t="str">
        <f t="shared" si="28"/>
        <v/>
      </c>
      <c r="M402" s="2" t="str">
        <f t="shared" si="27"/>
        <v/>
      </c>
      <c r="N402" s="5"/>
      <c r="P402" t="s">
        <v>26</v>
      </c>
    </row>
    <row r="403" spans="2:16" x14ac:dyDescent="0.3">
      <c r="B403" s="16"/>
      <c r="C403" s="18"/>
      <c r="D403" s="104"/>
      <c r="E403" s="101"/>
      <c r="F403" s="101"/>
      <c r="G403" s="17" t="str">
        <f t="shared" si="25"/>
        <v/>
      </c>
      <c r="K403" s="2" t="str">
        <f t="shared" si="26"/>
        <v/>
      </c>
      <c r="L403" s="2" t="str">
        <f t="shared" si="28"/>
        <v/>
      </c>
      <c r="M403" s="2" t="str">
        <f t="shared" si="27"/>
        <v/>
      </c>
      <c r="N403" s="5"/>
      <c r="P403" t="s">
        <v>26</v>
      </c>
    </row>
    <row r="404" spans="2:16" x14ac:dyDescent="0.3">
      <c r="B404" s="16"/>
      <c r="C404" s="18"/>
      <c r="D404" s="104"/>
      <c r="E404" s="101"/>
      <c r="F404" s="101"/>
      <c r="G404" s="17" t="str">
        <f t="shared" si="25"/>
        <v/>
      </c>
      <c r="K404" s="2" t="str">
        <f t="shared" si="26"/>
        <v/>
      </c>
      <c r="L404" s="2" t="str">
        <f t="shared" si="28"/>
        <v/>
      </c>
      <c r="M404" s="2" t="str">
        <f t="shared" si="27"/>
        <v/>
      </c>
      <c r="N404" s="5"/>
      <c r="P404" t="s">
        <v>26</v>
      </c>
    </row>
    <row r="405" spans="2:16" x14ac:dyDescent="0.3">
      <c r="B405" s="16"/>
      <c r="C405" s="18"/>
      <c r="D405" s="104"/>
      <c r="E405" s="101"/>
      <c r="F405" s="101"/>
      <c r="G405" s="17" t="str">
        <f t="shared" si="25"/>
        <v/>
      </c>
      <c r="K405" s="2" t="str">
        <f t="shared" si="26"/>
        <v/>
      </c>
      <c r="L405" s="2" t="str">
        <f t="shared" si="28"/>
        <v/>
      </c>
      <c r="M405" s="2" t="str">
        <f t="shared" si="27"/>
        <v/>
      </c>
      <c r="N405" s="5"/>
      <c r="P405" t="s">
        <v>26</v>
      </c>
    </row>
    <row r="406" spans="2:16" x14ac:dyDescent="0.3">
      <c r="B406" s="16"/>
      <c r="C406" s="18"/>
      <c r="D406" s="104"/>
      <c r="E406" s="101"/>
      <c r="F406" s="101"/>
      <c r="G406" s="17" t="str">
        <f t="shared" si="25"/>
        <v/>
      </c>
      <c r="K406" s="2" t="str">
        <f t="shared" si="26"/>
        <v/>
      </c>
      <c r="L406" s="2" t="str">
        <f t="shared" si="28"/>
        <v/>
      </c>
      <c r="M406" s="2" t="str">
        <f t="shared" si="27"/>
        <v/>
      </c>
      <c r="N406" s="5"/>
      <c r="P406" t="s">
        <v>26</v>
      </c>
    </row>
    <row r="407" spans="2:16" x14ac:dyDescent="0.3">
      <c r="B407" s="16"/>
      <c r="C407" s="18"/>
      <c r="D407" s="104"/>
      <c r="E407" s="101"/>
      <c r="F407" s="101"/>
      <c r="G407" s="17" t="str">
        <f t="shared" si="25"/>
        <v/>
      </c>
      <c r="K407" s="2" t="str">
        <f t="shared" si="26"/>
        <v/>
      </c>
      <c r="L407" s="2" t="str">
        <f t="shared" si="28"/>
        <v/>
      </c>
      <c r="M407" s="2" t="str">
        <f t="shared" si="27"/>
        <v/>
      </c>
      <c r="N407" s="5"/>
      <c r="P407" t="s">
        <v>26</v>
      </c>
    </row>
    <row r="408" spans="2:16" x14ac:dyDescent="0.3">
      <c r="B408" s="16"/>
      <c r="C408" s="18"/>
      <c r="D408" s="104"/>
      <c r="E408" s="101"/>
      <c r="F408" s="101"/>
      <c r="G408" s="17" t="str">
        <f t="shared" si="25"/>
        <v/>
      </c>
      <c r="K408" s="2" t="str">
        <f t="shared" si="26"/>
        <v/>
      </c>
      <c r="L408" s="2" t="str">
        <f t="shared" si="28"/>
        <v/>
      </c>
      <c r="M408" s="2" t="str">
        <f t="shared" si="27"/>
        <v/>
      </c>
      <c r="N408" s="5"/>
      <c r="P408" t="s">
        <v>26</v>
      </c>
    </row>
    <row r="409" spans="2:16" x14ac:dyDescent="0.3">
      <c r="B409" s="16"/>
      <c r="C409" s="18"/>
      <c r="D409" s="104"/>
      <c r="E409" s="101"/>
      <c r="F409" s="101"/>
      <c r="G409" s="17" t="str">
        <f t="shared" si="25"/>
        <v/>
      </c>
      <c r="K409" s="2" t="str">
        <f t="shared" si="26"/>
        <v/>
      </c>
      <c r="L409" s="2" t="str">
        <f t="shared" si="28"/>
        <v/>
      </c>
      <c r="M409" s="2" t="str">
        <f t="shared" si="27"/>
        <v/>
      </c>
      <c r="N409" s="5"/>
      <c r="P409" t="s">
        <v>26</v>
      </c>
    </row>
    <row r="410" spans="2:16" x14ac:dyDescent="0.3">
      <c r="B410" s="16"/>
      <c r="C410" s="18"/>
      <c r="D410" s="104"/>
      <c r="E410" s="101"/>
      <c r="F410" s="101"/>
      <c r="G410" s="17" t="str">
        <f t="shared" si="25"/>
        <v/>
      </c>
      <c r="K410" s="2" t="str">
        <f t="shared" si="26"/>
        <v/>
      </c>
      <c r="L410" s="2" t="str">
        <f t="shared" si="28"/>
        <v/>
      </c>
      <c r="M410" s="2" t="str">
        <f t="shared" si="27"/>
        <v/>
      </c>
      <c r="N410" s="5"/>
      <c r="P410" t="s">
        <v>26</v>
      </c>
    </row>
    <row r="411" spans="2:16" x14ac:dyDescent="0.3">
      <c r="B411" s="16"/>
      <c r="C411" s="18"/>
      <c r="D411" s="104"/>
      <c r="E411" s="101"/>
      <c r="F411" s="101"/>
      <c r="G411" s="17" t="str">
        <f t="shared" si="25"/>
        <v/>
      </c>
      <c r="K411" s="2" t="str">
        <f t="shared" si="26"/>
        <v/>
      </c>
      <c r="L411" s="2" t="str">
        <f t="shared" si="28"/>
        <v/>
      </c>
      <c r="M411" s="2" t="str">
        <f t="shared" si="27"/>
        <v/>
      </c>
      <c r="N411" s="5"/>
      <c r="P411" t="s">
        <v>26</v>
      </c>
    </row>
    <row r="412" spans="2:16" x14ac:dyDescent="0.3">
      <c r="B412" s="16"/>
      <c r="C412" s="18"/>
      <c r="D412" s="104"/>
      <c r="E412" s="101"/>
      <c r="F412" s="101"/>
      <c r="G412" s="17" t="str">
        <f t="shared" si="25"/>
        <v/>
      </c>
      <c r="K412" s="2" t="str">
        <f t="shared" si="26"/>
        <v/>
      </c>
      <c r="L412" s="2" t="str">
        <f t="shared" si="28"/>
        <v/>
      </c>
      <c r="M412" s="2" t="str">
        <f t="shared" si="27"/>
        <v/>
      </c>
      <c r="N412" s="5"/>
      <c r="P412" t="s">
        <v>26</v>
      </c>
    </row>
    <row r="413" spans="2:16" x14ac:dyDescent="0.3">
      <c r="B413" s="16"/>
      <c r="C413" s="18"/>
      <c r="D413" s="104"/>
      <c r="E413" s="101"/>
      <c r="F413" s="101"/>
      <c r="G413" s="17" t="str">
        <f t="shared" si="25"/>
        <v/>
      </c>
      <c r="K413" s="2" t="str">
        <f t="shared" si="26"/>
        <v/>
      </c>
      <c r="L413" s="2" t="str">
        <f t="shared" si="28"/>
        <v/>
      </c>
      <c r="M413" s="2" t="str">
        <f t="shared" si="27"/>
        <v/>
      </c>
      <c r="N413" s="5"/>
      <c r="P413" t="s">
        <v>26</v>
      </c>
    </row>
    <row r="414" spans="2:16" x14ac:dyDescent="0.3">
      <c r="B414" s="16"/>
      <c r="C414" s="18"/>
      <c r="D414" s="104"/>
      <c r="E414" s="101"/>
      <c r="F414" s="101"/>
      <c r="G414" s="17" t="str">
        <f t="shared" si="25"/>
        <v/>
      </c>
      <c r="K414" s="2" t="str">
        <f t="shared" si="26"/>
        <v/>
      </c>
      <c r="L414" s="2" t="str">
        <f t="shared" si="28"/>
        <v/>
      </c>
      <c r="M414" s="2" t="str">
        <f t="shared" si="27"/>
        <v/>
      </c>
      <c r="N414" s="5"/>
      <c r="P414" t="s">
        <v>26</v>
      </c>
    </row>
    <row r="415" spans="2:16" x14ac:dyDescent="0.3">
      <c r="B415" s="16"/>
      <c r="C415" s="18"/>
      <c r="D415" s="104"/>
      <c r="E415" s="101"/>
      <c r="F415" s="101"/>
      <c r="G415" s="17" t="str">
        <f t="shared" si="25"/>
        <v/>
      </c>
      <c r="K415" s="2" t="str">
        <f t="shared" si="26"/>
        <v/>
      </c>
      <c r="L415" s="2" t="str">
        <f t="shared" si="28"/>
        <v/>
      </c>
      <c r="M415" s="2" t="str">
        <f t="shared" si="27"/>
        <v/>
      </c>
      <c r="N415" s="5"/>
      <c r="P415" t="s">
        <v>26</v>
      </c>
    </row>
    <row r="416" spans="2:16" x14ac:dyDescent="0.3">
      <c r="B416" s="16"/>
      <c r="C416" s="18"/>
      <c r="D416" s="104"/>
      <c r="E416" s="101"/>
      <c r="F416" s="101"/>
      <c r="G416" s="17" t="str">
        <f t="shared" si="25"/>
        <v/>
      </c>
      <c r="K416" s="2" t="str">
        <f t="shared" si="26"/>
        <v/>
      </c>
      <c r="L416" s="2" t="str">
        <f t="shared" si="28"/>
        <v/>
      </c>
      <c r="M416" s="2" t="str">
        <f t="shared" si="27"/>
        <v/>
      </c>
      <c r="N416" s="5"/>
      <c r="P416" t="s">
        <v>26</v>
      </c>
    </row>
    <row r="417" spans="2:16" x14ac:dyDescent="0.3">
      <c r="B417" s="16"/>
      <c r="C417" s="18"/>
      <c r="D417" s="104"/>
      <c r="E417" s="101"/>
      <c r="F417" s="101"/>
      <c r="G417" s="17" t="str">
        <f t="shared" si="25"/>
        <v/>
      </c>
      <c r="K417" s="2" t="str">
        <f t="shared" si="26"/>
        <v/>
      </c>
      <c r="L417" s="2" t="str">
        <f t="shared" si="28"/>
        <v/>
      </c>
      <c r="M417" s="2" t="str">
        <f t="shared" si="27"/>
        <v/>
      </c>
      <c r="N417" s="5"/>
      <c r="P417" t="s">
        <v>26</v>
      </c>
    </row>
    <row r="418" spans="2:16" x14ac:dyDescent="0.3">
      <c r="B418" s="16"/>
      <c r="C418" s="18"/>
      <c r="D418" s="104"/>
      <c r="E418" s="101"/>
      <c r="F418" s="101"/>
      <c r="G418" s="17" t="str">
        <f t="shared" si="25"/>
        <v/>
      </c>
      <c r="K418" s="2" t="str">
        <f t="shared" si="26"/>
        <v/>
      </c>
      <c r="L418" s="2" t="str">
        <f t="shared" si="28"/>
        <v/>
      </c>
      <c r="M418" s="2" t="str">
        <f t="shared" si="27"/>
        <v/>
      </c>
      <c r="N418" s="5"/>
      <c r="P418" t="s">
        <v>26</v>
      </c>
    </row>
    <row r="419" spans="2:16" x14ac:dyDescent="0.3">
      <c r="B419" s="16"/>
      <c r="C419" s="18"/>
      <c r="D419" s="104"/>
      <c r="E419" s="101"/>
      <c r="F419" s="101"/>
      <c r="G419" s="17" t="str">
        <f t="shared" si="25"/>
        <v/>
      </c>
      <c r="K419" s="2" t="str">
        <f t="shared" si="26"/>
        <v/>
      </c>
      <c r="L419" s="2" t="str">
        <f t="shared" si="28"/>
        <v/>
      </c>
      <c r="M419" s="2" t="str">
        <f t="shared" si="27"/>
        <v/>
      </c>
      <c r="N419" s="5"/>
      <c r="P419" t="s">
        <v>26</v>
      </c>
    </row>
    <row r="420" spans="2:16" x14ac:dyDescent="0.3">
      <c r="B420" s="16"/>
      <c r="C420" s="18"/>
      <c r="D420" s="104"/>
      <c r="E420" s="101"/>
      <c r="F420" s="101"/>
      <c r="G420" s="17" t="str">
        <f t="shared" si="25"/>
        <v/>
      </c>
      <c r="K420" s="2" t="str">
        <f t="shared" si="26"/>
        <v/>
      </c>
      <c r="L420" s="2" t="str">
        <f t="shared" si="28"/>
        <v/>
      </c>
      <c r="M420" s="2" t="str">
        <f t="shared" si="27"/>
        <v/>
      </c>
      <c r="N420" s="5"/>
      <c r="P420" t="s">
        <v>26</v>
      </c>
    </row>
    <row r="421" spans="2:16" x14ac:dyDescent="0.3">
      <c r="B421" s="16"/>
      <c r="C421" s="18"/>
      <c r="D421" s="104"/>
      <c r="E421" s="101"/>
      <c r="F421" s="101"/>
      <c r="G421" s="17" t="str">
        <f t="shared" si="25"/>
        <v/>
      </c>
      <c r="K421" s="2" t="str">
        <f t="shared" si="26"/>
        <v/>
      </c>
      <c r="L421" s="2" t="str">
        <f t="shared" si="28"/>
        <v/>
      </c>
      <c r="M421" s="2" t="str">
        <f t="shared" si="27"/>
        <v/>
      </c>
      <c r="N421" s="5"/>
      <c r="P421" t="s">
        <v>26</v>
      </c>
    </row>
    <row r="422" spans="2:16" x14ac:dyDescent="0.3">
      <c r="B422" s="16"/>
      <c r="C422" s="18"/>
      <c r="D422" s="104"/>
      <c r="E422" s="101"/>
      <c r="F422" s="101"/>
      <c r="G422" s="17" t="str">
        <f t="shared" si="25"/>
        <v/>
      </c>
      <c r="K422" s="2" t="str">
        <f t="shared" si="26"/>
        <v/>
      </c>
      <c r="L422" s="2" t="str">
        <f t="shared" si="28"/>
        <v/>
      </c>
      <c r="M422" s="2" t="str">
        <f t="shared" si="27"/>
        <v/>
      </c>
      <c r="N422" s="5"/>
      <c r="P422" t="s">
        <v>26</v>
      </c>
    </row>
    <row r="423" spans="2:16" x14ac:dyDescent="0.3">
      <c r="B423" s="16"/>
      <c r="C423" s="18"/>
      <c r="D423" s="104"/>
      <c r="E423" s="101"/>
      <c r="F423" s="101"/>
      <c r="G423" s="17" t="str">
        <f t="shared" si="25"/>
        <v/>
      </c>
      <c r="K423" s="2" t="str">
        <f t="shared" si="26"/>
        <v/>
      </c>
      <c r="L423" s="2" t="str">
        <f t="shared" si="28"/>
        <v/>
      </c>
      <c r="M423" s="2" t="str">
        <f t="shared" si="27"/>
        <v/>
      </c>
      <c r="N423" s="5"/>
      <c r="P423" t="s">
        <v>26</v>
      </c>
    </row>
    <row r="424" spans="2:16" x14ac:dyDescent="0.3">
      <c r="B424" s="16"/>
      <c r="C424" s="18"/>
      <c r="D424" s="104"/>
      <c r="E424" s="101"/>
      <c r="F424" s="101"/>
      <c r="G424" s="17" t="str">
        <f t="shared" si="25"/>
        <v/>
      </c>
      <c r="K424" s="2" t="str">
        <f t="shared" si="26"/>
        <v/>
      </c>
      <c r="L424" s="2" t="str">
        <f t="shared" si="28"/>
        <v/>
      </c>
      <c r="M424" s="2" t="str">
        <f t="shared" si="27"/>
        <v/>
      </c>
      <c r="N424" s="5"/>
      <c r="P424" t="s">
        <v>26</v>
      </c>
    </row>
    <row r="425" spans="2:16" x14ac:dyDescent="0.3">
      <c r="B425" s="16"/>
      <c r="C425" s="18"/>
      <c r="D425" s="104"/>
      <c r="E425" s="101"/>
      <c r="F425" s="101"/>
      <c r="G425" s="17" t="str">
        <f t="shared" si="25"/>
        <v/>
      </c>
      <c r="K425" s="2" t="str">
        <f t="shared" si="26"/>
        <v/>
      </c>
      <c r="L425" s="2" t="str">
        <f t="shared" si="28"/>
        <v/>
      </c>
      <c r="M425" s="2" t="str">
        <f t="shared" si="27"/>
        <v/>
      </c>
      <c r="N425" s="5"/>
      <c r="P425" t="s">
        <v>26</v>
      </c>
    </row>
    <row r="426" spans="2:16" x14ac:dyDescent="0.3">
      <c r="B426" s="16"/>
      <c r="C426" s="18"/>
      <c r="D426" s="104"/>
      <c r="E426" s="101"/>
      <c r="F426" s="101"/>
      <c r="G426" s="17" t="str">
        <f t="shared" si="25"/>
        <v/>
      </c>
      <c r="K426" s="2" t="str">
        <f t="shared" si="26"/>
        <v/>
      </c>
      <c r="L426" s="2" t="str">
        <f t="shared" si="28"/>
        <v/>
      </c>
      <c r="M426" s="2" t="str">
        <f t="shared" si="27"/>
        <v/>
      </c>
      <c r="N426" s="5"/>
      <c r="P426" t="s">
        <v>26</v>
      </c>
    </row>
    <row r="427" spans="2:16" x14ac:dyDescent="0.3">
      <c r="B427" s="16"/>
      <c r="C427" s="18"/>
      <c r="D427" s="104"/>
      <c r="E427" s="101"/>
      <c r="F427" s="101"/>
      <c r="G427" s="17" t="str">
        <f t="shared" si="25"/>
        <v/>
      </c>
      <c r="K427" s="2" t="str">
        <f t="shared" si="26"/>
        <v/>
      </c>
      <c r="L427" s="2" t="str">
        <f t="shared" si="28"/>
        <v/>
      </c>
      <c r="M427" s="2" t="str">
        <f t="shared" si="27"/>
        <v/>
      </c>
      <c r="N427" s="5"/>
      <c r="P427" t="s">
        <v>26</v>
      </c>
    </row>
    <row r="428" spans="2:16" x14ac:dyDescent="0.3">
      <c r="B428" s="16"/>
      <c r="C428" s="18"/>
      <c r="D428" s="104"/>
      <c r="E428" s="101"/>
      <c r="F428" s="101"/>
      <c r="G428" s="17" t="str">
        <f t="shared" si="25"/>
        <v/>
      </c>
      <c r="K428" s="2" t="str">
        <f t="shared" si="26"/>
        <v/>
      </c>
      <c r="L428" s="2" t="str">
        <f t="shared" si="28"/>
        <v/>
      </c>
      <c r="M428" s="2" t="str">
        <f t="shared" si="27"/>
        <v/>
      </c>
      <c r="N428" s="5"/>
      <c r="P428" t="s">
        <v>26</v>
      </c>
    </row>
    <row r="429" spans="2:16" x14ac:dyDescent="0.3">
      <c r="B429" s="16"/>
      <c r="C429" s="18"/>
      <c r="D429" s="104"/>
      <c r="E429" s="101"/>
      <c r="F429" s="101"/>
      <c r="G429" s="17" t="str">
        <f t="shared" si="25"/>
        <v/>
      </c>
      <c r="K429" s="2" t="str">
        <f t="shared" si="26"/>
        <v/>
      </c>
      <c r="L429" s="2" t="str">
        <f t="shared" si="28"/>
        <v/>
      </c>
      <c r="M429" s="2" t="str">
        <f t="shared" si="27"/>
        <v/>
      </c>
      <c r="N429" s="5"/>
      <c r="P429" t="s">
        <v>26</v>
      </c>
    </row>
    <row r="430" spans="2:16" x14ac:dyDescent="0.3">
      <c r="B430" s="16"/>
      <c r="C430" s="18"/>
      <c r="D430" s="104"/>
      <c r="E430" s="101"/>
      <c r="F430" s="101"/>
      <c r="G430" s="17" t="str">
        <f t="shared" si="25"/>
        <v/>
      </c>
      <c r="K430" s="2" t="str">
        <f t="shared" si="26"/>
        <v/>
      </c>
      <c r="L430" s="2" t="str">
        <f t="shared" si="28"/>
        <v/>
      </c>
      <c r="M430" s="2" t="str">
        <f t="shared" si="27"/>
        <v/>
      </c>
      <c r="N430" s="5"/>
      <c r="P430" t="s">
        <v>26</v>
      </c>
    </row>
    <row r="431" spans="2:16" x14ac:dyDescent="0.3">
      <c r="B431" s="16"/>
      <c r="C431" s="18"/>
      <c r="D431" s="104"/>
      <c r="E431" s="101"/>
      <c r="F431" s="101"/>
      <c r="G431" s="17" t="str">
        <f t="shared" si="25"/>
        <v/>
      </c>
      <c r="K431" s="2" t="str">
        <f t="shared" si="26"/>
        <v/>
      </c>
      <c r="L431" s="2" t="str">
        <f t="shared" si="28"/>
        <v/>
      </c>
      <c r="M431" s="2" t="str">
        <f t="shared" si="27"/>
        <v/>
      </c>
      <c r="N431" s="5"/>
      <c r="P431" t="s">
        <v>26</v>
      </c>
    </row>
    <row r="432" spans="2:16" x14ac:dyDescent="0.3">
      <c r="B432" s="16"/>
      <c r="C432" s="18"/>
      <c r="D432" s="104"/>
      <c r="E432" s="101"/>
      <c r="F432" s="101"/>
      <c r="G432" s="17" t="str">
        <f t="shared" si="25"/>
        <v/>
      </c>
      <c r="K432" s="2" t="str">
        <f t="shared" si="26"/>
        <v/>
      </c>
      <c r="L432" s="2" t="str">
        <f t="shared" si="28"/>
        <v/>
      </c>
      <c r="M432" s="2" t="str">
        <f t="shared" si="27"/>
        <v/>
      </c>
      <c r="N432" s="5"/>
      <c r="P432" t="s">
        <v>26</v>
      </c>
    </row>
    <row r="433" spans="2:16" x14ac:dyDescent="0.3">
      <c r="B433" s="16"/>
      <c r="C433" s="18"/>
      <c r="D433" s="104"/>
      <c r="E433" s="101"/>
      <c r="F433" s="101"/>
      <c r="G433" s="17" t="str">
        <f t="shared" si="25"/>
        <v/>
      </c>
      <c r="K433" s="2" t="str">
        <f t="shared" si="26"/>
        <v/>
      </c>
      <c r="L433" s="2" t="str">
        <f t="shared" si="28"/>
        <v/>
      </c>
      <c r="M433" s="2" t="str">
        <f t="shared" si="27"/>
        <v/>
      </c>
      <c r="N433" s="5"/>
      <c r="P433" t="s">
        <v>26</v>
      </c>
    </row>
    <row r="434" spans="2:16" x14ac:dyDescent="0.3">
      <c r="B434" s="16"/>
      <c r="C434" s="18"/>
      <c r="D434" s="104"/>
      <c r="E434" s="101"/>
      <c r="F434" s="101"/>
      <c r="G434" s="17" t="str">
        <f t="shared" si="25"/>
        <v/>
      </c>
      <c r="K434" s="2" t="str">
        <f t="shared" si="26"/>
        <v/>
      </c>
      <c r="L434" s="2" t="str">
        <f t="shared" si="28"/>
        <v/>
      </c>
      <c r="M434" s="2" t="str">
        <f t="shared" si="27"/>
        <v/>
      </c>
      <c r="N434" s="5"/>
      <c r="P434" t="s">
        <v>26</v>
      </c>
    </row>
    <row r="435" spans="2:16" x14ac:dyDescent="0.3">
      <c r="B435" s="16"/>
      <c r="C435" s="18"/>
      <c r="D435" s="104"/>
      <c r="E435" s="101"/>
      <c r="F435" s="101"/>
      <c r="G435" s="17" t="str">
        <f t="shared" si="25"/>
        <v/>
      </c>
      <c r="K435" s="2" t="str">
        <f t="shared" si="26"/>
        <v/>
      </c>
      <c r="L435" s="2" t="str">
        <f t="shared" si="28"/>
        <v/>
      </c>
      <c r="M435" s="2" t="str">
        <f t="shared" si="27"/>
        <v/>
      </c>
      <c r="N435" s="5"/>
      <c r="P435" t="s">
        <v>26</v>
      </c>
    </row>
    <row r="436" spans="2:16" x14ac:dyDescent="0.3">
      <c r="B436" s="16"/>
      <c r="C436" s="18"/>
      <c r="D436" s="104"/>
      <c r="E436" s="101"/>
      <c r="F436" s="101"/>
      <c r="G436" s="17" t="str">
        <f t="shared" si="25"/>
        <v/>
      </c>
      <c r="K436" s="2" t="str">
        <f t="shared" si="26"/>
        <v/>
      </c>
      <c r="L436" s="2" t="str">
        <f t="shared" si="28"/>
        <v/>
      </c>
      <c r="M436" s="2" t="str">
        <f t="shared" si="27"/>
        <v/>
      </c>
      <c r="N436" s="5"/>
      <c r="P436" t="s">
        <v>26</v>
      </c>
    </row>
    <row r="437" spans="2:16" x14ac:dyDescent="0.3">
      <c r="B437" s="16"/>
      <c r="C437" s="18"/>
      <c r="D437" s="104"/>
      <c r="E437" s="101"/>
      <c r="F437" s="101"/>
      <c r="G437" s="17" t="str">
        <f t="shared" si="25"/>
        <v/>
      </c>
      <c r="K437" s="2" t="str">
        <f t="shared" si="26"/>
        <v/>
      </c>
      <c r="L437" s="2" t="str">
        <f t="shared" si="28"/>
        <v/>
      </c>
      <c r="M437" s="2" t="str">
        <f t="shared" si="27"/>
        <v/>
      </c>
      <c r="N437" s="5"/>
      <c r="P437" t="s">
        <v>26</v>
      </c>
    </row>
    <row r="438" spans="2:16" x14ac:dyDescent="0.3">
      <c r="B438" s="16"/>
      <c r="C438" s="18"/>
      <c r="D438" s="104"/>
      <c r="E438" s="101"/>
      <c r="F438" s="101"/>
      <c r="G438" s="17" t="str">
        <f t="shared" si="25"/>
        <v/>
      </c>
      <c r="K438" s="2" t="str">
        <f t="shared" si="26"/>
        <v/>
      </c>
      <c r="L438" s="2" t="str">
        <f t="shared" si="28"/>
        <v/>
      </c>
      <c r="M438" s="2" t="str">
        <f t="shared" si="27"/>
        <v/>
      </c>
      <c r="N438" s="5"/>
      <c r="P438" t="s">
        <v>26</v>
      </c>
    </row>
    <row r="439" spans="2:16" x14ac:dyDescent="0.3">
      <c r="B439" s="16"/>
      <c r="C439" s="18"/>
      <c r="D439" s="104"/>
      <c r="E439" s="101"/>
      <c r="F439" s="101"/>
      <c r="G439" s="17" t="str">
        <f t="shared" si="25"/>
        <v/>
      </c>
      <c r="K439" s="2" t="str">
        <f t="shared" si="26"/>
        <v/>
      </c>
      <c r="L439" s="2" t="str">
        <f t="shared" si="28"/>
        <v/>
      </c>
      <c r="M439" s="2" t="str">
        <f t="shared" si="27"/>
        <v/>
      </c>
      <c r="N439" s="5"/>
      <c r="P439" t="s">
        <v>26</v>
      </c>
    </row>
    <row r="440" spans="2:16" x14ac:dyDescent="0.3">
      <c r="B440" s="16"/>
      <c r="C440" s="18"/>
      <c r="D440" s="104"/>
      <c r="E440" s="101"/>
      <c r="F440" s="101"/>
      <c r="G440" s="17" t="str">
        <f t="shared" si="25"/>
        <v/>
      </c>
      <c r="K440" s="2" t="str">
        <f t="shared" si="26"/>
        <v/>
      </c>
      <c r="L440" s="2" t="str">
        <f t="shared" si="28"/>
        <v/>
      </c>
      <c r="M440" s="2" t="str">
        <f t="shared" si="27"/>
        <v/>
      </c>
      <c r="N440" s="5"/>
      <c r="P440" t="s">
        <v>26</v>
      </c>
    </row>
    <row r="441" spans="2:16" x14ac:dyDescent="0.3">
      <c r="B441" s="16"/>
      <c r="C441" s="18"/>
      <c r="D441" s="104"/>
      <c r="E441" s="101"/>
      <c r="F441" s="101"/>
      <c r="G441" s="17" t="str">
        <f t="shared" si="25"/>
        <v/>
      </c>
      <c r="K441" s="2" t="str">
        <f t="shared" si="26"/>
        <v/>
      </c>
      <c r="L441" s="2" t="str">
        <f t="shared" si="28"/>
        <v/>
      </c>
      <c r="M441" s="2" t="str">
        <f t="shared" si="27"/>
        <v/>
      </c>
      <c r="N441" s="5"/>
      <c r="P441" t="s">
        <v>26</v>
      </c>
    </row>
    <row r="442" spans="2:16" x14ac:dyDescent="0.3">
      <c r="B442" s="16"/>
      <c r="C442" s="18"/>
      <c r="D442" s="104"/>
      <c r="E442" s="101"/>
      <c r="F442" s="101"/>
      <c r="G442" s="17" t="str">
        <f t="shared" si="25"/>
        <v/>
      </c>
      <c r="K442" s="2" t="str">
        <f t="shared" si="26"/>
        <v/>
      </c>
      <c r="L442" s="2" t="str">
        <f t="shared" si="28"/>
        <v/>
      </c>
      <c r="M442" s="2" t="str">
        <f t="shared" si="27"/>
        <v/>
      </c>
      <c r="N442" s="5"/>
      <c r="P442" t="s">
        <v>26</v>
      </c>
    </row>
    <row r="443" spans="2:16" x14ac:dyDescent="0.3">
      <c r="B443" s="16"/>
      <c r="C443" s="18"/>
      <c r="D443" s="104"/>
      <c r="E443" s="101"/>
      <c r="F443" s="101"/>
      <c r="G443" s="17" t="str">
        <f t="shared" si="25"/>
        <v/>
      </c>
      <c r="K443" s="2" t="str">
        <f t="shared" si="26"/>
        <v/>
      </c>
      <c r="L443" s="2" t="str">
        <f t="shared" si="28"/>
        <v/>
      </c>
      <c r="M443" s="2" t="str">
        <f t="shared" si="27"/>
        <v/>
      </c>
      <c r="N443" s="5"/>
      <c r="P443" t="s">
        <v>26</v>
      </c>
    </row>
    <row r="444" spans="2:16" x14ac:dyDescent="0.3">
      <c r="B444" s="16"/>
      <c r="C444" s="18"/>
      <c r="D444" s="104"/>
      <c r="E444" s="101"/>
      <c r="F444" s="101"/>
      <c r="G444" s="17" t="str">
        <f t="shared" si="25"/>
        <v/>
      </c>
      <c r="K444" s="2" t="str">
        <f t="shared" si="26"/>
        <v/>
      </c>
      <c r="L444" s="2" t="str">
        <f t="shared" si="28"/>
        <v/>
      </c>
      <c r="M444" s="2" t="str">
        <f t="shared" si="27"/>
        <v/>
      </c>
      <c r="N444" s="5"/>
      <c r="P444" t="s">
        <v>26</v>
      </c>
    </row>
    <row r="445" spans="2:16" x14ac:dyDescent="0.3">
      <c r="B445" s="16"/>
      <c r="C445" s="18"/>
      <c r="D445" s="104"/>
      <c r="E445" s="101"/>
      <c r="F445" s="101"/>
      <c r="G445" s="17" t="str">
        <f t="shared" si="25"/>
        <v/>
      </c>
      <c r="K445" s="2" t="str">
        <f t="shared" si="26"/>
        <v/>
      </c>
      <c r="L445" s="2" t="str">
        <f t="shared" si="28"/>
        <v/>
      </c>
      <c r="M445" s="2" t="str">
        <f t="shared" si="27"/>
        <v/>
      </c>
      <c r="N445" s="5"/>
      <c r="P445" t="s">
        <v>26</v>
      </c>
    </row>
    <row r="446" spans="2:16" x14ac:dyDescent="0.3">
      <c r="B446" s="16"/>
      <c r="C446" s="18"/>
      <c r="D446" s="104"/>
      <c r="E446" s="101"/>
      <c r="F446" s="101"/>
      <c r="G446" s="17" t="str">
        <f t="shared" si="25"/>
        <v/>
      </c>
      <c r="K446" s="2" t="str">
        <f t="shared" si="26"/>
        <v/>
      </c>
      <c r="L446" s="2" t="str">
        <f t="shared" si="28"/>
        <v/>
      </c>
      <c r="M446" s="2" t="str">
        <f t="shared" si="27"/>
        <v/>
      </c>
      <c r="N446" s="5"/>
      <c r="P446" t="s">
        <v>26</v>
      </c>
    </row>
    <row r="447" spans="2:16" x14ac:dyDescent="0.3">
      <c r="B447" s="16"/>
      <c r="C447" s="18"/>
      <c r="D447" s="104"/>
      <c r="E447" s="101"/>
      <c r="F447" s="101"/>
      <c r="G447" s="17" t="str">
        <f t="shared" si="25"/>
        <v/>
      </c>
      <c r="K447" s="2" t="str">
        <f t="shared" si="26"/>
        <v/>
      </c>
      <c r="L447" s="2" t="str">
        <f t="shared" si="28"/>
        <v/>
      </c>
      <c r="M447" s="2" t="str">
        <f t="shared" si="27"/>
        <v/>
      </c>
      <c r="N447" s="5"/>
      <c r="P447" t="s">
        <v>26</v>
      </c>
    </row>
    <row r="448" spans="2:16" x14ac:dyDescent="0.3">
      <c r="B448" s="16"/>
      <c r="C448" s="18"/>
      <c r="D448" s="104"/>
      <c r="E448" s="101"/>
      <c r="F448" s="101"/>
      <c r="G448" s="17" t="str">
        <f t="shared" si="25"/>
        <v/>
      </c>
      <c r="K448" s="2" t="str">
        <f t="shared" si="26"/>
        <v/>
      </c>
      <c r="L448" s="2" t="str">
        <f t="shared" si="28"/>
        <v/>
      </c>
      <c r="M448" s="2" t="str">
        <f t="shared" si="27"/>
        <v/>
      </c>
      <c r="N448" s="5"/>
      <c r="P448" t="s">
        <v>26</v>
      </c>
    </row>
    <row r="449" spans="2:16" x14ac:dyDescent="0.3">
      <c r="B449" s="16"/>
      <c r="C449" s="18"/>
      <c r="D449" s="104"/>
      <c r="E449" s="101"/>
      <c r="F449" s="101"/>
      <c r="G449" s="17" t="str">
        <f t="shared" si="25"/>
        <v/>
      </c>
      <c r="K449" s="2" t="str">
        <f t="shared" si="26"/>
        <v/>
      </c>
      <c r="L449" s="2" t="str">
        <f t="shared" si="28"/>
        <v/>
      </c>
      <c r="M449" s="2" t="str">
        <f t="shared" si="27"/>
        <v/>
      </c>
      <c r="N449" s="5"/>
      <c r="P449" t="s">
        <v>26</v>
      </c>
    </row>
    <row r="450" spans="2:16" x14ac:dyDescent="0.3">
      <c r="B450" s="16"/>
      <c r="C450" s="18"/>
      <c r="D450" s="104"/>
      <c r="E450" s="101"/>
      <c r="F450" s="101"/>
      <c r="G450" s="17" t="str">
        <f t="shared" si="25"/>
        <v/>
      </c>
      <c r="K450" s="2" t="str">
        <f t="shared" si="26"/>
        <v/>
      </c>
      <c r="L450" s="2" t="str">
        <f t="shared" si="28"/>
        <v/>
      </c>
      <c r="M450" s="2" t="str">
        <f t="shared" si="27"/>
        <v/>
      </c>
      <c r="N450" s="5"/>
      <c r="P450" t="s">
        <v>26</v>
      </c>
    </row>
    <row r="451" spans="2:16" x14ac:dyDescent="0.3">
      <c r="B451" s="16"/>
      <c r="C451" s="18"/>
      <c r="D451" s="104"/>
      <c r="E451" s="101"/>
      <c r="F451" s="101"/>
      <c r="G451" s="17" t="str">
        <f t="shared" si="25"/>
        <v/>
      </c>
      <c r="K451" s="2" t="str">
        <f t="shared" si="26"/>
        <v/>
      </c>
      <c r="L451" s="2" t="str">
        <f t="shared" si="28"/>
        <v/>
      </c>
      <c r="M451" s="2" t="str">
        <f t="shared" si="27"/>
        <v/>
      </c>
      <c r="N451" s="5"/>
      <c r="P451" t="s">
        <v>26</v>
      </c>
    </row>
    <row r="452" spans="2:16" x14ac:dyDescent="0.3">
      <c r="B452" s="16"/>
      <c r="C452" s="18"/>
      <c r="D452" s="104"/>
      <c r="E452" s="101"/>
      <c r="F452" s="101"/>
      <c r="G452" s="17" t="str">
        <f t="shared" ref="G452:G502" si="29">IF(AND(D452=E452,E452=F452),"",IF(AND(F452="",D452=E452),"",IF(AND(D452="",E452=F452),"",IF(AND(E452="",D452=F452),"",""))))</f>
        <v/>
      </c>
      <c r="K452" s="2" t="str">
        <f t="shared" ref="K452:K501" si="30">IF(D452="","",+D452)</f>
        <v/>
      </c>
      <c r="L452" s="2" t="str">
        <f t="shared" si="28"/>
        <v/>
      </c>
      <c r="M452" s="2" t="str">
        <f t="shared" ref="M452:M501" si="31">IF(B452="","",IF(COUNTIF($K$3:$K$295,K452)&gt;1,"동명",""))</f>
        <v/>
      </c>
      <c r="N452" s="5"/>
      <c r="P452" t="s">
        <v>26</v>
      </c>
    </row>
    <row r="453" spans="2:16" x14ac:dyDescent="0.3">
      <c r="B453" s="16"/>
      <c r="C453" s="18"/>
      <c r="D453" s="104"/>
      <c r="E453" s="101"/>
      <c r="F453" s="101"/>
      <c r="G453" s="17" t="str">
        <f t="shared" si="29"/>
        <v/>
      </c>
      <c r="K453" s="2" t="str">
        <f t="shared" si="30"/>
        <v/>
      </c>
      <c r="L453" s="2" t="str">
        <f t="shared" si="28"/>
        <v/>
      </c>
      <c r="M453" s="2" t="str">
        <f t="shared" si="31"/>
        <v/>
      </c>
      <c r="N453" s="5"/>
      <c r="P453" t="s">
        <v>26</v>
      </c>
    </row>
    <row r="454" spans="2:16" x14ac:dyDescent="0.3">
      <c r="B454" s="16"/>
      <c r="C454" s="18"/>
      <c r="D454" s="104"/>
      <c r="E454" s="101"/>
      <c r="F454" s="101"/>
      <c r="G454" s="17" t="str">
        <f t="shared" si="29"/>
        <v/>
      </c>
      <c r="K454" s="2" t="str">
        <f t="shared" si="30"/>
        <v/>
      </c>
      <c r="L454" s="2" t="str">
        <f t="shared" ref="L454:L501" si="32">RIGHT(K454,2)</f>
        <v/>
      </c>
      <c r="M454" s="2" t="str">
        <f t="shared" si="31"/>
        <v/>
      </c>
      <c r="N454" s="5"/>
      <c r="P454" t="s">
        <v>26</v>
      </c>
    </row>
    <row r="455" spans="2:16" x14ac:dyDescent="0.3">
      <c r="B455" s="16"/>
      <c r="C455" s="18"/>
      <c r="D455" s="104"/>
      <c r="E455" s="101"/>
      <c r="F455" s="101"/>
      <c r="G455" s="17" t="str">
        <f t="shared" si="29"/>
        <v/>
      </c>
      <c r="K455" s="2" t="str">
        <f t="shared" si="30"/>
        <v/>
      </c>
      <c r="L455" s="2" t="str">
        <f t="shared" si="32"/>
        <v/>
      </c>
      <c r="M455" s="2" t="str">
        <f t="shared" si="31"/>
        <v/>
      </c>
      <c r="N455" s="5"/>
      <c r="P455" t="s">
        <v>26</v>
      </c>
    </row>
    <row r="456" spans="2:16" x14ac:dyDescent="0.3">
      <c r="B456" s="16"/>
      <c r="C456" s="18"/>
      <c r="D456" s="104"/>
      <c r="E456" s="101"/>
      <c r="F456" s="101"/>
      <c r="G456" s="17" t="str">
        <f t="shared" si="29"/>
        <v/>
      </c>
      <c r="K456" s="2" t="str">
        <f t="shared" si="30"/>
        <v/>
      </c>
      <c r="L456" s="2" t="str">
        <f t="shared" si="32"/>
        <v/>
      </c>
      <c r="M456" s="2" t="str">
        <f t="shared" si="31"/>
        <v/>
      </c>
      <c r="N456" s="5"/>
      <c r="P456" t="s">
        <v>26</v>
      </c>
    </row>
    <row r="457" spans="2:16" x14ac:dyDescent="0.3">
      <c r="B457" s="16"/>
      <c r="C457" s="18"/>
      <c r="D457" s="104"/>
      <c r="E457" s="101"/>
      <c r="F457" s="101"/>
      <c r="G457" s="17" t="str">
        <f t="shared" si="29"/>
        <v/>
      </c>
      <c r="K457" s="2" t="str">
        <f t="shared" si="30"/>
        <v/>
      </c>
      <c r="L457" s="2" t="str">
        <f t="shared" si="32"/>
        <v/>
      </c>
      <c r="M457" s="2" t="str">
        <f t="shared" si="31"/>
        <v/>
      </c>
      <c r="N457" s="5"/>
      <c r="P457" t="s">
        <v>26</v>
      </c>
    </row>
    <row r="458" spans="2:16" x14ac:dyDescent="0.3">
      <c r="B458" s="16"/>
      <c r="C458" s="18"/>
      <c r="D458" s="104"/>
      <c r="E458" s="101"/>
      <c r="F458" s="101"/>
      <c r="G458" s="17" t="str">
        <f t="shared" si="29"/>
        <v/>
      </c>
      <c r="K458" s="2" t="str">
        <f t="shared" si="30"/>
        <v/>
      </c>
      <c r="L458" s="2" t="str">
        <f t="shared" si="32"/>
        <v/>
      </c>
      <c r="M458" s="2" t="str">
        <f t="shared" si="31"/>
        <v/>
      </c>
      <c r="N458" s="5"/>
      <c r="P458" t="s">
        <v>26</v>
      </c>
    </row>
    <row r="459" spans="2:16" x14ac:dyDescent="0.3">
      <c r="B459" s="16"/>
      <c r="C459" s="18"/>
      <c r="D459" s="104"/>
      <c r="E459" s="101"/>
      <c r="F459" s="101"/>
      <c r="G459" s="17" t="str">
        <f t="shared" si="29"/>
        <v/>
      </c>
      <c r="K459" s="2" t="str">
        <f t="shared" si="30"/>
        <v/>
      </c>
      <c r="L459" s="2" t="str">
        <f t="shared" si="32"/>
        <v/>
      </c>
      <c r="M459" s="2" t="str">
        <f t="shared" si="31"/>
        <v/>
      </c>
      <c r="N459" s="5"/>
      <c r="P459" t="s">
        <v>26</v>
      </c>
    </row>
    <row r="460" spans="2:16" x14ac:dyDescent="0.3">
      <c r="B460" s="16"/>
      <c r="C460" s="18"/>
      <c r="D460" s="104"/>
      <c r="E460" s="101"/>
      <c r="F460" s="101"/>
      <c r="G460" s="17" t="str">
        <f t="shared" si="29"/>
        <v/>
      </c>
      <c r="K460" s="2" t="str">
        <f t="shared" si="30"/>
        <v/>
      </c>
      <c r="L460" s="2" t="str">
        <f t="shared" si="32"/>
        <v/>
      </c>
      <c r="M460" s="2" t="str">
        <f t="shared" si="31"/>
        <v/>
      </c>
      <c r="N460" s="5"/>
      <c r="P460" t="s">
        <v>26</v>
      </c>
    </row>
    <row r="461" spans="2:16" x14ac:dyDescent="0.3">
      <c r="B461" s="16"/>
      <c r="C461" s="18"/>
      <c r="D461" s="104"/>
      <c r="E461" s="101"/>
      <c r="F461" s="101"/>
      <c r="G461" s="17" t="str">
        <f t="shared" si="29"/>
        <v/>
      </c>
      <c r="K461" s="2" t="str">
        <f t="shared" si="30"/>
        <v/>
      </c>
      <c r="L461" s="2" t="str">
        <f t="shared" si="32"/>
        <v/>
      </c>
      <c r="M461" s="2" t="str">
        <f t="shared" si="31"/>
        <v/>
      </c>
      <c r="N461" s="5"/>
      <c r="P461" t="s">
        <v>26</v>
      </c>
    </row>
    <row r="462" spans="2:16" x14ac:dyDescent="0.3">
      <c r="B462" s="16"/>
      <c r="C462" s="18"/>
      <c r="D462" s="104"/>
      <c r="E462" s="101"/>
      <c r="F462" s="101"/>
      <c r="G462" s="17" t="str">
        <f t="shared" si="29"/>
        <v/>
      </c>
      <c r="K462" s="2" t="str">
        <f t="shared" si="30"/>
        <v/>
      </c>
      <c r="L462" s="2" t="str">
        <f t="shared" si="32"/>
        <v/>
      </c>
      <c r="M462" s="2" t="str">
        <f t="shared" si="31"/>
        <v/>
      </c>
      <c r="N462" s="5"/>
      <c r="P462" t="s">
        <v>26</v>
      </c>
    </row>
    <row r="463" spans="2:16" x14ac:dyDescent="0.3">
      <c r="B463" s="16"/>
      <c r="C463" s="18"/>
      <c r="D463" s="104"/>
      <c r="E463" s="101"/>
      <c r="F463" s="101"/>
      <c r="G463" s="17" t="str">
        <f t="shared" si="29"/>
        <v/>
      </c>
      <c r="K463" s="2" t="str">
        <f t="shared" si="30"/>
        <v/>
      </c>
      <c r="L463" s="2" t="str">
        <f t="shared" si="32"/>
        <v/>
      </c>
      <c r="M463" s="2" t="str">
        <f t="shared" si="31"/>
        <v/>
      </c>
      <c r="N463" s="5"/>
      <c r="P463" t="s">
        <v>26</v>
      </c>
    </row>
    <row r="464" spans="2:16" x14ac:dyDescent="0.3">
      <c r="B464" s="16"/>
      <c r="C464" s="18"/>
      <c r="D464" s="104"/>
      <c r="E464" s="101"/>
      <c r="F464" s="101"/>
      <c r="G464" s="17" t="str">
        <f t="shared" si="29"/>
        <v/>
      </c>
      <c r="K464" s="2" t="str">
        <f t="shared" si="30"/>
        <v/>
      </c>
      <c r="L464" s="2" t="str">
        <f t="shared" si="32"/>
        <v/>
      </c>
      <c r="M464" s="2" t="str">
        <f t="shared" si="31"/>
        <v/>
      </c>
      <c r="N464" s="5"/>
      <c r="P464" t="s">
        <v>26</v>
      </c>
    </row>
    <row r="465" spans="2:16" x14ac:dyDescent="0.3">
      <c r="B465" s="16"/>
      <c r="C465" s="18"/>
      <c r="D465" s="104"/>
      <c r="E465" s="101"/>
      <c r="F465" s="101"/>
      <c r="G465" s="17" t="str">
        <f t="shared" si="29"/>
        <v/>
      </c>
      <c r="K465" s="2" t="str">
        <f t="shared" si="30"/>
        <v/>
      </c>
      <c r="L465" s="2" t="str">
        <f t="shared" si="32"/>
        <v/>
      </c>
      <c r="M465" s="2" t="str">
        <f t="shared" si="31"/>
        <v/>
      </c>
      <c r="N465" s="5"/>
      <c r="P465" t="s">
        <v>26</v>
      </c>
    </row>
    <row r="466" spans="2:16" x14ac:dyDescent="0.3">
      <c r="B466" s="16"/>
      <c r="C466" s="18"/>
      <c r="D466" s="104"/>
      <c r="E466" s="101"/>
      <c r="F466" s="101"/>
      <c r="G466" s="17" t="str">
        <f t="shared" si="29"/>
        <v/>
      </c>
      <c r="K466" s="2" t="str">
        <f t="shared" si="30"/>
        <v/>
      </c>
      <c r="L466" s="2" t="str">
        <f t="shared" si="32"/>
        <v/>
      </c>
      <c r="M466" s="2" t="str">
        <f t="shared" si="31"/>
        <v/>
      </c>
      <c r="N466" s="5"/>
      <c r="P466" t="s">
        <v>26</v>
      </c>
    </row>
    <row r="467" spans="2:16" x14ac:dyDescent="0.3">
      <c r="B467" s="16"/>
      <c r="C467" s="18"/>
      <c r="D467" s="104"/>
      <c r="E467" s="101"/>
      <c r="F467" s="101"/>
      <c r="G467" s="17" t="str">
        <f t="shared" si="29"/>
        <v/>
      </c>
      <c r="K467" s="2" t="str">
        <f t="shared" si="30"/>
        <v/>
      </c>
      <c r="L467" s="2" t="str">
        <f t="shared" si="32"/>
        <v/>
      </c>
      <c r="M467" s="2" t="str">
        <f t="shared" si="31"/>
        <v/>
      </c>
      <c r="N467" s="5"/>
      <c r="P467" t="s">
        <v>26</v>
      </c>
    </row>
    <row r="468" spans="2:16" x14ac:dyDescent="0.3">
      <c r="B468" s="16"/>
      <c r="C468" s="18"/>
      <c r="D468" s="104"/>
      <c r="E468" s="101"/>
      <c r="F468" s="101"/>
      <c r="G468" s="17" t="str">
        <f t="shared" si="29"/>
        <v/>
      </c>
      <c r="K468" s="2" t="str">
        <f t="shared" si="30"/>
        <v/>
      </c>
      <c r="L468" s="2" t="str">
        <f t="shared" si="32"/>
        <v/>
      </c>
      <c r="M468" s="2" t="str">
        <f t="shared" si="31"/>
        <v/>
      </c>
      <c r="N468" s="5"/>
      <c r="P468" t="s">
        <v>26</v>
      </c>
    </row>
    <row r="469" spans="2:16" x14ac:dyDescent="0.3">
      <c r="B469" s="16"/>
      <c r="C469" s="18"/>
      <c r="D469" s="104"/>
      <c r="E469" s="101"/>
      <c r="F469" s="101"/>
      <c r="G469" s="17" t="str">
        <f t="shared" si="29"/>
        <v/>
      </c>
      <c r="K469" s="2" t="str">
        <f t="shared" si="30"/>
        <v/>
      </c>
      <c r="L469" s="2" t="str">
        <f t="shared" si="32"/>
        <v/>
      </c>
      <c r="M469" s="2" t="str">
        <f t="shared" si="31"/>
        <v/>
      </c>
      <c r="N469" s="5"/>
      <c r="P469" t="s">
        <v>26</v>
      </c>
    </row>
    <row r="470" spans="2:16" x14ac:dyDescent="0.3">
      <c r="B470" s="16"/>
      <c r="C470" s="18"/>
      <c r="D470" s="104"/>
      <c r="E470" s="101"/>
      <c r="F470" s="101"/>
      <c r="G470" s="17" t="str">
        <f t="shared" si="29"/>
        <v/>
      </c>
      <c r="K470" s="2" t="str">
        <f t="shared" si="30"/>
        <v/>
      </c>
      <c r="L470" s="2" t="str">
        <f t="shared" si="32"/>
        <v/>
      </c>
      <c r="M470" s="2" t="str">
        <f t="shared" si="31"/>
        <v/>
      </c>
      <c r="N470" s="5"/>
      <c r="P470" t="s">
        <v>26</v>
      </c>
    </row>
    <row r="471" spans="2:16" x14ac:dyDescent="0.3">
      <c r="B471" s="16"/>
      <c r="C471" s="18"/>
      <c r="D471" s="104"/>
      <c r="E471" s="101"/>
      <c r="F471" s="101"/>
      <c r="G471" s="17" t="str">
        <f t="shared" si="29"/>
        <v/>
      </c>
      <c r="K471" s="2" t="str">
        <f t="shared" si="30"/>
        <v/>
      </c>
      <c r="L471" s="2" t="str">
        <f t="shared" si="32"/>
        <v/>
      </c>
      <c r="M471" s="2" t="str">
        <f t="shared" si="31"/>
        <v/>
      </c>
      <c r="N471" s="5"/>
      <c r="P471" t="s">
        <v>26</v>
      </c>
    </row>
    <row r="472" spans="2:16" x14ac:dyDescent="0.3">
      <c r="B472" s="16"/>
      <c r="C472" s="18"/>
      <c r="D472" s="104"/>
      <c r="E472" s="101"/>
      <c r="F472" s="101"/>
      <c r="G472" s="17" t="str">
        <f t="shared" si="29"/>
        <v/>
      </c>
      <c r="K472" s="2" t="str">
        <f t="shared" si="30"/>
        <v/>
      </c>
      <c r="L472" s="2" t="str">
        <f t="shared" si="32"/>
        <v/>
      </c>
      <c r="M472" s="2" t="str">
        <f t="shared" si="31"/>
        <v/>
      </c>
      <c r="N472" s="5"/>
      <c r="P472" t="s">
        <v>26</v>
      </c>
    </row>
    <row r="473" spans="2:16" x14ac:dyDescent="0.3">
      <c r="B473" s="16"/>
      <c r="C473" s="18"/>
      <c r="D473" s="104"/>
      <c r="E473" s="101"/>
      <c r="F473" s="101"/>
      <c r="G473" s="17" t="str">
        <f t="shared" si="29"/>
        <v/>
      </c>
      <c r="K473" s="2" t="str">
        <f t="shared" si="30"/>
        <v/>
      </c>
      <c r="L473" s="2" t="str">
        <f t="shared" si="32"/>
        <v/>
      </c>
      <c r="M473" s="2" t="str">
        <f t="shared" si="31"/>
        <v/>
      </c>
      <c r="N473" s="5"/>
      <c r="P473" t="s">
        <v>26</v>
      </c>
    </row>
    <row r="474" spans="2:16" x14ac:dyDescent="0.3">
      <c r="B474" s="16"/>
      <c r="C474" s="18"/>
      <c r="D474" s="104"/>
      <c r="E474" s="101"/>
      <c r="F474" s="101"/>
      <c r="G474" s="17" t="str">
        <f t="shared" si="29"/>
        <v/>
      </c>
      <c r="K474" s="2" t="str">
        <f t="shared" si="30"/>
        <v/>
      </c>
      <c r="L474" s="2" t="str">
        <f t="shared" si="32"/>
        <v/>
      </c>
      <c r="M474" s="2" t="str">
        <f t="shared" si="31"/>
        <v/>
      </c>
      <c r="N474" s="5"/>
      <c r="P474" t="s">
        <v>26</v>
      </c>
    </row>
    <row r="475" spans="2:16" x14ac:dyDescent="0.3">
      <c r="B475" s="16"/>
      <c r="C475" s="18"/>
      <c r="D475" s="104"/>
      <c r="E475" s="101"/>
      <c r="F475" s="101"/>
      <c r="G475" s="17" t="str">
        <f t="shared" si="29"/>
        <v/>
      </c>
      <c r="K475" s="2" t="str">
        <f t="shared" si="30"/>
        <v/>
      </c>
      <c r="L475" s="2" t="str">
        <f t="shared" si="32"/>
        <v/>
      </c>
      <c r="M475" s="2" t="str">
        <f t="shared" si="31"/>
        <v/>
      </c>
      <c r="N475" s="5"/>
      <c r="P475" t="s">
        <v>26</v>
      </c>
    </row>
    <row r="476" spans="2:16" x14ac:dyDescent="0.3">
      <c r="B476" s="16"/>
      <c r="C476" s="18"/>
      <c r="D476" s="104"/>
      <c r="E476" s="101"/>
      <c r="F476" s="101"/>
      <c r="G476" s="17" t="str">
        <f t="shared" si="29"/>
        <v/>
      </c>
      <c r="K476" s="2" t="str">
        <f t="shared" si="30"/>
        <v/>
      </c>
      <c r="L476" s="2" t="str">
        <f t="shared" si="32"/>
        <v/>
      </c>
      <c r="M476" s="2" t="str">
        <f t="shared" si="31"/>
        <v/>
      </c>
      <c r="N476" s="5"/>
      <c r="P476" t="s">
        <v>26</v>
      </c>
    </row>
    <row r="477" spans="2:16" x14ac:dyDescent="0.3">
      <c r="B477" s="16"/>
      <c r="C477" s="18"/>
      <c r="D477" s="104"/>
      <c r="E477" s="101"/>
      <c r="F477" s="101"/>
      <c r="G477" s="17" t="str">
        <f t="shared" si="29"/>
        <v/>
      </c>
      <c r="K477" s="2" t="str">
        <f t="shared" si="30"/>
        <v/>
      </c>
      <c r="L477" s="2" t="str">
        <f t="shared" si="32"/>
        <v/>
      </c>
      <c r="M477" s="2" t="str">
        <f t="shared" si="31"/>
        <v/>
      </c>
      <c r="N477" s="5"/>
      <c r="P477" t="s">
        <v>26</v>
      </c>
    </row>
    <row r="478" spans="2:16" x14ac:dyDescent="0.3">
      <c r="B478" s="16"/>
      <c r="C478" s="18"/>
      <c r="D478" s="104"/>
      <c r="E478" s="101"/>
      <c r="F478" s="101"/>
      <c r="G478" s="17" t="str">
        <f t="shared" si="29"/>
        <v/>
      </c>
      <c r="K478" s="2" t="str">
        <f t="shared" si="30"/>
        <v/>
      </c>
      <c r="L478" s="2" t="str">
        <f t="shared" si="32"/>
        <v/>
      </c>
      <c r="M478" s="2" t="str">
        <f t="shared" si="31"/>
        <v/>
      </c>
      <c r="N478" s="5"/>
      <c r="P478" t="s">
        <v>26</v>
      </c>
    </row>
    <row r="479" spans="2:16" x14ac:dyDescent="0.3">
      <c r="B479" s="16"/>
      <c r="C479" s="18"/>
      <c r="D479" s="104"/>
      <c r="E479" s="101"/>
      <c r="F479" s="101"/>
      <c r="G479" s="17" t="str">
        <f t="shared" si="29"/>
        <v/>
      </c>
      <c r="K479" s="2" t="str">
        <f t="shared" si="30"/>
        <v/>
      </c>
      <c r="L479" s="2" t="str">
        <f t="shared" si="32"/>
        <v/>
      </c>
      <c r="M479" s="2" t="str">
        <f t="shared" si="31"/>
        <v/>
      </c>
      <c r="N479" s="5"/>
      <c r="P479" t="s">
        <v>26</v>
      </c>
    </row>
    <row r="480" spans="2:16" x14ac:dyDescent="0.3">
      <c r="B480" s="16"/>
      <c r="C480" s="18"/>
      <c r="D480" s="104"/>
      <c r="E480" s="101"/>
      <c r="F480" s="101"/>
      <c r="G480" s="17" t="str">
        <f t="shared" si="29"/>
        <v/>
      </c>
      <c r="K480" s="2" t="str">
        <f t="shared" si="30"/>
        <v/>
      </c>
      <c r="L480" s="2" t="str">
        <f t="shared" si="32"/>
        <v/>
      </c>
      <c r="M480" s="2" t="str">
        <f t="shared" si="31"/>
        <v/>
      </c>
      <c r="N480" s="5"/>
      <c r="P480" t="s">
        <v>26</v>
      </c>
    </row>
    <row r="481" spans="2:16" x14ac:dyDescent="0.3">
      <c r="B481" s="16"/>
      <c r="C481" s="18"/>
      <c r="D481" s="104"/>
      <c r="E481" s="101"/>
      <c r="F481" s="101"/>
      <c r="G481" s="17" t="str">
        <f t="shared" si="29"/>
        <v/>
      </c>
      <c r="K481" s="2" t="str">
        <f t="shared" si="30"/>
        <v/>
      </c>
      <c r="L481" s="2" t="str">
        <f t="shared" si="32"/>
        <v/>
      </c>
      <c r="M481" s="2" t="str">
        <f t="shared" si="31"/>
        <v/>
      </c>
      <c r="N481" s="5"/>
      <c r="P481" t="s">
        <v>26</v>
      </c>
    </row>
    <row r="482" spans="2:16" x14ac:dyDescent="0.3">
      <c r="B482" s="16"/>
      <c r="C482" s="18"/>
      <c r="D482" s="104"/>
      <c r="E482" s="101"/>
      <c r="F482" s="101"/>
      <c r="G482" s="17" t="str">
        <f t="shared" si="29"/>
        <v/>
      </c>
      <c r="K482" s="2" t="str">
        <f t="shared" si="30"/>
        <v/>
      </c>
      <c r="L482" s="2" t="str">
        <f t="shared" si="32"/>
        <v/>
      </c>
      <c r="M482" s="2" t="str">
        <f t="shared" si="31"/>
        <v/>
      </c>
      <c r="N482" s="5"/>
      <c r="P482" t="s">
        <v>26</v>
      </c>
    </row>
    <row r="483" spans="2:16" x14ac:dyDescent="0.3">
      <c r="B483" s="16"/>
      <c r="C483" s="18"/>
      <c r="D483" s="104"/>
      <c r="E483" s="101"/>
      <c r="F483" s="101"/>
      <c r="G483" s="17" t="str">
        <f t="shared" si="29"/>
        <v/>
      </c>
      <c r="K483" s="2" t="str">
        <f t="shared" si="30"/>
        <v/>
      </c>
      <c r="L483" s="2" t="str">
        <f t="shared" si="32"/>
        <v/>
      </c>
      <c r="M483" s="2" t="str">
        <f t="shared" si="31"/>
        <v/>
      </c>
      <c r="N483" s="5"/>
      <c r="P483" t="s">
        <v>26</v>
      </c>
    </row>
    <row r="484" spans="2:16" x14ac:dyDescent="0.3">
      <c r="B484" s="16"/>
      <c r="C484" s="18"/>
      <c r="D484" s="104"/>
      <c r="E484" s="101"/>
      <c r="F484" s="101"/>
      <c r="G484" s="17" t="str">
        <f t="shared" si="29"/>
        <v/>
      </c>
      <c r="K484" s="2" t="str">
        <f t="shared" si="30"/>
        <v/>
      </c>
      <c r="L484" s="2" t="str">
        <f t="shared" si="32"/>
        <v/>
      </c>
      <c r="M484" s="2" t="str">
        <f t="shared" si="31"/>
        <v/>
      </c>
      <c r="N484" s="5"/>
      <c r="P484" t="s">
        <v>26</v>
      </c>
    </row>
    <row r="485" spans="2:16" x14ac:dyDescent="0.3">
      <c r="B485" s="16"/>
      <c r="C485" s="18"/>
      <c r="D485" s="104"/>
      <c r="E485" s="101"/>
      <c r="F485" s="101"/>
      <c r="G485" s="17" t="str">
        <f t="shared" si="29"/>
        <v/>
      </c>
      <c r="K485" s="2" t="str">
        <f t="shared" si="30"/>
        <v/>
      </c>
      <c r="L485" s="2" t="str">
        <f t="shared" si="32"/>
        <v/>
      </c>
      <c r="M485" s="2" t="str">
        <f t="shared" si="31"/>
        <v/>
      </c>
      <c r="N485" s="5"/>
      <c r="P485" t="s">
        <v>26</v>
      </c>
    </row>
    <row r="486" spans="2:16" x14ac:dyDescent="0.3">
      <c r="B486" s="16"/>
      <c r="C486" s="18"/>
      <c r="D486" s="104"/>
      <c r="E486" s="101"/>
      <c r="F486" s="101"/>
      <c r="G486" s="17" t="str">
        <f t="shared" si="29"/>
        <v/>
      </c>
      <c r="K486" s="2" t="str">
        <f t="shared" si="30"/>
        <v/>
      </c>
      <c r="L486" s="2" t="str">
        <f t="shared" si="32"/>
        <v/>
      </c>
      <c r="M486" s="2" t="str">
        <f t="shared" si="31"/>
        <v/>
      </c>
      <c r="N486" s="5"/>
      <c r="P486" t="s">
        <v>26</v>
      </c>
    </row>
    <row r="487" spans="2:16" x14ac:dyDescent="0.3">
      <c r="B487" s="16"/>
      <c r="C487" s="18"/>
      <c r="D487" s="104"/>
      <c r="E487" s="101"/>
      <c r="F487" s="101"/>
      <c r="G487" s="17" t="str">
        <f t="shared" si="29"/>
        <v/>
      </c>
      <c r="K487" s="2" t="str">
        <f t="shared" si="30"/>
        <v/>
      </c>
      <c r="L487" s="2" t="str">
        <f t="shared" si="32"/>
        <v/>
      </c>
      <c r="M487" s="2" t="str">
        <f t="shared" si="31"/>
        <v/>
      </c>
      <c r="N487" s="5"/>
      <c r="P487" t="s">
        <v>26</v>
      </c>
    </row>
    <row r="488" spans="2:16" x14ac:dyDescent="0.3">
      <c r="B488" s="16"/>
      <c r="C488" s="18"/>
      <c r="D488" s="104"/>
      <c r="E488" s="101"/>
      <c r="F488" s="101"/>
      <c r="G488" s="17" t="str">
        <f t="shared" si="29"/>
        <v/>
      </c>
      <c r="K488" s="2" t="str">
        <f t="shared" si="30"/>
        <v/>
      </c>
      <c r="L488" s="2" t="str">
        <f t="shared" si="32"/>
        <v/>
      </c>
      <c r="M488" s="2" t="str">
        <f t="shared" si="31"/>
        <v/>
      </c>
      <c r="N488" s="5"/>
      <c r="P488" t="s">
        <v>26</v>
      </c>
    </row>
    <row r="489" spans="2:16" x14ac:dyDescent="0.3">
      <c r="B489" s="16"/>
      <c r="C489" s="18"/>
      <c r="D489" s="104"/>
      <c r="E489" s="101"/>
      <c r="F489" s="101"/>
      <c r="G489" s="17" t="str">
        <f t="shared" si="29"/>
        <v/>
      </c>
      <c r="K489" s="2" t="str">
        <f t="shared" si="30"/>
        <v/>
      </c>
      <c r="L489" s="2" t="str">
        <f t="shared" si="32"/>
        <v/>
      </c>
      <c r="M489" s="2" t="str">
        <f t="shared" si="31"/>
        <v/>
      </c>
      <c r="N489" s="5"/>
      <c r="P489" t="s">
        <v>26</v>
      </c>
    </row>
    <row r="490" spans="2:16" x14ac:dyDescent="0.3">
      <c r="B490" s="16"/>
      <c r="C490" s="18"/>
      <c r="D490" s="104"/>
      <c r="E490" s="101"/>
      <c r="F490" s="101"/>
      <c r="G490" s="17" t="str">
        <f t="shared" si="29"/>
        <v/>
      </c>
      <c r="K490" s="2" t="str">
        <f t="shared" si="30"/>
        <v/>
      </c>
      <c r="L490" s="2" t="str">
        <f t="shared" si="32"/>
        <v/>
      </c>
      <c r="M490" s="2" t="str">
        <f t="shared" si="31"/>
        <v/>
      </c>
      <c r="N490" s="5"/>
      <c r="P490" t="s">
        <v>26</v>
      </c>
    </row>
    <row r="491" spans="2:16" x14ac:dyDescent="0.3">
      <c r="B491" s="16"/>
      <c r="C491" s="18"/>
      <c r="D491" s="104"/>
      <c r="E491" s="101"/>
      <c r="F491" s="101"/>
      <c r="G491" s="17" t="str">
        <f t="shared" si="29"/>
        <v/>
      </c>
      <c r="K491" s="2" t="str">
        <f t="shared" si="30"/>
        <v/>
      </c>
      <c r="L491" s="2" t="str">
        <f t="shared" si="32"/>
        <v/>
      </c>
      <c r="M491" s="2" t="str">
        <f t="shared" si="31"/>
        <v/>
      </c>
      <c r="N491" s="5"/>
      <c r="P491" t="s">
        <v>26</v>
      </c>
    </row>
    <row r="492" spans="2:16" x14ac:dyDescent="0.3">
      <c r="B492" s="16"/>
      <c r="C492" s="18"/>
      <c r="D492" s="104"/>
      <c r="E492" s="101"/>
      <c r="F492" s="101"/>
      <c r="G492" s="17" t="str">
        <f t="shared" si="29"/>
        <v/>
      </c>
      <c r="K492" s="2" t="str">
        <f t="shared" si="30"/>
        <v/>
      </c>
      <c r="L492" s="2" t="str">
        <f t="shared" si="32"/>
        <v/>
      </c>
      <c r="M492" s="2" t="str">
        <f t="shared" si="31"/>
        <v/>
      </c>
      <c r="N492" s="5"/>
      <c r="P492" t="s">
        <v>26</v>
      </c>
    </row>
    <row r="493" spans="2:16" x14ac:dyDescent="0.3">
      <c r="B493" s="16"/>
      <c r="C493" s="18"/>
      <c r="D493" s="104"/>
      <c r="E493" s="101"/>
      <c r="F493" s="101"/>
      <c r="G493" s="17" t="str">
        <f t="shared" si="29"/>
        <v/>
      </c>
      <c r="K493" s="2" t="str">
        <f t="shared" si="30"/>
        <v/>
      </c>
      <c r="L493" s="2" t="str">
        <f t="shared" si="32"/>
        <v/>
      </c>
      <c r="M493" s="2" t="str">
        <f t="shared" si="31"/>
        <v/>
      </c>
      <c r="N493" s="5"/>
      <c r="P493" t="s">
        <v>26</v>
      </c>
    </row>
    <row r="494" spans="2:16" x14ac:dyDescent="0.3">
      <c r="B494" s="16"/>
      <c r="C494" s="18"/>
      <c r="D494" s="104"/>
      <c r="E494" s="101"/>
      <c r="F494" s="101"/>
      <c r="G494" s="17" t="str">
        <f t="shared" si="29"/>
        <v/>
      </c>
      <c r="K494" s="2" t="str">
        <f t="shared" si="30"/>
        <v/>
      </c>
      <c r="L494" s="2" t="str">
        <f t="shared" si="32"/>
        <v/>
      </c>
      <c r="M494" s="2" t="str">
        <f t="shared" si="31"/>
        <v/>
      </c>
      <c r="N494" s="5"/>
      <c r="P494" t="s">
        <v>26</v>
      </c>
    </row>
    <row r="495" spans="2:16" x14ac:dyDescent="0.3">
      <c r="B495" s="16"/>
      <c r="C495" s="18"/>
      <c r="D495" s="104"/>
      <c r="E495" s="101"/>
      <c r="F495" s="101"/>
      <c r="G495" s="17" t="str">
        <f t="shared" si="29"/>
        <v/>
      </c>
      <c r="K495" s="2" t="str">
        <f t="shared" si="30"/>
        <v/>
      </c>
      <c r="L495" s="2" t="str">
        <f t="shared" si="32"/>
        <v/>
      </c>
      <c r="M495" s="2" t="str">
        <f t="shared" si="31"/>
        <v/>
      </c>
      <c r="N495" s="5"/>
      <c r="P495" t="s">
        <v>26</v>
      </c>
    </row>
    <row r="496" spans="2:16" x14ac:dyDescent="0.3">
      <c r="B496" s="16"/>
      <c r="C496" s="18"/>
      <c r="D496" s="104"/>
      <c r="E496" s="101"/>
      <c r="F496" s="101"/>
      <c r="G496" s="17" t="str">
        <f t="shared" si="29"/>
        <v/>
      </c>
      <c r="K496" s="2" t="str">
        <f t="shared" si="30"/>
        <v/>
      </c>
      <c r="L496" s="2" t="str">
        <f t="shared" si="32"/>
        <v/>
      </c>
      <c r="M496" s="2" t="str">
        <f t="shared" si="31"/>
        <v/>
      </c>
      <c r="N496" s="5"/>
      <c r="P496" t="s">
        <v>26</v>
      </c>
    </row>
    <row r="497" spans="2:16" x14ac:dyDescent="0.3">
      <c r="B497" s="16"/>
      <c r="C497" s="18"/>
      <c r="D497" s="104"/>
      <c r="E497" s="101"/>
      <c r="F497" s="101"/>
      <c r="G497" s="17" t="str">
        <f t="shared" si="29"/>
        <v/>
      </c>
      <c r="K497" s="2" t="str">
        <f t="shared" si="30"/>
        <v/>
      </c>
      <c r="L497" s="2" t="str">
        <f t="shared" si="32"/>
        <v/>
      </c>
      <c r="M497" s="2" t="str">
        <f t="shared" si="31"/>
        <v/>
      </c>
      <c r="N497" s="5"/>
      <c r="P497" t="s">
        <v>26</v>
      </c>
    </row>
    <row r="498" spans="2:16" x14ac:dyDescent="0.3">
      <c r="B498" s="16"/>
      <c r="C498" s="18"/>
      <c r="D498" s="104"/>
      <c r="E498" s="101"/>
      <c r="F498" s="101"/>
      <c r="G498" s="17" t="str">
        <f t="shared" si="29"/>
        <v/>
      </c>
      <c r="K498" s="2" t="str">
        <f t="shared" si="30"/>
        <v/>
      </c>
      <c r="L498" s="2" t="str">
        <f t="shared" si="32"/>
        <v/>
      </c>
      <c r="M498" s="2" t="str">
        <f t="shared" si="31"/>
        <v/>
      </c>
      <c r="N498" s="5"/>
      <c r="P498" t="s">
        <v>26</v>
      </c>
    </row>
    <row r="499" spans="2:16" x14ac:dyDescent="0.3">
      <c r="B499" s="16"/>
      <c r="C499" s="18"/>
      <c r="D499" s="104"/>
      <c r="E499" s="101"/>
      <c r="F499" s="101"/>
      <c r="G499" s="17" t="str">
        <f t="shared" si="29"/>
        <v/>
      </c>
      <c r="K499" s="2" t="str">
        <f t="shared" si="30"/>
        <v/>
      </c>
      <c r="L499" s="2" t="str">
        <f t="shared" si="32"/>
        <v/>
      </c>
      <c r="M499" s="2" t="str">
        <f t="shared" si="31"/>
        <v/>
      </c>
      <c r="N499" s="5"/>
      <c r="P499" t="s">
        <v>26</v>
      </c>
    </row>
    <row r="500" spans="2:16" x14ac:dyDescent="0.3">
      <c r="B500" s="16"/>
      <c r="C500" s="18"/>
      <c r="D500" s="104"/>
      <c r="E500" s="101"/>
      <c r="F500" s="101"/>
      <c r="G500" s="17" t="str">
        <f t="shared" si="29"/>
        <v/>
      </c>
      <c r="K500" s="2" t="str">
        <f t="shared" si="30"/>
        <v/>
      </c>
      <c r="L500" s="2" t="str">
        <f t="shared" si="32"/>
        <v/>
      </c>
      <c r="M500" s="2" t="str">
        <f t="shared" si="31"/>
        <v/>
      </c>
      <c r="N500" s="5"/>
      <c r="P500" t="s">
        <v>26</v>
      </c>
    </row>
    <row r="501" spans="2:16" x14ac:dyDescent="0.3">
      <c r="B501" s="16"/>
      <c r="C501" s="18"/>
      <c r="D501" s="104"/>
      <c r="E501" s="101"/>
      <c r="F501" s="101"/>
      <c r="G501" s="17" t="str">
        <f t="shared" si="29"/>
        <v/>
      </c>
      <c r="K501" s="2" t="str">
        <f t="shared" si="30"/>
        <v/>
      </c>
      <c r="L501" s="2" t="str">
        <f t="shared" si="32"/>
        <v/>
      </c>
      <c r="M501" s="2" t="str">
        <f t="shared" si="31"/>
        <v/>
      </c>
      <c r="N501" s="5"/>
      <c r="P501" t="s">
        <v>26</v>
      </c>
    </row>
    <row r="502" spans="2:16" x14ac:dyDescent="0.3">
      <c r="B502" s="16"/>
      <c r="C502" s="18"/>
      <c r="D502" s="104"/>
      <c r="E502" s="101"/>
      <c r="F502" s="101"/>
      <c r="G502" s="17" t="str">
        <f t="shared" si="29"/>
        <v/>
      </c>
    </row>
  </sheetData>
  <sortState xmlns:xlrd2="http://schemas.microsoft.com/office/spreadsheetml/2017/richdata2" ref="P23:P501">
    <sortCondition descending="1" ref="P23"/>
  </sortState>
  <mergeCells count="15">
    <mergeCell ref="P27:Q28"/>
    <mergeCell ref="P21:Q22"/>
    <mergeCell ref="S21:T22"/>
    <mergeCell ref="P24:Q25"/>
    <mergeCell ref="P12:Q13"/>
    <mergeCell ref="P18:Q19"/>
    <mergeCell ref="P15:Q16"/>
    <mergeCell ref="O21:O22"/>
    <mergeCell ref="O24:O25"/>
    <mergeCell ref="O27:O28"/>
    <mergeCell ref="O5:O6"/>
    <mergeCell ref="O2:O3"/>
    <mergeCell ref="O12:O13"/>
    <mergeCell ref="O15:O16"/>
    <mergeCell ref="O18:O19"/>
  </mergeCells>
  <phoneticPr fontId="3" type="noConversion"/>
  <conditionalFormatting sqref="G1:G1048576">
    <cfRule type="cellIs" dxfId="4" priority="5" operator="equal">
      <formula>"불일치"</formula>
    </cfRule>
  </conditionalFormatting>
  <conditionalFormatting sqref="K1:L1048576">
    <cfRule type="duplicateValues" dxfId="3" priority="4"/>
  </conditionalFormatting>
  <conditionalFormatting sqref="K1:K1048576">
    <cfRule type="duplicateValues" dxfId="2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abel 1">
              <controlPr defaultSize="0" autoFill="0" autoLine="0" autoPict="0" macro="[0]!copy_All_Sheets_In_Folder">
                <anchor moveWithCells="1" sizeWithCells="1">
                  <from>
                    <xdr:col>15</xdr:col>
                    <xdr:colOff>0</xdr:colOff>
                    <xdr:row>11</xdr:row>
                    <xdr:rowOff>19050</xdr:rowOff>
                  </from>
                  <to>
                    <xdr:col>16</xdr:col>
                    <xdr:colOff>666750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abel 2">
              <controlPr defaultSize="0" autoFill="0" autoLine="0" autoPict="0" macro="[0]!잠재능력_정렬">
                <anchor moveWithCells="1" sizeWithCells="1">
                  <from>
                    <xdr:col>15</xdr:col>
                    <xdr:colOff>0</xdr:colOff>
                    <xdr:row>17</xdr:row>
                    <xdr:rowOff>9525</xdr:rowOff>
                  </from>
                  <to>
                    <xdr:col>16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Label 5">
              <controlPr defaultSize="0" autoFill="0" autoLine="0" autoPict="0" macro="[0]!합반함수">
                <anchor moveWithCells="1" sizeWithCells="1">
                  <from>
                    <xdr:col>15</xdr:col>
                    <xdr:colOff>0</xdr:colOff>
                    <xdr:row>20</xdr:row>
                    <xdr:rowOff>19050</xdr:rowOff>
                  </from>
                  <to>
                    <xdr:col>16</xdr:col>
                    <xdr:colOff>676275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Label 6">
              <controlPr defaultSize="0" autoFill="0" autoLine="0" autoPict="0" macro="[0]!분반함수">
                <anchor moveWithCells="1" sizeWithCells="1">
                  <from>
                    <xdr:col>18</xdr:col>
                    <xdr:colOff>28575</xdr:colOff>
                    <xdr:row>20</xdr:row>
                    <xdr:rowOff>19050</xdr:rowOff>
                  </from>
                  <to>
                    <xdr:col>19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Label 7">
              <controlPr defaultSize="0" autoFill="0" autoLine="0" autoPict="0" macro="[0]!잠재능력_이름확인">
                <anchor moveWithCells="1" sizeWithCells="1">
                  <from>
                    <xdr:col>15</xdr:col>
                    <xdr:colOff>0</xdr:colOff>
                    <xdr:row>14</xdr:row>
                    <xdr:rowOff>9525</xdr:rowOff>
                  </from>
                  <to>
                    <xdr:col>16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Label 9">
              <controlPr defaultSize="0" autoFill="0" autoLine="0" autoPict="0" macro="[0]!Split_sheet">
                <anchor moveWithCells="1" sizeWithCells="1">
                  <from>
                    <xdr:col>15</xdr:col>
                    <xdr:colOff>0</xdr:colOff>
                    <xdr:row>26</xdr:row>
                    <xdr:rowOff>19050</xdr:rowOff>
                  </from>
                  <to>
                    <xdr:col>16</xdr:col>
                    <xdr:colOff>676275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D499"/>
  <sheetViews>
    <sheetView showGridLines="0" tabSelected="1" zoomScale="71" zoomScaleNormal="71" workbookViewId="0">
      <selection activeCell="A2" sqref="A2:AD598"/>
    </sheetView>
  </sheetViews>
  <sheetFormatPr defaultRowHeight="16.5" x14ac:dyDescent="0.3"/>
  <cols>
    <col min="1" max="1" width="6.875" bestFit="1" customWidth="1"/>
    <col min="2" max="2" width="10" bestFit="1" customWidth="1"/>
    <col min="3" max="4" width="5.25" bestFit="1" customWidth="1"/>
    <col min="5" max="6" width="31.625" bestFit="1" customWidth="1"/>
    <col min="7" max="7" width="11.125" bestFit="1" customWidth="1"/>
    <col min="8" max="8" width="9.875" bestFit="1" customWidth="1"/>
    <col min="9" max="9" width="15.25" bestFit="1" customWidth="1"/>
    <col min="10" max="10" width="14" bestFit="1" customWidth="1"/>
    <col min="11" max="11" width="11.125" bestFit="1" customWidth="1"/>
    <col min="12" max="12" width="9.875" bestFit="1" customWidth="1"/>
    <col min="13" max="13" width="7.375" bestFit="1" customWidth="1"/>
    <col min="14" max="14" width="11.875" bestFit="1" customWidth="1"/>
    <col min="15" max="15" width="11.25" bestFit="1" customWidth="1"/>
    <col min="16" max="16" width="16.125" bestFit="1" customWidth="1"/>
    <col min="17" max="17" width="14.625" bestFit="1" customWidth="1"/>
    <col min="18" max="18" width="19.5" bestFit="1" customWidth="1"/>
    <col min="19" max="19" width="11.125" bestFit="1" customWidth="1"/>
    <col min="20" max="20" width="9.875" bestFit="1" customWidth="1"/>
    <col min="21" max="21" width="15.25" bestFit="1" customWidth="1"/>
    <col min="22" max="22" width="14" bestFit="1" customWidth="1"/>
    <col min="23" max="23" width="13.125" bestFit="1" customWidth="1"/>
    <col min="24" max="24" width="11.875" bestFit="1" customWidth="1"/>
    <col min="25" max="25" width="13.125" bestFit="1" customWidth="1"/>
    <col min="26" max="26" width="11.875" bestFit="1" customWidth="1"/>
    <col min="27" max="27" width="22.125" bestFit="1" customWidth="1"/>
    <col min="28" max="28" width="20.875" bestFit="1" customWidth="1"/>
    <col min="29" max="29" width="15.25" bestFit="1" customWidth="1"/>
    <col min="30" max="30" width="14" bestFit="1" customWidth="1"/>
  </cols>
  <sheetData>
    <row r="1" spans="1:30" x14ac:dyDescent="0.3">
      <c r="A1" s="106" t="s">
        <v>11</v>
      </c>
      <c r="B1" s="106" t="s">
        <v>0</v>
      </c>
      <c r="C1" s="106" t="s">
        <v>114</v>
      </c>
      <c r="D1" s="106" t="s">
        <v>3</v>
      </c>
      <c r="E1" s="106" t="s">
        <v>115</v>
      </c>
      <c r="F1" s="106" t="s">
        <v>116</v>
      </c>
      <c r="G1" s="105" t="s">
        <v>117</v>
      </c>
      <c r="H1" s="105" t="s">
        <v>118</v>
      </c>
      <c r="I1" s="105" t="s">
        <v>119</v>
      </c>
      <c r="J1" s="105" t="s">
        <v>120</v>
      </c>
      <c r="K1" s="105" t="s">
        <v>121</v>
      </c>
      <c r="L1" s="105" t="s">
        <v>122</v>
      </c>
      <c r="M1" s="105" t="s">
        <v>123</v>
      </c>
      <c r="N1" s="105" t="s">
        <v>124</v>
      </c>
      <c r="O1" s="105" t="s">
        <v>125</v>
      </c>
      <c r="P1" s="105" t="s">
        <v>126</v>
      </c>
      <c r="Q1" s="105" t="s">
        <v>127</v>
      </c>
      <c r="R1" s="105" t="s">
        <v>128</v>
      </c>
      <c r="S1" s="105" t="s">
        <v>129</v>
      </c>
      <c r="T1" s="105" t="s">
        <v>130</v>
      </c>
      <c r="U1" s="105" t="s">
        <v>131</v>
      </c>
      <c r="V1" s="105" t="s">
        <v>132</v>
      </c>
      <c r="W1" s="105" t="s">
        <v>133</v>
      </c>
      <c r="X1" s="105" t="s">
        <v>134</v>
      </c>
      <c r="Y1" s="105" t="s">
        <v>135</v>
      </c>
      <c r="Z1" s="105" t="s">
        <v>136</v>
      </c>
      <c r="AA1" s="105" t="s">
        <v>137</v>
      </c>
      <c r="AB1" s="105" t="s">
        <v>138</v>
      </c>
      <c r="AC1" s="105" t="s">
        <v>139</v>
      </c>
      <c r="AD1" s="105" t="s">
        <v>140</v>
      </c>
    </row>
    <row r="2" spans="1:30" x14ac:dyDescent="0.3">
      <c r="A2" s="11" t="s">
        <v>531</v>
      </c>
      <c r="B2" s="11">
        <v>10101</v>
      </c>
      <c r="C2" s="11">
        <v>2</v>
      </c>
      <c r="D2" s="11" t="s">
        <v>183</v>
      </c>
      <c r="E2" s="11" t="s">
        <v>184</v>
      </c>
      <c r="F2" s="11" t="s">
        <v>185</v>
      </c>
      <c r="G2" s="11">
        <v>23</v>
      </c>
      <c r="H2" s="11" t="s">
        <v>186</v>
      </c>
      <c r="I2" s="11">
        <v>23</v>
      </c>
      <c r="J2" s="11" t="s">
        <v>186</v>
      </c>
      <c r="K2" s="11">
        <v>45</v>
      </c>
      <c r="L2" s="11" t="s">
        <v>187</v>
      </c>
      <c r="M2" s="11">
        <v>0</v>
      </c>
      <c r="N2" s="11" t="s">
        <v>188</v>
      </c>
      <c r="O2" s="11">
        <v>3</v>
      </c>
      <c r="P2" s="11" t="s">
        <v>189</v>
      </c>
      <c r="Q2" s="11">
        <v>3</v>
      </c>
      <c r="R2" s="11" t="s">
        <v>190</v>
      </c>
      <c r="S2" s="11">
        <v>37</v>
      </c>
      <c r="T2" s="11" t="s">
        <v>187</v>
      </c>
      <c r="U2" s="11">
        <v>58</v>
      </c>
      <c r="V2" s="11" t="s">
        <v>191</v>
      </c>
      <c r="W2" s="11">
        <v>45</v>
      </c>
      <c r="X2" s="11" t="s">
        <v>191</v>
      </c>
      <c r="Y2" s="11">
        <v>48</v>
      </c>
      <c r="Z2" s="2" t="s">
        <v>191</v>
      </c>
      <c r="AA2" s="2">
        <v>32</v>
      </c>
      <c r="AB2" s="2" t="s">
        <v>187</v>
      </c>
      <c r="AC2" s="2">
        <v>62</v>
      </c>
      <c r="AD2" s="2" t="s">
        <v>192</v>
      </c>
    </row>
    <row r="3" spans="1:30" x14ac:dyDescent="0.3">
      <c r="A3" s="11" t="s">
        <v>531</v>
      </c>
      <c r="B3" s="11">
        <v>10102</v>
      </c>
      <c r="C3" s="11">
        <v>2</v>
      </c>
      <c r="D3" s="11" t="s">
        <v>193</v>
      </c>
      <c r="E3" s="11" t="s">
        <v>194</v>
      </c>
      <c r="F3" s="11" t="s">
        <v>195</v>
      </c>
      <c r="G3" s="11">
        <v>32</v>
      </c>
      <c r="H3" s="11" t="s">
        <v>196</v>
      </c>
      <c r="I3" s="11">
        <v>31</v>
      </c>
      <c r="J3" s="11" t="s">
        <v>196</v>
      </c>
      <c r="K3" s="11">
        <v>26</v>
      </c>
      <c r="L3" s="11" t="s">
        <v>186</v>
      </c>
      <c r="M3" s="11">
        <v>0</v>
      </c>
      <c r="N3" s="11" t="s">
        <v>188</v>
      </c>
      <c r="O3" s="11">
        <v>1</v>
      </c>
      <c r="P3" s="11" t="s">
        <v>197</v>
      </c>
      <c r="Q3" s="11">
        <v>3</v>
      </c>
      <c r="R3" s="11" t="s">
        <v>190</v>
      </c>
      <c r="S3" s="11">
        <v>37</v>
      </c>
      <c r="T3" s="11" t="s">
        <v>187</v>
      </c>
      <c r="U3" s="11">
        <v>37</v>
      </c>
      <c r="V3" s="11" t="s">
        <v>187</v>
      </c>
      <c r="W3" s="11">
        <v>33</v>
      </c>
      <c r="X3" s="11" t="s">
        <v>187</v>
      </c>
      <c r="Y3" s="11">
        <v>36</v>
      </c>
      <c r="Z3" s="2" t="s">
        <v>187</v>
      </c>
      <c r="AA3" s="2">
        <v>32</v>
      </c>
      <c r="AB3" s="2" t="s">
        <v>187</v>
      </c>
      <c r="AC3" s="2">
        <v>36</v>
      </c>
      <c r="AD3" s="2" t="s">
        <v>187</v>
      </c>
    </row>
    <row r="4" spans="1:30" x14ac:dyDescent="0.3">
      <c r="A4" s="11" t="s">
        <v>531</v>
      </c>
      <c r="B4" s="11">
        <v>10103</v>
      </c>
      <c r="C4" s="11">
        <v>2</v>
      </c>
      <c r="D4" s="11" t="s">
        <v>198</v>
      </c>
      <c r="E4" s="11" t="s">
        <v>199</v>
      </c>
      <c r="F4" s="11" t="s">
        <v>200</v>
      </c>
      <c r="G4" s="11">
        <v>77</v>
      </c>
      <c r="H4" s="11" t="s">
        <v>201</v>
      </c>
      <c r="I4" s="11">
        <v>65</v>
      </c>
      <c r="J4" s="11" t="s">
        <v>202</v>
      </c>
      <c r="K4" s="11">
        <v>76</v>
      </c>
      <c r="L4" s="11" t="s">
        <v>201</v>
      </c>
      <c r="M4" s="11">
        <v>0</v>
      </c>
      <c r="N4" s="11" t="s">
        <v>188</v>
      </c>
      <c r="O4" s="11">
        <v>5</v>
      </c>
      <c r="P4" s="11" t="s">
        <v>189</v>
      </c>
      <c r="Q4" s="11">
        <v>0</v>
      </c>
      <c r="R4" s="11" t="s">
        <v>203</v>
      </c>
      <c r="S4" s="11">
        <v>85</v>
      </c>
      <c r="T4" s="11" t="s">
        <v>192</v>
      </c>
      <c r="U4" s="11">
        <v>79</v>
      </c>
      <c r="V4" s="11" t="s">
        <v>192</v>
      </c>
      <c r="W4" s="11">
        <v>81</v>
      </c>
      <c r="X4" s="11" t="s">
        <v>192</v>
      </c>
      <c r="Y4" s="11">
        <v>85</v>
      </c>
      <c r="Z4" s="2" t="s">
        <v>192</v>
      </c>
      <c r="AA4" s="2">
        <v>80</v>
      </c>
      <c r="AB4" s="2" t="s">
        <v>192</v>
      </c>
      <c r="AC4" s="2">
        <v>87</v>
      </c>
      <c r="AD4" s="2" t="s">
        <v>192</v>
      </c>
    </row>
    <row r="5" spans="1:30" x14ac:dyDescent="0.3">
      <c r="A5" s="11" t="s">
        <v>531</v>
      </c>
      <c r="B5" s="11">
        <v>10104</v>
      </c>
      <c r="C5" s="11">
        <v>2</v>
      </c>
      <c r="D5" s="11" t="s">
        <v>204</v>
      </c>
      <c r="E5" s="11" t="s">
        <v>205</v>
      </c>
      <c r="F5" t="s">
        <v>206</v>
      </c>
      <c r="G5" s="11">
        <v>81</v>
      </c>
      <c r="H5" s="11" t="s">
        <v>201</v>
      </c>
      <c r="I5" s="11">
        <v>86</v>
      </c>
      <c r="J5" s="11" t="s">
        <v>201</v>
      </c>
      <c r="K5" s="11">
        <v>76</v>
      </c>
      <c r="L5" s="11" t="s">
        <v>201</v>
      </c>
      <c r="M5" s="11">
        <v>0</v>
      </c>
      <c r="N5" s="11" t="s">
        <v>188</v>
      </c>
      <c r="O5" s="11">
        <v>1</v>
      </c>
      <c r="P5" s="11" t="s">
        <v>197</v>
      </c>
      <c r="Q5" s="11">
        <v>0</v>
      </c>
      <c r="R5" s="11" t="s">
        <v>203</v>
      </c>
      <c r="S5" s="11">
        <v>37</v>
      </c>
      <c r="T5" s="11" t="s">
        <v>187</v>
      </c>
      <c r="U5" s="11">
        <v>37</v>
      </c>
      <c r="V5" s="11" t="s">
        <v>187</v>
      </c>
      <c r="W5" s="11">
        <v>33</v>
      </c>
      <c r="X5" s="11" t="s">
        <v>187</v>
      </c>
      <c r="Y5" s="11">
        <v>36</v>
      </c>
      <c r="Z5" s="2" t="s">
        <v>187</v>
      </c>
      <c r="AA5" s="2">
        <v>32</v>
      </c>
      <c r="AB5" s="2" t="s">
        <v>187</v>
      </c>
      <c r="AC5" s="2">
        <v>36</v>
      </c>
      <c r="AD5" s="2" t="s">
        <v>187</v>
      </c>
    </row>
    <row r="6" spans="1:30" x14ac:dyDescent="0.3">
      <c r="A6" s="11" t="s">
        <v>531</v>
      </c>
      <c r="B6" s="11">
        <v>10105</v>
      </c>
      <c r="C6" s="11">
        <v>2</v>
      </c>
      <c r="D6" s="11" t="s">
        <v>207</v>
      </c>
      <c r="E6" s="11" t="s">
        <v>184</v>
      </c>
      <c r="F6" s="11" t="s">
        <v>185</v>
      </c>
      <c r="G6" s="11">
        <v>23</v>
      </c>
      <c r="H6" s="11" t="s">
        <v>186</v>
      </c>
      <c r="I6" s="11">
        <v>23</v>
      </c>
      <c r="J6" s="11" t="s">
        <v>186</v>
      </c>
      <c r="K6" s="11">
        <v>45</v>
      </c>
      <c r="L6" s="11" t="s">
        <v>187</v>
      </c>
      <c r="M6" s="11">
        <v>0</v>
      </c>
      <c r="N6" s="11" t="s">
        <v>188</v>
      </c>
      <c r="O6" s="11">
        <v>3</v>
      </c>
      <c r="P6" s="11" t="s">
        <v>189</v>
      </c>
      <c r="Q6" s="11">
        <v>3</v>
      </c>
      <c r="R6" s="11" t="s">
        <v>190</v>
      </c>
      <c r="S6" s="11">
        <v>37</v>
      </c>
      <c r="T6" s="11" t="s">
        <v>187</v>
      </c>
      <c r="U6" s="11">
        <v>58</v>
      </c>
      <c r="V6" s="11" t="s">
        <v>191</v>
      </c>
      <c r="W6" s="11">
        <v>45</v>
      </c>
      <c r="X6" s="11" t="s">
        <v>191</v>
      </c>
      <c r="Y6" s="11">
        <v>48</v>
      </c>
      <c r="Z6" s="2" t="s">
        <v>191</v>
      </c>
      <c r="AA6" s="2">
        <v>32</v>
      </c>
      <c r="AB6" s="2" t="s">
        <v>187</v>
      </c>
      <c r="AC6" s="2">
        <v>62</v>
      </c>
      <c r="AD6" s="2" t="s">
        <v>192</v>
      </c>
    </row>
    <row r="7" spans="1:30" x14ac:dyDescent="0.3">
      <c r="A7" s="11" t="s">
        <v>531</v>
      </c>
      <c r="B7" s="11">
        <v>10106</v>
      </c>
      <c r="C7" s="11">
        <v>2</v>
      </c>
      <c r="D7" s="11" t="s">
        <v>208</v>
      </c>
      <c r="E7" s="11" t="s">
        <v>194</v>
      </c>
      <c r="F7" s="11" t="s">
        <v>195</v>
      </c>
      <c r="G7" s="11">
        <v>32</v>
      </c>
      <c r="H7" s="11" t="s">
        <v>196</v>
      </c>
      <c r="I7" s="11">
        <v>31</v>
      </c>
      <c r="J7" s="11" t="s">
        <v>196</v>
      </c>
      <c r="K7" s="11">
        <v>26</v>
      </c>
      <c r="L7" s="11" t="s">
        <v>186</v>
      </c>
      <c r="M7" s="11">
        <v>0</v>
      </c>
      <c r="N7" s="11" t="s">
        <v>188</v>
      </c>
      <c r="O7" s="11">
        <v>1</v>
      </c>
      <c r="P7" s="11" t="s">
        <v>197</v>
      </c>
      <c r="Q7" s="11">
        <v>3</v>
      </c>
      <c r="R7" s="11" t="s">
        <v>190</v>
      </c>
      <c r="S7" s="11">
        <v>37</v>
      </c>
      <c r="T7" s="11" t="s">
        <v>187</v>
      </c>
      <c r="U7" s="11">
        <v>37</v>
      </c>
      <c r="V7" s="11" t="s">
        <v>187</v>
      </c>
      <c r="W7" s="11">
        <v>33</v>
      </c>
      <c r="X7" s="11" t="s">
        <v>187</v>
      </c>
      <c r="Y7" s="11">
        <v>36</v>
      </c>
      <c r="Z7" s="2" t="s">
        <v>187</v>
      </c>
      <c r="AA7" s="2">
        <v>32</v>
      </c>
      <c r="AB7" s="2" t="s">
        <v>187</v>
      </c>
      <c r="AC7" s="2">
        <v>36</v>
      </c>
      <c r="AD7" s="2" t="s">
        <v>187</v>
      </c>
    </row>
    <row r="8" spans="1:30" x14ac:dyDescent="0.3">
      <c r="A8" s="11" t="s">
        <v>531</v>
      </c>
      <c r="B8" s="11">
        <v>10107</v>
      </c>
      <c r="C8" s="11">
        <v>2</v>
      </c>
      <c r="D8" s="11" t="s">
        <v>209</v>
      </c>
      <c r="E8" s="11" t="s">
        <v>199</v>
      </c>
      <c r="F8" s="11" t="s">
        <v>200</v>
      </c>
      <c r="G8" s="11">
        <v>77</v>
      </c>
      <c r="H8" s="11" t="s">
        <v>201</v>
      </c>
      <c r="I8" s="11">
        <v>65</v>
      </c>
      <c r="J8" s="11" t="s">
        <v>202</v>
      </c>
      <c r="K8" s="11">
        <v>76</v>
      </c>
      <c r="L8" s="11" t="s">
        <v>201</v>
      </c>
      <c r="M8" s="11">
        <v>0</v>
      </c>
      <c r="N8" s="11" t="s">
        <v>188</v>
      </c>
      <c r="O8" s="11">
        <v>5</v>
      </c>
      <c r="P8" s="11" t="s">
        <v>189</v>
      </c>
      <c r="Q8" s="11">
        <v>0</v>
      </c>
      <c r="R8" s="11" t="s">
        <v>203</v>
      </c>
      <c r="S8" s="11">
        <v>85</v>
      </c>
      <c r="T8" s="11" t="s">
        <v>192</v>
      </c>
      <c r="U8" s="11">
        <v>79</v>
      </c>
      <c r="V8" s="11" t="s">
        <v>192</v>
      </c>
      <c r="W8" s="11">
        <v>81</v>
      </c>
      <c r="X8" s="11" t="s">
        <v>192</v>
      </c>
      <c r="Y8" s="11">
        <v>85</v>
      </c>
      <c r="Z8" s="2" t="s">
        <v>192</v>
      </c>
      <c r="AA8" s="2">
        <v>80</v>
      </c>
      <c r="AB8" s="2" t="s">
        <v>192</v>
      </c>
      <c r="AC8" s="2">
        <v>87</v>
      </c>
      <c r="AD8" s="2" t="s">
        <v>192</v>
      </c>
    </row>
    <row r="9" spans="1:30" x14ac:dyDescent="0.3">
      <c r="A9" s="11" t="s">
        <v>531</v>
      </c>
      <c r="B9" s="11">
        <v>10108</v>
      </c>
      <c r="C9" s="11">
        <v>2</v>
      </c>
      <c r="D9" s="11" t="s">
        <v>210</v>
      </c>
      <c r="E9" s="11" t="s">
        <v>205</v>
      </c>
      <c r="F9" s="11" t="s">
        <v>206</v>
      </c>
      <c r="G9" s="11">
        <v>81</v>
      </c>
      <c r="H9" s="11" t="s">
        <v>201</v>
      </c>
      <c r="I9" s="11">
        <v>86</v>
      </c>
      <c r="J9" s="11" t="s">
        <v>201</v>
      </c>
      <c r="K9" s="11">
        <v>76</v>
      </c>
      <c r="L9" s="11" t="s">
        <v>201</v>
      </c>
      <c r="M9" s="11">
        <v>0</v>
      </c>
      <c r="N9" s="11" t="s">
        <v>188</v>
      </c>
      <c r="O9" s="11">
        <v>1</v>
      </c>
      <c r="P9" s="11" t="s">
        <v>197</v>
      </c>
      <c r="Q9" s="11">
        <v>0</v>
      </c>
      <c r="R9" s="11" t="s">
        <v>203</v>
      </c>
      <c r="S9" s="11">
        <v>37</v>
      </c>
      <c r="T9" s="11" t="s">
        <v>187</v>
      </c>
      <c r="U9" s="11">
        <v>37</v>
      </c>
      <c r="V9" s="11" t="s">
        <v>187</v>
      </c>
      <c r="W9" s="11">
        <v>33</v>
      </c>
      <c r="X9" s="11" t="s">
        <v>187</v>
      </c>
      <c r="Y9" s="11">
        <v>36</v>
      </c>
      <c r="Z9" s="2" t="s">
        <v>187</v>
      </c>
      <c r="AA9" s="2">
        <v>32</v>
      </c>
      <c r="AB9" s="2" t="s">
        <v>187</v>
      </c>
      <c r="AC9" s="2">
        <v>36</v>
      </c>
      <c r="AD9" s="2" t="s">
        <v>187</v>
      </c>
    </row>
    <row r="10" spans="1:30" x14ac:dyDescent="0.3">
      <c r="A10" s="11" t="s">
        <v>531</v>
      </c>
      <c r="B10" s="11">
        <v>10109</v>
      </c>
      <c r="C10" s="11">
        <v>2</v>
      </c>
      <c r="D10" s="11" t="s">
        <v>211</v>
      </c>
      <c r="E10" s="11" t="s">
        <v>184</v>
      </c>
      <c r="F10" s="11" t="s">
        <v>185</v>
      </c>
      <c r="G10" s="11">
        <v>23</v>
      </c>
      <c r="H10" s="11" t="s">
        <v>186</v>
      </c>
      <c r="I10" s="11">
        <v>23</v>
      </c>
      <c r="J10" s="11" t="s">
        <v>186</v>
      </c>
      <c r="K10" s="11">
        <v>45</v>
      </c>
      <c r="L10" s="11" t="s">
        <v>187</v>
      </c>
      <c r="M10" s="11">
        <v>0</v>
      </c>
      <c r="N10" s="11" t="s">
        <v>188</v>
      </c>
      <c r="O10" s="11">
        <v>3</v>
      </c>
      <c r="P10" s="11" t="s">
        <v>189</v>
      </c>
      <c r="Q10" s="11">
        <v>3</v>
      </c>
      <c r="R10" s="11" t="s">
        <v>190</v>
      </c>
      <c r="S10" s="11">
        <v>37</v>
      </c>
      <c r="T10" s="11" t="s">
        <v>187</v>
      </c>
      <c r="U10" s="11">
        <v>58</v>
      </c>
      <c r="V10" s="11" t="s">
        <v>191</v>
      </c>
      <c r="W10" s="11">
        <v>45</v>
      </c>
      <c r="X10" s="11" t="s">
        <v>191</v>
      </c>
      <c r="Y10" s="11">
        <v>48</v>
      </c>
      <c r="Z10" s="2" t="s">
        <v>191</v>
      </c>
      <c r="AA10" s="2">
        <v>32</v>
      </c>
      <c r="AB10" s="2" t="s">
        <v>187</v>
      </c>
      <c r="AC10" s="2">
        <v>62</v>
      </c>
      <c r="AD10" s="2" t="s">
        <v>192</v>
      </c>
    </row>
    <row r="11" spans="1:30" x14ac:dyDescent="0.3">
      <c r="A11" s="11" t="s">
        <v>531</v>
      </c>
      <c r="B11" s="11">
        <v>10110</v>
      </c>
      <c r="C11" s="11">
        <v>2</v>
      </c>
      <c r="D11" s="11" t="s">
        <v>212</v>
      </c>
      <c r="E11" s="11" t="s">
        <v>194</v>
      </c>
      <c r="F11" s="11" t="s">
        <v>195</v>
      </c>
      <c r="G11" s="11">
        <v>32</v>
      </c>
      <c r="H11" s="11" t="s">
        <v>196</v>
      </c>
      <c r="I11" s="11">
        <v>31</v>
      </c>
      <c r="J11" s="11" t="s">
        <v>196</v>
      </c>
      <c r="K11" s="11">
        <v>26</v>
      </c>
      <c r="L11" s="11" t="s">
        <v>186</v>
      </c>
      <c r="M11" s="11">
        <v>0</v>
      </c>
      <c r="N11" s="11" t="s">
        <v>188</v>
      </c>
      <c r="O11" s="11">
        <v>1</v>
      </c>
      <c r="P11" s="11" t="s">
        <v>197</v>
      </c>
      <c r="Q11" s="11">
        <v>3</v>
      </c>
      <c r="R11" s="11" t="s">
        <v>190</v>
      </c>
      <c r="S11" s="11">
        <v>37</v>
      </c>
      <c r="T11" s="11" t="s">
        <v>187</v>
      </c>
      <c r="U11" s="11">
        <v>37</v>
      </c>
      <c r="V11" s="11" t="s">
        <v>187</v>
      </c>
      <c r="W11" s="11">
        <v>33</v>
      </c>
      <c r="X11" s="11" t="s">
        <v>187</v>
      </c>
      <c r="Y11" s="11">
        <v>36</v>
      </c>
      <c r="Z11" s="2" t="s">
        <v>187</v>
      </c>
      <c r="AA11" s="2">
        <v>32</v>
      </c>
      <c r="AB11" s="2" t="s">
        <v>187</v>
      </c>
      <c r="AC11" s="2">
        <v>36</v>
      </c>
      <c r="AD11" s="2" t="s">
        <v>187</v>
      </c>
    </row>
    <row r="12" spans="1:30" x14ac:dyDescent="0.3">
      <c r="A12" s="11" t="s">
        <v>531</v>
      </c>
      <c r="B12" s="11">
        <v>10111</v>
      </c>
      <c r="C12" s="11">
        <v>2</v>
      </c>
      <c r="D12" s="11" t="s">
        <v>213</v>
      </c>
      <c r="E12" s="11" t="s">
        <v>199</v>
      </c>
      <c r="F12" s="11" t="s">
        <v>200</v>
      </c>
      <c r="G12" s="11">
        <v>77</v>
      </c>
      <c r="H12" s="11" t="s">
        <v>201</v>
      </c>
      <c r="I12" s="11">
        <v>65</v>
      </c>
      <c r="J12" s="11" t="s">
        <v>202</v>
      </c>
      <c r="K12" s="11">
        <v>76</v>
      </c>
      <c r="L12" s="11" t="s">
        <v>201</v>
      </c>
      <c r="M12" s="11">
        <v>0</v>
      </c>
      <c r="N12" s="11" t="s">
        <v>188</v>
      </c>
      <c r="O12" s="11">
        <v>5</v>
      </c>
      <c r="P12" s="11" t="s">
        <v>189</v>
      </c>
      <c r="Q12" s="11">
        <v>0</v>
      </c>
      <c r="R12" s="11" t="s">
        <v>203</v>
      </c>
      <c r="S12" s="11">
        <v>85</v>
      </c>
      <c r="T12" s="11" t="s">
        <v>192</v>
      </c>
      <c r="U12" s="11">
        <v>79</v>
      </c>
      <c r="V12" s="11" t="s">
        <v>192</v>
      </c>
      <c r="W12" s="11">
        <v>81</v>
      </c>
      <c r="X12" s="11" t="s">
        <v>192</v>
      </c>
      <c r="Y12" s="11">
        <v>85</v>
      </c>
      <c r="Z12" s="2" t="s">
        <v>192</v>
      </c>
      <c r="AA12" s="2">
        <v>80</v>
      </c>
      <c r="AB12" s="2" t="s">
        <v>192</v>
      </c>
      <c r="AC12" s="2">
        <v>87</v>
      </c>
      <c r="AD12" s="2" t="s">
        <v>192</v>
      </c>
    </row>
    <row r="13" spans="1:30" x14ac:dyDescent="0.3">
      <c r="A13" s="11" t="s">
        <v>531</v>
      </c>
      <c r="B13" s="11">
        <v>10112</v>
      </c>
      <c r="C13" s="11">
        <v>2</v>
      </c>
      <c r="D13" s="11" t="s">
        <v>214</v>
      </c>
      <c r="E13" s="11" t="s">
        <v>205</v>
      </c>
      <c r="F13" s="11" t="s">
        <v>206</v>
      </c>
      <c r="G13" s="11">
        <v>81</v>
      </c>
      <c r="H13" s="11" t="s">
        <v>201</v>
      </c>
      <c r="I13" s="11">
        <v>86</v>
      </c>
      <c r="J13" s="11" t="s">
        <v>201</v>
      </c>
      <c r="K13" s="11">
        <v>76</v>
      </c>
      <c r="L13" s="11" t="s">
        <v>201</v>
      </c>
      <c r="M13" s="11">
        <v>0</v>
      </c>
      <c r="N13" s="11" t="s">
        <v>188</v>
      </c>
      <c r="O13" s="11">
        <v>1</v>
      </c>
      <c r="P13" s="11" t="s">
        <v>197</v>
      </c>
      <c r="Q13" s="11">
        <v>0</v>
      </c>
      <c r="R13" s="11" t="s">
        <v>203</v>
      </c>
      <c r="S13" s="11">
        <v>37</v>
      </c>
      <c r="T13" s="11" t="s">
        <v>187</v>
      </c>
      <c r="U13" s="11">
        <v>37</v>
      </c>
      <c r="V13" s="11" t="s">
        <v>187</v>
      </c>
      <c r="W13" s="11">
        <v>33</v>
      </c>
      <c r="X13" s="11" t="s">
        <v>187</v>
      </c>
      <c r="Y13" s="11">
        <v>36</v>
      </c>
      <c r="Z13" s="2" t="s">
        <v>187</v>
      </c>
      <c r="AA13" s="2">
        <v>32</v>
      </c>
      <c r="AB13" s="2" t="s">
        <v>187</v>
      </c>
      <c r="AC13" s="2">
        <v>36</v>
      </c>
      <c r="AD13" s="2" t="s">
        <v>187</v>
      </c>
    </row>
    <row r="14" spans="1:30" x14ac:dyDescent="0.3">
      <c r="A14" s="11" t="s">
        <v>531</v>
      </c>
      <c r="B14" s="11">
        <v>10113</v>
      </c>
      <c r="C14" s="11">
        <v>2</v>
      </c>
      <c r="D14" s="11" t="s">
        <v>215</v>
      </c>
      <c r="E14" s="11" t="s">
        <v>184</v>
      </c>
      <c r="F14" s="11" t="s">
        <v>185</v>
      </c>
      <c r="G14" s="11">
        <v>23</v>
      </c>
      <c r="H14" s="11" t="s">
        <v>186</v>
      </c>
      <c r="I14" s="11">
        <v>23</v>
      </c>
      <c r="J14" s="11" t="s">
        <v>186</v>
      </c>
      <c r="K14" s="11">
        <v>45</v>
      </c>
      <c r="L14" s="11" t="s">
        <v>187</v>
      </c>
      <c r="M14" s="11">
        <v>0</v>
      </c>
      <c r="N14" s="11" t="s">
        <v>188</v>
      </c>
      <c r="O14" s="11">
        <v>3</v>
      </c>
      <c r="P14" s="11" t="s">
        <v>189</v>
      </c>
      <c r="Q14" s="11">
        <v>3</v>
      </c>
      <c r="R14" s="11" t="s">
        <v>190</v>
      </c>
      <c r="S14" s="11">
        <v>37</v>
      </c>
      <c r="T14" s="11" t="s">
        <v>187</v>
      </c>
      <c r="U14" s="11">
        <v>58</v>
      </c>
      <c r="V14" s="11" t="s">
        <v>191</v>
      </c>
      <c r="W14" s="11">
        <v>45</v>
      </c>
      <c r="X14" s="11" t="s">
        <v>191</v>
      </c>
      <c r="Y14" s="11">
        <v>48</v>
      </c>
      <c r="Z14" s="2" t="s">
        <v>191</v>
      </c>
      <c r="AA14" s="2">
        <v>32</v>
      </c>
      <c r="AB14" s="2" t="s">
        <v>187</v>
      </c>
      <c r="AC14" s="2">
        <v>62</v>
      </c>
      <c r="AD14" s="2" t="s">
        <v>192</v>
      </c>
    </row>
    <row r="15" spans="1:30" x14ac:dyDescent="0.3">
      <c r="A15" s="11" t="s">
        <v>531</v>
      </c>
      <c r="B15" s="11">
        <v>10114</v>
      </c>
      <c r="C15" s="11">
        <v>2</v>
      </c>
      <c r="D15" s="11" t="s">
        <v>216</v>
      </c>
      <c r="E15" s="11" t="s">
        <v>194</v>
      </c>
      <c r="F15" s="11" t="s">
        <v>195</v>
      </c>
      <c r="G15" s="11">
        <v>32</v>
      </c>
      <c r="H15" s="11" t="s">
        <v>196</v>
      </c>
      <c r="I15" s="11">
        <v>31</v>
      </c>
      <c r="J15" s="11" t="s">
        <v>196</v>
      </c>
      <c r="K15" s="11">
        <v>26</v>
      </c>
      <c r="L15" s="11" t="s">
        <v>186</v>
      </c>
      <c r="M15" s="11">
        <v>0</v>
      </c>
      <c r="N15" s="11" t="s">
        <v>188</v>
      </c>
      <c r="O15" s="11">
        <v>1</v>
      </c>
      <c r="P15" s="11" t="s">
        <v>197</v>
      </c>
      <c r="Q15" s="11">
        <v>3</v>
      </c>
      <c r="R15" s="11" t="s">
        <v>190</v>
      </c>
      <c r="S15" s="11">
        <v>37</v>
      </c>
      <c r="T15" s="11" t="s">
        <v>187</v>
      </c>
      <c r="U15" s="11">
        <v>37</v>
      </c>
      <c r="V15" s="11" t="s">
        <v>187</v>
      </c>
      <c r="W15" s="11">
        <v>33</v>
      </c>
      <c r="X15" s="11" t="s">
        <v>187</v>
      </c>
      <c r="Y15" s="11">
        <v>36</v>
      </c>
      <c r="Z15" s="2" t="s">
        <v>187</v>
      </c>
      <c r="AA15" s="2">
        <v>32</v>
      </c>
      <c r="AB15" s="2" t="s">
        <v>187</v>
      </c>
      <c r="AC15" s="2">
        <v>36</v>
      </c>
      <c r="AD15" s="2" t="s">
        <v>187</v>
      </c>
    </row>
    <row r="16" spans="1:30" x14ac:dyDescent="0.3">
      <c r="A16" s="11" t="s">
        <v>531</v>
      </c>
      <c r="B16" s="11">
        <v>10115</v>
      </c>
      <c r="C16" s="11">
        <v>2</v>
      </c>
      <c r="D16" s="11" t="s">
        <v>217</v>
      </c>
      <c r="E16" s="11" t="s">
        <v>199</v>
      </c>
      <c r="F16" s="11" t="s">
        <v>200</v>
      </c>
      <c r="G16" s="11">
        <v>77</v>
      </c>
      <c r="H16" s="11" t="s">
        <v>201</v>
      </c>
      <c r="I16" s="11">
        <v>65</v>
      </c>
      <c r="J16" s="11" t="s">
        <v>202</v>
      </c>
      <c r="K16" s="11">
        <v>76</v>
      </c>
      <c r="L16" s="11" t="s">
        <v>201</v>
      </c>
      <c r="M16" s="11">
        <v>0</v>
      </c>
      <c r="N16" s="11" t="s">
        <v>188</v>
      </c>
      <c r="O16" s="11">
        <v>5</v>
      </c>
      <c r="P16" s="11" t="s">
        <v>189</v>
      </c>
      <c r="Q16" s="11">
        <v>0</v>
      </c>
      <c r="R16" s="11" t="s">
        <v>203</v>
      </c>
      <c r="S16" s="11">
        <v>85</v>
      </c>
      <c r="T16" s="11" t="s">
        <v>192</v>
      </c>
      <c r="U16" s="11">
        <v>79</v>
      </c>
      <c r="V16" s="11" t="s">
        <v>192</v>
      </c>
      <c r="W16" s="11">
        <v>81</v>
      </c>
      <c r="X16" s="11" t="s">
        <v>192</v>
      </c>
      <c r="Y16" s="11">
        <v>85</v>
      </c>
      <c r="Z16" s="2" t="s">
        <v>192</v>
      </c>
      <c r="AA16" s="2">
        <v>80</v>
      </c>
      <c r="AB16" s="2" t="s">
        <v>192</v>
      </c>
      <c r="AC16" s="2">
        <v>87</v>
      </c>
      <c r="AD16" s="2" t="s">
        <v>192</v>
      </c>
    </row>
    <row r="17" spans="1:30" x14ac:dyDescent="0.3">
      <c r="A17" s="11" t="s">
        <v>531</v>
      </c>
      <c r="B17" s="11">
        <v>10116</v>
      </c>
      <c r="C17" s="11">
        <v>1</v>
      </c>
      <c r="D17" s="11" t="s">
        <v>218</v>
      </c>
      <c r="E17" s="11" t="s">
        <v>205</v>
      </c>
      <c r="F17" s="11" t="s">
        <v>206</v>
      </c>
      <c r="G17" s="11">
        <v>81</v>
      </c>
      <c r="H17" s="11" t="s">
        <v>201</v>
      </c>
      <c r="I17" s="11">
        <v>86</v>
      </c>
      <c r="J17" s="11" t="s">
        <v>201</v>
      </c>
      <c r="K17" s="11">
        <v>76</v>
      </c>
      <c r="L17" s="11" t="s">
        <v>201</v>
      </c>
      <c r="M17" s="11">
        <v>0</v>
      </c>
      <c r="N17" s="11" t="s">
        <v>188</v>
      </c>
      <c r="O17" s="11">
        <v>1</v>
      </c>
      <c r="P17" s="11" t="s">
        <v>197</v>
      </c>
      <c r="Q17" s="11">
        <v>0</v>
      </c>
      <c r="R17" s="11" t="s">
        <v>203</v>
      </c>
      <c r="S17" s="11">
        <v>37</v>
      </c>
      <c r="T17" s="11" t="s">
        <v>187</v>
      </c>
      <c r="U17" s="11">
        <v>37</v>
      </c>
      <c r="V17" s="11" t="s">
        <v>187</v>
      </c>
      <c r="W17" s="11">
        <v>33</v>
      </c>
      <c r="X17" s="11" t="s">
        <v>187</v>
      </c>
      <c r="Y17" s="11">
        <v>36</v>
      </c>
      <c r="Z17" s="2" t="s">
        <v>187</v>
      </c>
      <c r="AA17" s="2">
        <v>32</v>
      </c>
      <c r="AB17" s="2" t="s">
        <v>187</v>
      </c>
      <c r="AC17" s="2">
        <v>36</v>
      </c>
      <c r="AD17" s="2" t="s">
        <v>187</v>
      </c>
    </row>
    <row r="18" spans="1:30" x14ac:dyDescent="0.3">
      <c r="A18" s="11" t="s">
        <v>531</v>
      </c>
      <c r="B18" s="11">
        <v>10117</v>
      </c>
      <c r="C18" s="11">
        <v>1</v>
      </c>
      <c r="D18" s="11" t="s">
        <v>219</v>
      </c>
      <c r="E18" s="11" t="s">
        <v>184</v>
      </c>
      <c r="F18" s="11" t="s">
        <v>185</v>
      </c>
      <c r="G18" s="11">
        <v>23</v>
      </c>
      <c r="H18" s="11" t="s">
        <v>186</v>
      </c>
      <c r="I18" s="11">
        <v>23</v>
      </c>
      <c r="J18" s="11" t="s">
        <v>186</v>
      </c>
      <c r="K18" s="11">
        <v>45</v>
      </c>
      <c r="L18" s="11" t="s">
        <v>187</v>
      </c>
      <c r="M18" s="11">
        <v>0</v>
      </c>
      <c r="N18" s="11" t="s">
        <v>188</v>
      </c>
      <c r="O18" s="11">
        <v>3</v>
      </c>
      <c r="P18" s="11" t="s">
        <v>189</v>
      </c>
      <c r="Q18" s="11">
        <v>3</v>
      </c>
      <c r="R18" s="11" t="s">
        <v>190</v>
      </c>
      <c r="S18" s="11">
        <v>37</v>
      </c>
      <c r="T18" s="11" t="s">
        <v>187</v>
      </c>
      <c r="U18" s="11">
        <v>58</v>
      </c>
      <c r="V18" s="11" t="s">
        <v>191</v>
      </c>
      <c r="W18" s="11">
        <v>45</v>
      </c>
      <c r="X18" s="11" t="s">
        <v>191</v>
      </c>
      <c r="Y18" s="11">
        <v>48</v>
      </c>
      <c r="Z18" s="2" t="s">
        <v>191</v>
      </c>
      <c r="AA18" s="2">
        <v>32</v>
      </c>
      <c r="AB18" s="2" t="s">
        <v>187</v>
      </c>
      <c r="AC18" s="2">
        <v>62</v>
      </c>
      <c r="AD18" s="2" t="s">
        <v>192</v>
      </c>
    </row>
    <row r="19" spans="1:30" x14ac:dyDescent="0.3">
      <c r="A19" s="11" t="s">
        <v>531</v>
      </c>
      <c r="B19" s="11">
        <v>10118</v>
      </c>
      <c r="C19" s="11">
        <v>1</v>
      </c>
      <c r="D19" s="11" t="s">
        <v>220</v>
      </c>
      <c r="E19" s="11" t="s">
        <v>194</v>
      </c>
      <c r="F19" s="11" t="s">
        <v>195</v>
      </c>
      <c r="G19" s="11">
        <v>32</v>
      </c>
      <c r="H19" s="11" t="s">
        <v>196</v>
      </c>
      <c r="I19" s="11">
        <v>31</v>
      </c>
      <c r="J19" s="11" t="s">
        <v>196</v>
      </c>
      <c r="K19" s="11">
        <v>26</v>
      </c>
      <c r="L19" s="11" t="s">
        <v>186</v>
      </c>
      <c r="M19" s="11">
        <v>0</v>
      </c>
      <c r="N19" s="11" t="s">
        <v>188</v>
      </c>
      <c r="O19" s="11">
        <v>1</v>
      </c>
      <c r="P19" s="11" t="s">
        <v>197</v>
      </c>
      <c r="Q19" s="11">
        <v>3</v>
      </c>
      <c r="R19" s="11" t="s">
        <v>190</v>
      </c>
      <c r="S19" s="11">
        <v>37</v>
      </c>
      <c r="T19" s="11" t="s">
        <v>187</v>
      </c>
      <c r="U19" s="11">
        <v>37</v>
      </c>
      <c r="V19" s="11" t="s">
        <v>187</v>
      </c>
      <c r="W19" s="11">
        <v>33</v>
      </c>
      <c r="X19" s="11" t="s">
        <v>187</v>
      </c>
      <c r="Y19" s="11">
        <v>36</v>
      </c>
      <c r="Z19" s="2" t="s">
        <v>187</v>
      </c>
      <c r="AA19" s="2">
        <v>32</v>
      </c>
      <c r="AB19" s="2" t="s">
        <v>187</v>
      </c>
      <c r="AC19" s="2">
        <v>36</v>
      </c>
      <c r="AD19" s="2" t="s">
        <v>187</v>
      </c>
    </row>
    <row r="20" spans="1:30" x14ac:dyDescent="0.3">
      <c r="A20" s="11" t="s">
        <v>531</v>
      </c>
      <c r="B20" s="11">
        <v>10119</v>
      </c>
      <c r="C20" s="11">
        <v>1</v>
      </c>
      <c r="D20" s="11" t="s">
        <v>221</v>
      </c>
      <c r="E20" s="11" t="s">
        <v>199</v>
      </c>
      <c r="F20" s="11" t="s">
        <v>200</v>
      </c>
      <c r="G20" s="11">
        <v>77</v>
      </c>
      <c r="H20" s="11" t="s">
        <v>201</v>
      </c>
      <c r="I20" s="11">
        <v>65</v>
      </c>
      <c r="J20" s="11" t="s">
        <v>202</v>
      </c>
      <c r="K20" s="11">
        <v>76</v>
      </c>
      <c r="L20" s="11" t="s">
        <v>201</v>
      </c>
      <c r="M20" s="11">
        <v>0</v>
      </c>
      <c r="N20" s="11" t="s">
        <v>188</v>
      </c>
      <c r="O20" s="11">
        <v>5</v>
      </c>
      <c r="P20" s="11" t="s">
        <v>189</v>
      </c>
      <c r="Q20" s="11">
        <v>0</v>
      </c>
      <c r="R20" s="11" t="s">
        <v>203</v>
      </c>
      <c r="S20" s="11">
        <v>85</v>
      </c>
      <c r="T20" s="11" t="s">
        <v>192</v>
      </c>
      <c r="U20" s="11">
        <v>79</v>
      </c>
      <c r="V20" s="11" t="s">
        <v>192</v>
      </c>
      <c r="W20" s="11">
        <v>81</v>
      </c>
      <c r="X20" s="11" t="s">
        <v>192</v>
      </c>
      <c r="Y20" s="11">
        <v>85</v>
      </c>
      <c r="Z20" s="2" t="s">
        <v>192</v>
      </c>
      <c r="AA20" s="2">
        <v>80</v>
      </c>
      <c r="AB20" s="2" t="s">
        <v>192</v>
      </c>
      <c r="AC20" s="2">
        <v>87</v>
      </c>
      <c r="AD20" s="2" t="s">
        <v>192</v>
      </c>
    </row>
    <row r="21" spans="1:30" x14ac:dyDescent="0.3">
      <c r="A21" s="11" t="s">
        <v>531</v>
      </c>
      <c r="B21" s="11">
        <v>10120</v>
      </c>
      <c r="C21" s="11">
        <v>1</v>
      </c>
      <c r="D21" s="11" t="s">
        <v>222</v>
      </c>
      <c r="E21" s="11" t="s">
        <v>205</v>
      </c>
      <c r="F21" s="11" t="s">
        <v>206</v>
      </c>
      <c r="G21" s="11">
        <v>81</v>
      </c>
      <c r="H21" s="11" t="s">
        <v>201</v>
      </c>
      <c r="I21" s="11">
        <v>86</v>
      </c>
      <c r="J21" s="11" t="s">
        <v>201</v>
      </c>
      <c r="K21" s="11">
        <v>76</v>
      </c>
      <c r="L21" s="11" t="s">
        <v>201</v>
      </c>
      <c r="M21" s="11">
        <v>0</v>
      </c>
      <c r="N21" s="11" t="s">
        <v>188</v>
      </c>
      <c r="O21" s="11">
        <v>1</v>
      </c>
      <c r="P21" s="11" t="s">
        <v>197</v>
      </c>
      <c r="Q21" s="11">
        <v>0</v>
      </c>
      <c r="R21" s="11" t="s">
        <v>203</v>
      </c>
      <c r="S21" s="11">
        <v>37</v>
      </c>
      <c r="T21" s="11" t="s">
        <v>187</v>
      </c>
      <c r="U21" s="11">
        <v>37</v>
      </c>
      <c r="V21" s="11" t="s">
        <v>187</v>
      </c>
      <c r="W21" s="11">
        <v>33</v>
      </c>
      <c r="X21" s="11" t="s">
        <v>187</v>
      </c>
      <c r="Y21" s="11">
        <v>36</v>
      </c>
      <c r="Z21" s="2" t="s">
        <v>187</v>
      </c>
      <c r="AA21" s="2">
        <v>32</v>
      </c>
      <c r="AB21" s="2" t="s">
        <v>187</v>
      </c>
      <c r="AC21" s="2">
        <v>36</v>
      </c>
      <c r="AD21" s="2" t="s">
        <v>187</v>
      </c>
    </row>
    <row r="22" spans="1:30" x14ac:dyDescent="0.3">
      <c r="A22" s="11" t="s">
        <v>531</v>
      </c>
      <c r="B22" s="11">
        <v>10121</v>
      </c>
      <c r="C22" s="11">
        <v>1</v>
      </c>
      <c r="D22" s="11" t="s">
        <v>223</v>
      </c>
      <c r="E22" s="11" t="s">
        <v>184</v>
      </c>
      <c r="F22" s="11" t="s">
        <v>185</v>
      </c>
      <c r="G22" s="11">
        <v>23</v>
      </c>
      <c r="H22" s="11" t="s">
        <v>186</v>
      </c>
      <c r="I22" s="11">
        <v>23</v>
      </c>
      <c r="J22" s="11" t="s">
        <v>186</v>
      </c>
      <c r="K22" s="11">
        <v>45</v>
      </c>
      <c r="L22" s="11" t="s">
        <v>187</v>
      </c>
      <c r="M22" s="11">
        <v>0</v>
      </c>
      <c r="N22" s="11" t="s">
        <v>188</v>
      </c>
      <c r="O22" s="11">
        <v>3</v>
      </c>
      <c r="P22" s="11" t="s">
        <v>189</v>
      </c>
      <c r="Q22" s="11">
        <v>3</v>
      </c>
      <c r="R22" s="11" t="s">
        <v>190</v>
      </c>
      <c r="S22" s="11">
        <v>37</v>
      </c>
      <c r="T22" s="11" t="s">
        <v>187</v>
      </c>
      <c r="U22" s="11">
        <v>58</v>
      </c>
      <c r="V22" s="11" t="s">
        <v>191</v>
      </c>
      <c r="W22" s="11">
        <v>45</v>
      </c>
      <c r="X22" s="11" t="s">
        <v>191</v>
      </c>
      <c r="Y22" s="11">
        <v>48</v>
      </c>
      <c r="Z22" s="2" t="s">
        <v>191</v>
      </c>
      <c r="AA22" s="2">
        <v>32</v>
      </c>
      <c r="AB22" s="2" t="s">
        <v>187</v>
      </c>
      <c r="AC22" s="2">
        <v>62</v>
      </c>
      <c r="AD22" s="2" t="s">
        <v>192</v>
      </c>
    </row>
    <row r="23" spans="1:30" x14ac:dyDescent="0.3">
      <c r="A23" s="11" t="s">
        <v>531</v>
      </c>
      <c r="B23" s="11">
        <v>10122</v>
      </c>
      <c r="C23" s="11">
        <v>1</v>
      </c>
      <c r="D23" s="11" t="s">
        <v>224</v>
      </c>
      <c r="E23" s="11" t="s">
        <v>194</v>
      </c>
      <c r="F23" s="11" t="s">
        <v>195</v>
      </c>
      <c r="G23" s="11">
        <v>32</v>
      </c>
      <c r="H23" s="11" t="s">
        <v>196</v>
      </c>
      <c r="I23" s="11">
        <v>31</v>
      </c>
      <c r="J23" s="11" t="s">
        <v>196</v>
      </c>
      <c r="K23" s="11">
        <v>26</v>
      </c>
      <c r="L23" s="11" t="s">
        <v>186</v>
      </c>
      <c r="M23" s="11">
        <v>0</v>
      </c>
      <c r="N23" s="11" t="s">
        <v>188</v>
      </c>
      <c r="O23" s="11">
        <v>1</v>
      </c>
      <c r="P23" s="11" t="s">
        <v>197</v>
      </c>
      <c r="Q23" s="11">
        <v>3</v>
      </c>
      <c r="R23" s="11" t="s">
        <v>190</v>
      </c>
      <c r="S23" s="11">
        <v>37</v>
      </c>
      <c r="T23" s="11" t="s">
        <v>187</v>
      </c>
      <c r="U23" s="11">
        <v>37</v>
      </c>
      <c r="V23" s="11" t="s">
        <v>187</v>
      </c>
      <c r="W23" s="11">
        <v>33</v>
      </c>
      <c r="X23" s="11" t="s">
        <v>187</v>
      </c>
      <c r="Y23" s="11">
        <v>36</v>
      </c>
      <c r="Z23" s="2" t="s">
        <v>187</v>
      </c>
      <c r="AA23" s="2">
        <v>32</v>
      </c>
      <c r="AB23" s="2" t="s">
        <v>187</v>
      </c>
      <c r="AC23" s="2">
        <v>36</v>
      </c>
      <c r="AD23" s="2" t="s">
        <v>187</v>
      </c>
    </row>
    <row r="24" spans="1:30" x14ac:dyDescent="0.3">
      <c r="A24" s="11" t="s">
        <v>531</v>
      </c>
      <c r="B24" s="11">
        <v>10123</v>
      </c>
      <c r="C24" s="11">
        <v>1</v>
      </c>
      <c r="D24" s="11" t="s">
        <v>225</v>
      </c>
      <c r="E24" s="11" t="s">
        <v>199</v>
      </c>
      <c r="F24" s="11" t="s">
        <v>200</v>
      </c>
      <c r="G24" s="11">
        <v>77</v>
      </c>
      <c r="H24" s="11" t="s">
        <v>201</v>
      </c>
      <c r="I24" s="11">
        <v>65</v>
      </c>
      <c r="J24" s="11" t="s">
        <v>202</v>
      </c>
      <c r="K24" s="11">
        <v>76</v>
      </c>
      <c r="L24" s="11" t="s">
        <v>201</v>
      </c>
      <c r="M24" s="11">
        <v>0</v>
      </c>
      <c r="N24" s="11" t="s">
        <v>188</v>
      </c>
      <c r="O24" s="11">
        <v>5</v>
      </c>
      <c r="P24" s="11" t="s">
        <v>189</v>
      </c>
      <c r="Q24" s="11">
        <v>0</v>
      </c>
      <c r="R24" s="11" t="s">
        <v>203</v>
      </c>
      <c r="S24" s="11">
        <v>85</v>
      </c>
      <c r="T24" s="11" t="s">
        <v>192</v>
      </c>
      <c r="U24" s="11">
        <v>79</v>
      </c>
      <c r="V24" s="11" t="s">
        <v>192</v>
      </c>
      <c r="W24" s="11">
        <v>81</v>
      </c>
      <c r="X24" s="11" t="s">
        <v>192</v>
      </c>
      <c r="Y24" s="11">
        <v>85</v>
      </c>
      <c r="Z24" s="2" t="s">
        <v>192</v>
      </c>
      <c r="AA24" s="2">
        <v>80</v>
      </c>
      <c r="AB24" s="2" t="s">
        <v>192</v>
      </c>
      <c r="AC24" s="2">
        <v>87</v>
      </c>
      <c r="AD24" s="2" t="s">
        <v>192</v>
      </c>
    </row>
    <row r="25" spans="1:30" x14ac:dyDescent="0.3">
      <c r="A25" s="11" t="s">
        <v>531</v>
      </c>
      <c r="B25" s="11">
        <v>10124</v>
      </c>
      <c r="C25" s="11">
        <v>1</v>
      </c>
      <c r="D25" s="11" t="s">
        <v>226</v>
      </c>
      <c r="E25" s="11" t="s">
        <v>205</v>
      </c>
      <c r="F25" s="11" t="s">
        <v>206</v>
      </c>
      <c r="G25" s="11">
        <v>81</v>
      </c>
      <c r="H25" s="11" t="s">
        <v>201</v>
      </c>
      <c r="I25" s="11">
        <v>86</v>
      </c>
      <c r="J25" s="11" t="s">
        <v>201</v>
      </c>
      <c r="K25" s="11">
        <v>76</v>
      </c>
      <c r="L25" s="11" t="s">
        <v>201</v>
      </c>
      <c r="M25" s="11">
        <v>0</v>
      </c>
      <c r="N25" s="11" t="s">
        <v>188</v>
      </c>
      <c r="O25" s="11">
        <v>1</v>
      </c>
      <c r="P25" s="11" t="s">
        <v>197</v>
      </c>
      <c r="Q25" s="11">
        <v>0</v>
      </c>
      <c r="R25" s="11" t="s">
        <v>203</v>
      </c>
      <c r="S25" s="11">
        <v>37</v>
      </c>
      <c r="T25" s="11" t="s">
        <v>187</v>
      </c>
      <c r="U25" s="11">
        <v>37</v>
      </c>
      <c r="V25" s="11" t="s">
        <v>187</v>
      </c>
      <c r="W25" s="11">
        <v>33</v>
      </c>
      <c r="X25" s="11" t="s">
        <v>187</v>
      </c>
      <c r="Y25" s="11">
        <v>36</v>
      </c>
      <c r="Z25" s="2" t="s">
        <v>187</v>
      </c>
      <c r="AA25" s="2">
        <v>32</v>
      </c>
      <c r="AB25" s="2" t="s">
        <v>187</v>
      </c>
      <c r="AC25" s="2">
        <v>36</v>
      </c>
      <c r="AD25" s="2" t="s">
        <v>187</v>
      </c>
    </row>
    <row r="26" spans="1:30" x14ac:dyDescent="0.3">
      <c r="A26" s="11" t="s">
        <v>531</v>
      </c>
      <c r="B26" s="11">
        <v>10125</v>
      </c>
      <c r="C26" s="11">
        <v>1</v>
      </c>
      <c r="D26" s="11" t="s">
        <v>227</v>
      </c>
      <c r="E26" s="11" t="s">
        <v>184</v>
      </c>
      <c r="F26" s="11" t="s">
        <v>185</v>
      </c>
      <c r="G26" s="11">
        <v>23</v>
      </c>
      <c r="H26" s="11" t="s">
        <v>186</v>
      </c>
      <c r="I26" s="11">
        <v>23</v>
      </c>
      <c r="J26" s="11" t="s">
        <v>186</v>
      </c>
      <c r="K26" s="11">
        <v>45</v>
      </c>
      <c r="L26" s="11" t="s">
        <v>187</v>
      </c>
      <c r="M26" s="11">
        <v>0</v>
      </c>
      <c r="N26" s="11" t="s">
        <v>188</v>
      </c>
      <c r="O26" s="11">
        <v>3</v>
      </c>
      <c r="P26" s="11" t="s">
        <v>189</v>
      </c>
      <c r="Q26" s="11">
        <v>3</v>
      </c>
      <c r="R26" s="11" t="s">
        <v>190</v>
      </c>
      <c r="S26" s="11">
        <v>37</v>
      </c>
      <c r="T26" s="11" t="s">
        <v>187</v>
      </c>
      <c r="U26" s="11">
        <v>58</v>
      </c>
      <c r="V26" s="11" t="s">
        <v>191</v>
      </c>
      <c r="W26" s="11">
        <v>45</v>
      </c>
      <c r="X26" s="11" t="s">
        <v>191</v>
      </c>
      <c r="Y26" s="11">
        <v>48</v>
      </c>
      <c r="Z26" s="2" t="s">
        <v>191</v>
      </c>
      <c r="AA26" s="2">
        <v>32</v>
      </c>
      <c r="AB26" s="2" t="s">
        <v>187</v>
      </c>
      <c r="AC26" s="2">
        <v>62</v>
      </c>
      <c r="AD26" s="2" t="s">
        <v>192</v>
      </c>
    </row>
    <row r="27" spans="1:30" x14ac:dyDescent="0.3">
      <c r="A27" s="11" t="s">
        <v>531</v>
      </c>
      <c r="B27" s="11">
        <v>10126</v>
      </c>
      <c r="C27" s="11">
        <v>1</v>
      </c>
      <c r="D27" s="11" t="s">
        <v>228</v>
      </c>
      <c r="E27" s="11" t="s">
        <v>194</v>
      </c>
      <c r="F27" s="11" t="s">
        <v>195</v>
      </c>
      <c r="G27" s="11">
        <v>32</v>
      </c>
      <c r="H27" s="11" t="s">
        <v>196</v>
      </c>
      <c r="I27" s="11">
        <v>31</v>
      </c>
      <c r="J27" s="11" t="s">
        <v>196</v>
      </c>
      <c r="K27" s="11">
        <v>26</v>
      </c>
      <c r="L27" s="11" t="s">
        <v>186</v>
      </c>
      <c r="M27" s="11">
        <v>0</v>
      </c>
      <c r="N27" s="11" t="s">
        <v>188</v>
      </c>
      <c r="O27" s="11">
        <v>1</v>
      </c>
      <c r="P27" s="11" t="s">
        <v>197</v>
      </c>
      <c r="Q27" s="11">
        <v>3</v>
      </c>
      <c r="R27" s="11" t="s">
        <v>190</v>
      </c>
      <c r="S27" s="11">
        <v>37</v>
      </c>
      <c r="T27" s="11" t="s">
        <v>187</v>
      </c>
      <c r="U27" s="11">
        <v>37</v>
      </c>
      <c r="V27" s="11" t="s">
        <v>187</v>
      </c>
      <c r="W27" s="11">
        <v>33</v>
      </c>
      <c r="X27" s="11" t="s">
        <v>187</v>
      </c>
      <c r="Y27" s="11">
        <v>36</v>
      </c>
      <c r="Z27" s="2" t="s">
        <v>187</v>
      </c>
      <c r="AA27" s="2">
        <v>32</v>
      </c>
      <c r="AB27" s="2" t="s">
        <v>187</v>
      </c>
      <c r="AC27" s="2">
        <v>36</v>
      </c>
      <c r="AD27" s="2" t="s">
        <v>187</v>
      </c>
    </row>
    <row r="28" spans="1:30" x14ac:dyDescent="0.3">
      <c r="A28" s="11" t="s">
        <v>531</v>
      </c>
      <c r="B28" s="11">
        <v>10127</v>
      </c>
      <c r="C28" s="11">
        <v>1</v>
      </c>
      <c r="D28" s="11" t="s">
        <v>229</v>
      </c>
      <c r="E28" s="11" t="s">
        <v>199</v>
      </c>
      <c r="F28" s="11" t="s">
        <v>200</v>
      </c>
      <c r="G28" s="11">
        <v>77</v>
      </c>
      <c r="H28" s="11" t="s">
        <v>201</v>
      </c>
      <c r="I28" s="11">
        <v>65</v>
      </c>
      <c r="J28" s="11" t="s">
        <v>202</v>
      </c>
      <c r="K28" s="11">
        <v>76</v>
      </c>
      <c r="L28" s="11" t="s">
        <v>201</v>
      </c>
      <c r="M28" s="11">
        <v>0</v>
      </c>
      <c r="N28" s="11" t="s">
        <v>188</v>
      </c>
      <c r="O28" s="11">
        <v>5</v>
      </c>
      <c r="P28" s="11" t="s">
        <v>189</v>
      </c>
      <c r="Q28" s="11">
        <v>0</v>
      </c>
      <c r="R28" s="11" t="s">
        <v>203</v>
      </c>
      <c r="S28" s="11">
        <v>85</v>
      </c>
      <c r="T28" s="11" t="s">
        <v>192</v>
      </c>
      <c r="U28" s="11">
        <v>79</v>
      </c>
      <c r="V28" s="11" t="s">
        <v>192</v>
      </c>
      <c r="W28" s="11">
        <v>81</v>
      </c>
      <c r="X28" s="11" t="s">
        <v>192</v>
      </c>
      <c r="Y28" s="11">
        <v>85</v>
      </c>
      <c r="Z28" s="2" t="s">
        <v>192</v>
      </c>
      <c r="AA28" s="2">
        <v>80</v>
      </c>
      <c r="AB28" s="2" t="s">
        <v>192</v>
      </c>
      <c r="AC28" s="2">
        <v>87</v>
      </c>
      <c r="AD28" s="2" t="s">
        <v>192</v>
      </c>
    </row>
    <row r="29" spans="1:30" x14ac:dyDescent="0.3">
      <c r="A29" s="11" t="s">
        <v>531</v>
      </c>
      <c r="B29" s="11">
        <v>10128</v>
      </c>
      <c r="C29" s="11">
        <v>1</v>
      </c>
      <c r="D29" s="11" t="s">
        <v>230</v>
      </c>
      <c r="E29" s="11" t="s">
        <v>205</v>
      </c>
      <c r="F29" s="11" t="s">
        <v>206</v>
      </c>
      <c r="G29" s="11">
        <v>81</v>
      </c>
      <c r="H29" s="11" t="s">
        <v>201</v>
      </c>
      <c r="I29" s="11">
        <v>86</v>
      </c>
      <c r="J29" s="11" t="s">
        <v>201</v>
      </c>
      <c r="K29" s="11">
        <v>76</v>
      </c>
      <c r="L29" s="11" t="s">
        <v>201</v>
      </c>
      <c r="M29" s="11">
        <v>0</v>
      </c>
      <c r="N29" s="11" t="s">
        <v>188</v>
      </c>
      <c r="O29" s="11">
        <v>1</v>
      </c>
      <c r="P29" s="11" t="s">
        <v>197</v>
      </c>
      <c r="Q29" s="11">
        <v>0</v>
      </c>
      <c r="R29" s="11" t="s">
        <v>203</v>
      </c>
      <c r="S29" s="11">
        <v>37</v>
      </c>
      <c r="T29" s="11" t="s">
        <v>187</v>
      </c>
      <c r="U29" s="11">
        <v>37</v>
      </c>
      <c r="V29" s="11" t="s">
        <v>187</v>
      </c>
      <c r="W29" s="11">
        <v>33</v>
      </c>
      <c r="X29" s="11" t="s">
        <v>187</v>
      </c>
      <c r="Y29" s="11">
        <v>36</v>
      </c>
      <c r="Z29" s="2" t="s">
        <v>187</v>
      </c>
      <c r="AA29" s="2">
        <v>32</v>
      </c>
      <c r="AB29" s="2" t="s">
        <v>187</v>
      </c>
      <c r="AC29" s="2">
        <v>36</v>
      </c>
      <c r="AD29" s="2" t="s">
        <v>187</v>
      </c>
    </row>
    <row r="30" spans="1:30" x14ac:dyDescent="0.3">
      <c r="A30" s="11" t="s">
        <v>531</v>
      </c>
      <c r="B30" s="11">
        <v>10130</v>
      </c>
      <c r="C30" s="11">
        <v>1</v>
      </c>
      <c r="D30" s="11" t="s">
        <v>231</v>
      </c>
      <c r="E30" s="11" t="s">
        <v>184</v>
      </c>
      <c r="F30" s="11" t="s">
        <v>185</v>
      </c>
      <c r="G30" s="11">
        <v>23</v>
      </c>
      <c r="H30" s="11" t="s">
        <v>186</v>
      </c>
      <c r="I30" s="11">
        <v>23</v>
      </c>
      <c r="J30" s="11" t="s">
        <v>186</v>
      </c>
      <c r="K30" s="11">
        <v>45</v>
      </c>
      <c r="L30" s="11" t="s">
        <v>187</v>
      </c>
      <c r="M30" s="11">
        <v>0</v>
      </c>
      <c r="N30" s="11" t="s">
        <v>188</v>
      </c>
      <c r="O30" s="11">
        <v>3</v>
      </c>
      <c r="P30" s="11" t="s">
        <v>189</v>
      </c>
      <c r="Q30" s="11">
        <v>3</v>
      </c>
      <c r="R30" s="11" t="s">
        <v>190</v>
      </c>
      <c r="S30" s="11">
        <v>37</v>
      </c>
      <c r="T30" s="11" t="s">
        <v>187</v>
      </c>
      <c r="U30" s="11">
        <v>58</v>
      </c>
      <c r="V30" s="11" t="s">
        <v>191</v>
      </c>
      <c r="W30" s="11">
        <v>45</v>
      </c>
      <c r="X30" s="11" t="s">
        <v>191</v>
      </c>
      <c r="Y30" s="11">
        <v>48</v>
      </c>
      <c r="Z30" s="2" t="s">
        <v>191</v>
      </c>
      <c r="AA30" s="2">
        <v>32</v>
      </c>
      <c r="AB30" s="2" t="s">
        <v>187</v>
      </c>
      <c r="AC30" s="2">
        <v>62</v>
      </c>
      <c r="AD30" s="2" t="s">
        <v>192</v>
      </c>
    </row>
    <row r="31" spans="1:30" x14ac:dyDescent="0.3">
      <c r="A31" s="11" t="s">
        <v>531</v>
      </c>
      <c r="B31" s="11">
        <v>10201</v>
      </c>
      <c r="C31" s="11">
        <v>2</v>
      </c>
      <c r="D31" s="11" t="s">
        <v>232</v>
      </c>
      <c r="E31" s="11" t="s">
        <v>194</v>
      </c>
      <c r="F31" s="11" t="s">
        <v>195</v>
      </c>
      <c r="G31" s="11">
        <v>32</v>
      </c>
      <c r="H31" s="11" t="s">
        <v>196</v>
      </c>
      <c r="I31" s="11">
        <v>31</v>
      </c>
      <c r="J31" s="11" t="s">
        <v>196</v>
      </c>
      <c r="K31" s="11">
        <v>26</v>
      </c>
      <c r="L31" s="11" t="s">
        <v>186</v>
      </c>
      <c r="M31" s="11">
        <v>0</v>
      </c>
      <c r="N31" s="11" t="s">
        <v>188</v>
      </c>
      <c r="O31" s="11">
        <v>1</v>
      </c>
      <c r="P31" s="11" t="s">
        <v>197</v>
      </c>
      <c r="Q31" s="11">
        <v>3</v>
      </c>
      <c r="R31" s="11" t="s">
        <v>190</v>
      </c>
      <c r="S31" s="11">
        <v>37</v>
      </c>
      <c r="T31" s="11" t="s">
        <v>187</v>
      </c>
      <c r="U31" s="11">
        <v>37</v>
      </c>
      <c r="V31" s="11" t="s">
        <v>187</v>
      </c>
      <c r="W31" s="11">
        <v>33</v>
      </c>
      <c r="X31" s="11" t="s">
        <v>187</v>
      </c>
      <c r="Y31" s="11">
        <v>36</v>
      </c>
      <c r="Z31" s="2" t="s">
        <v>187</v>
      </c>
      <c r="AA31" s="2">
        <v>32</v>
      </c>
      <c r="AB31" s="2" t="s">
        <v>187</v>
      </c>
      <c r="AC31" s="2">
        <v>36</v>
      </c>
      <c r="AD31" s="2" t="s">
        <v>187</v>
      </c>
    </row>
    <row r="32" spans="1:30" x14ac:dyDescent="0.3">
      <c r="A32" s="11" t="s">
        <v>531</v>
      </c>
      <c r="B32" s="11">
        <v>10202</v>
      </c>
      <c r="C32" s="11">
        <v>2</v>
      </c>
      <c r="D32" s="11" t="s">
        <v>233</v>
      </c>
      <c r="E32" s="11" t="s">
        <v>199</v>
      </c>
      <c r="F32" s="11" t="s">
        <v>200</v>
      </c>
      <c r="G32" s="11">
        <v>77</v>
      </c>
      <c r="H32" s="11" t="s">
        <v>201</v>
      </c>
      <c r="I32" s="11">
        <v>65</v>
      </c>
      <c r="J32" s="11" t="s">
        <v>202</v>
      </c>
      <c r="K32" s="11">
        <v>76</v>
      </c>
      <c r="L32" s="11" t="s">
        <v>201</v>
      </c>
      <c r="M32" s="11">
        <v>0</v>
      </c>
      <c r="N32" s="11" t="s">
        <v>188</v>
      </c>
      <c r="O32" s="11">
        <v>5</v>
      </c>
      <c r="P32" s="11" t="s">
        <v>189</v>
      </c>
      <c r="Q32" s="11">
        <v>0</v>
      </c>
      <c r="R32" s="11" t="s">
        <v>203</v>
      </c>
      <c r="S32" s="11">
        <v>85</v>
      </c>
      <c r="T32" s="11" t="s">
        <v>192</v>
      </c>
      <c r="U32" s="11">
        <v>79</v>
      </c>
      <c r="V32" s="11" t="s">
        <v>192</v>
      </c>
      <c r="W32" s="11">
        <v>81</v>
      </c>
      <c r="X32" s="11" t="s">
        <v>192</v>
      </c>
      <c r="Y32" s="11">
        <v>85</v>
      </c>
      <c r="Z32" s="2" t="s">
        <v>192</v>
      </c>
      <c r="AA32" s="2">
        <v>80</v>
      </c>
      <c r="AB32" s="2" t="s">
        <v>192</v>
      </c>
      <c r="AC32" s="2">
        <v>87</v>
      </c>
      <c r="AD32" s="2" t="s">
        <v>192</v>
      </c>
    </row>
    <row r="33" spans="1:30" x14ac:dyDescent="0.3">
      <c r="A33" s="11" t="s">
        <v>531</v>
      </c>
      <c r="B33" s="11">
        <v>10203</v>
      </c>
      <c r="C33" s="11">
        <v>2</v>
      </c>
      <c r="D33" s="11" t="s">
        <v>234</v>
      </c>
      <c r="E33" s="11" t="s">
        <v>205</v>
      </c>
      <c r="F33" s="11" t="s">
        <v>206</v>
      </c>
      <c r="G33" s="11">
        <v>81</v>
      </c>
      <c r="H33" s="11" t="s">
        <v>201</v>
      </c>
      <c r="I33" s="11">
        <v>86</v>
      </c>
      <c r="J33" s="11" t="s">
        <v>201</v>
      </c>
      <c r="K33" s="11">
        <v>76</v>
      </c>
      <c r="L33" s="11" t="s">
        <v>201</v>
      </c>
      <c r="M33" s="11">
        <v>0</v>
      </c>
      <c r="N33" s="11" t="s">
        <v>188</v>
      </c>
      <c r="O33" s="11">
        <v>1</v>
      </c>
      <c r="P33" s="11" t="s">
        <v>197</v>
      </c>
      <c r="Q33" s="11">
        <v>0</v>
      </c>
      <c r="R33" s="11" t="s">
        <v>203</v>
      </c>
      <c r="S33" s="11">
        <v>37</v>
      </c>
      <c r="T33" s="11" t="s">
        <v>187</v>
      </c>
      <c r="U33" s="11">
        <v>37</v>
      </c>
      <c r="V33" s="11" t="s">
        <v>187</v>
      </c>
      <c r="W33" s="11">
        <v>33</v>
      </c>
      <c r="X33" s="11" t="s">
        <v>187</v>
      </c>
      <c r="Y33" s="11">
        <v>36</v>
      </c>
      <c r="Z33" s="2" t="s">
        <v>187</v>
      </c>
      <c r="AA33" s="2">
        <v>32</v>
      </c>
      <c r="AB33" s="2" t="s">
        <v>187</v>
      </c>
      <c r="AC33" s="2">
        <v>36</v>
      </c>
      <c r="AD33" s="2" t="s">
        <v>187</v>
      </c>
    </row>
    <row r="34" spans="1:30" x14ac:dyDescent="0.3">
      <c r="A34" s="11" t="s">
        <v>531</v>
      </c>
      <c r="B34" s="11">
        <v>10204</v>
      </c>
      <c r="C34" s="11">
        <v>2</v>
      </c>
      <c r="D34" s="11" t="s">
        <v>235</v>
      </c>
      <c r="E34" s="11" t="s">
        <v>184</v>
      </c>
      <c r="F34" s="11" t="s">
        <v>185</v>
      </c>
      <c r="G34" s="11">
        <v>23</v>
      </c>
      <c r="H34" s="11" t="s">
        <v>186</v>
      </c>
      <c r="I34" s="11">
        <v>23</v>
      </c>
      <c r="J34" s="11" t="s">
        <v>186</v>
      </c>
      <c r="K34" s="11">
        <v>45</v>
      </c>
      <c r="L34" s="11" t="s">
        <v>187</v>
      </c>
      <c r="M34" s="11">
        <v>0</v>
      </c>
      <c r="N34" s="11" t="s">
        <v>188</v>
      </c>
      <c r="O34" s="11">
        <v>3</v>
      </c>
      <c r="P34" s="11" t="s">
        <v>189</v>
      </c>
      <c r="Q34" s="11">
        <v>3</v>
      </c>
      <c r="R34" s="11" t="s">
        <v>190</v>
      </c>
      <c r="S34" s="11">
        <v>37</v>
      </c>
      <c r="T34" s="11" t="s">
        <v>187</v>
      </c>
      <c r="U34" s="11">
        <v>58</v>
      </c>
      <c r="V34" s="11" t="s">
        <v>191</v>
      </c>
      <c r="W34" s="11">
        <v>45</v>
      </c>
      <c r="X34" s="11" t="s">
        <v>191</v>
      </c>
      <c r="Y34" s="11">
        <v>48</v>
      </c>
      <c r="Z34" s="2" t="s">
        <v>191</v>
      </c>
      <c r="AA34" s="2">
        <v>32</v>
      </c>
      <c r="AB34" s="2" t="s">
        <v>187</v>
      </c>
      <c r="AC34" s="2">
        <v>62</v>
      </c>
      <c r="AD34" s="2" t="s">
        <v>192</v>
      </c>
    </row>
    <row r="35" spans="1:30" x14ac:dyDescent="0.3">
      <c r="A35" s="11" t="s">
        <v>531</v>
      </c>
      <c r="B35" s="11">
        <v>10205</v>
      </c>
      <c r="C35" s="11">
        <v>2</v>
      </c>
      <c r="D35" s="11" t="s">
        <v>236</v>
      </c>
      <c r="E35" s="11" t="s">
        <v>194</v>
      </c>
      <c r="F35" s="11" t="s">
        <v>195</v>
      </c>
      <c r="G35" s="11">
        <v>32</v>
      </c>
      <c r="H35" s="11" t="s">
        <v>196</v>
      </c>
      <c r="I35" s="11">
        <v>31</v>
      </c>
      <c r="J35" s="11" t="s">
        <v>196</v>
      </c>
      <c r="K35" s="11">
        <v>26</v>
      </c>
      <c r="L35" s="11" t="s">
        <v>186</v>
      </c>
      <c r="M35" s="11">
        <v>0</v>
      </c>
      <c r="N35" s="11" t="s">
        <v>188</v>
      </c>
      <c r="O35" s="11">
        <v>1</v>
      </c>
      <c r="P35" s="11" t="s">
        <v>197</v>
      </c>
      <c r="Q35" s="11">
        <v>3</v>
      </c>
      <c r="R35" s="11" t="s">
        <v>190</v>
      </c>
      <c r="S35" s="11">
        <v>37</v>
      </c>
      <c r="T35" s="11" t="s">
        <v>187</v>
      </c>
      <c r="U35" s="11">
        <v>37</v>
      </c>
      <c r="V35" s="11" t="s">
        <v>187</v>
      </c>
      <c r="W35" s="11">
        <v>33</v>
      </c>
      <c r="X35" s="11" t="s">
        <v>187</v>
      </c>
      <c r="Y35" s="11">
        <v>36</v>
      </c>
      <c r="Z35" s="2" t="s">
        <v>187</v>
      </c>
      <c r="AA35" s="2">
        <v>32</v>
      </c>
      <c r="AB35" s="2" t="s">
        <v>187</v>
      </c>
      <c r="AC35" s="2">
        <v>36</v>
      </c>
      <c r="AD35" s="2" t="s">
        <v>187</v>
      </c>
    </row>
    <row r="36" spans="1:30" x14ac:dyDescent="0.3">
      <c r="A36" s="11" t="s">
        <v>531</v>
      </c>
      <c r="B36" s="11">
        <v>10206</v>
      </c>
      <c r="C36" s="11">
        <v>2</v>
      </c>
      <c r="D36" s="11" t="s">
        <v>237</v>
      </c>
      <c r="E36" s="11" t="s">
        <v>199</v>
      </c>
      <c r="F36" s="11" t="s">
        <v>200</v>
      </c>
      <c r="G36" s="11">
        <v>77</v>
      </c>
      <c r="H36" s="11" t="s">
        <v>201</v>
      </c>
      <c r="I36" s="11">
        <v>65</v>
      </c>
      <c r="J36" s="11" t="s">
        <v>202</v>
      </c>
      <c r="K36" s="11">
        <v>76</v>
      </c>
      <c r="L36" s="11" t="s">
        <v>201</v>
      </c>
      <c r="M36" s="11">
        <v>0</v>
      </c>
      <c r="N36" s="11" t="s">
        <v>188</v>
      </c>
      <c r="O36" s="11">
        <v>5</v>
      </c>
      <c r="P36" s="11" t="s">
        <v>189</v>
      </c>
      <c r="Q36" s="11">
        <v>0</v>
      </c>
      <c r="R36" s="11" t="s">
        <v>203</v>
      </c>
      <c r="S36" s="11">
        <v>85</v>
      </c>
      <c r="T36" s="11" t="s">
        <v>192</v>
      </c>
      <c r="U36" s="11">
        <v>79</v>
      </c>
      <c r="V36" s="11" t="s">
        <v>192</v>
      </c>
      <c r="W36" s="11">
        <v>81</v>
      </c>
      <c r="X36" s="11" t="s">
        <v>192</v>
      </c>
      <c r="Y36" s="11">
        <v>85</v>
      </c>
      <c r="Z36" s="2" t="s">
        <v>192</v>
      </c>
      <c r="AA36" s="2">
        <v>80</v>
      </c>
      <c r="AB36" s="2" t="s">
        <v>192</v>
      </c>
      <c r="AC36" s="2">
        <v>87</v>
      </c>
      <c r="AD36" s="2" t="s">
        <v>192</v>
      </c>
    </row>
    <row r="37" spans="1:30" x14ac:dyDescent="0.3">
      <c r="A37" s="11" t="s">
        <v>531</v>
      </c>
      <c r="B37" s="11">
        <v>10207</v>
      </c>
      <c r="C37" s="11">
        <v>2</v>
      </c>
      <c r="D37" s="11" t="s">
        <v>238</v>
      </c>
      <c r="E37" s="11" t="s">
        <v>205</v>
      </c>
      <c r="F37" s="11" t="s">
        <v>206</v>
      </c>
      <c r="G37" s="11">
        <v>81</v>
      </c>
      <c r="H37" s="11" t="s">
        <v>201</v>
      </c>
      <c r="I37" s="11">
        <v>86</v>
      </c>
      <c r="J37" s="11" t="s">
        <v>201</v>
      </c>
      <c r="K37" s="11">
        <v>76</v>
      </c>
      <c r="L37" s="11" t="s">
        <v>201</v>
      </c>
      <c r="M37" s="11">
        <v>0</v>
      </c>
      <c r="N37" s="11" t="s">
        <v>188</v>
      </c>
      <c r="O37" s="11">
        <v>1</v>
      </c>
      <c r="P37" s="11" t="s">
        <v>197</v>
      </c>
      <c r="Q37" s="11">
        <v>0</v>
      </c>
      <c r="R37" s="11" t="s">
        <v>203</v>
      </c>
      <c r="S37" s="11">
        <v>37</v>
      </c>
      <c r="T37" s="11" t="s">
        <v>187</v>
      </c>
      <c r="U37" s="11">
        <v>37</v>
      </c>
      <c r="V37" s="11" t="s">
        <v>187</v>
      </c>
      <c r="W37" s="11">
        <v>33</v>
      </c>
      <c r="X37" s="11" t="s">
        <v>187</v>
      </c>
      <c r="Y37" s="11">
        <v>36</v>
      </c>
      <c r="Z37" s="2" t="s">
        <v>187</v>
      </c>
      <c r="AA37" s="2">
        <v>32</v>
      </c>
      <c r="AB37" s="2" t="s">
        <v>187</v>
      </c>
      <c r="AC37" s="2">
        <v>36</v>
      </c>
      <c r="AD37" s="2" t="s">
        <v>187</v>
      </c>
    </row>
    <row r="38" spans="1:30" x14ac:dyDescent="0.3">
      <c r="A38" s="11" t="s">
        <v>531</v>
      </c>
      <c r="B38" s="11">
        <v>10208</v>
      </c>
      <c r="C38" s="11">
        <v>2</v>
      </c>
      <c r="D38" s="11" t="s">
        <v>239</v>
      </c>
      <c r="E38" s="11" t="s">
        <v>184</v>
      </c>
      <c r="F38" s="11" t="s">
        <v>185</v>
      </c>
      <c r="G38" s="11">
        <v>23</v>
      </c>
      <c r="H38" s="11" t="s">
        <v>186</v>
      </c>
      <c r="I38" s="11">
        <v>23</v>
      </c>
      <c r="J38" s="11" t="s">
        <v>186</v>
      </c>
      <c r="K38" s="11">
        <v>45</v>
      </c>
      <c r="L38" s="11" t="s">
        <v>187</v>
      </c>
      <c r="M38" s="11">
        <v>0</v>
      </c>
      <c r="N38" s="11" t="s">
        <v>188</v>
      </c>
      <c r="O38" s="11">
        <v>3</v>
      </c>
      <c r="P38" s="11" t="s">
        <v>189</v>
      </c>
      <c r="Q38" s="11">
        <v>3</v>
      </c>
      <c r="R38" s="11" t="s">
        <v>190</v>
      </c>
      <c r="S38" s="11">
        <v>37</v>
      </c>
      <c r="T38" s="11" t="s">
        <v>187</v>
      </c>
      <c r="U38" s="11">
        <v>58</v>
      </c>
      <c r="V38" s="11" t="s">
        <v>191</v>
      </c>
      <c r="W38" s="11">
        <v>45</v>
      </c>
      <c r="X38" s="11" t="s">
        <v>191</v>
      </c>
      <c r="Y38" s="11">
        <v>48</v>
      </c>
      <c r="Z38" s="2" t="s">
        <v>191</v>
      </c>
      <c r="AA38" s="2">
        <v>32</v>
      </c>
      <c r="AB38" s="2" t="s">
        <v>187</v>
      </c>
      <c r="AC38" s="2">
        <v>62</v>
      </c>
      <c r="AD38" s="2" t="s">
        <v>192</v>
      </c>
    </row>
    <row r="39" spans="1:30" x14ac:dyDescent="0.3">
      <c r="A39" s="11" t="s">
        <v>531</v>
      </c>
      <c r="B39" s="11">
        <v>10209</v>
      </c>
      <c r="C39" s="11">
        <v>2</v>
      </c>
      <c r="D39" s="11" t="s">
        <v>240</v>
      </c>
      <c r="E39" s="11" t="s">
        <v>194</v>
      </c>
      <c r="F39" s="11" t="s">
        <v>195</v>
      </c>
      <c r="G39" s="11">
        <v>32</v>
      </c>
      <c r="H39" s="11" t="s">
        <v>196</v>
      </c>
      <c r="I39" s="11">
        <v>31</v>
      </c>
      <c r="J39" s="11" t="s">
        <v>196</v>
      </c>
      <c r="K39" s="11">
        <v>26</v>
      </c>
      <c r="L39" s="11" t="s">
        <v>186</v>
      </c>
      <c r="M39" s="11">
        <v>0</v>
      </c>
      <c r="N39" s="11" t="s">
        <v>188</v>
      </c>
      <c r="O39" s="11">
        <v>1</v>
      </c>
      <c r="P39" s="11" t="s">
        <v>197</v>
      </c>
      <c r="Q39" s="11">
        <v>3</v>
      </c>
      <c r="R39" s="11" t="s">
        <v>190</v>
      </c>
      <c r="S39" s="11">
        <v>37</v>
      </c>
      <c r="T39" s="11" t="s">
        <v>187</v>
      </c>
      <c r="U39" s="11">
        <v>37</v>
      </c>
      <c r="V39" s="11" t="s">
        <v>187</v>
      </c>
      <c r="W39" s="11">
        <v>33</v>
      </c>
      <c r="X39" s="11" t="s">
        <v>187</v>
      </c>
      <c r="Y39" s="11">
        <v>36</v>
      </c>
      <c r="Z39" s="2" t="s">
        <v>187</v>
      </c>
      <c r="AA39" s="2">
        <v>32</v>
      </c>
      <c r="AB39" s="2" t="s">
        <v>187</v>
      </c>
      <c r="AC39" s="2">
        <v>36</v>
      </c>
      <c r="AD39" s="2" t="s">
        <v>187</v>
      </c>
    </row>
    <row r="40" spans="1:30" x14ac:dyDescent="0.3">
      <c r="A40" s="11" t="s">
        <v>531</v>
      </c>
      <c r="B40" s="11">
        <v>10210</v>
      </c>
      <c r="C40" s="11">
        <v>2</v>
      </c>
      <c r="D40" s="11" t="s">
        <v>241</v>
      </c>
      <c r="E40" s="11" t="s">
        <v>199</v>
      </c>
      <c r="F40" s="11" t="s">
        <v>200</v>
      </c>
      <c r="G40" s="11">
        <v>77</v>
      </c>
      <c r="H40" s="11" t="s">
        <v>201</v>
      </c>
      <c r="I40" s="11">
        <v>65</v>
      </c>
      <c r="J40" s="11" t="s">
        <v>202</v>
      </c>
      <c r="K40" s="11">
        <v>76</v>
      </c>
      <c r="L40" s="11" t="s">
        <v>201</v>
      </c>
      <c r="M40" s="11">
        <v>0</v>
      </c>
      <c r="N40" s="11" t="s">
        <v>188</v>
      </c>
      <c r="O40" s="11">
        <v>5</v>
      </c>
      <c r="P40" s="11" t="s">
        <v>189</v>
      </c>
      <c r="Q40" s="11">
        <v>0</v>
      </c>
      <c r="R40" s="11" t="s">
        <v>203</v>
      </c>
      <c r="S40" s="11">
        <v>85</v>
      </c>
      <c r="T40" s="11" t="s">
        <v>192</v>
      </c>
      <c r="U40" s="11">
        <v>79</v>
      </c>
      <c r="V40" s="11" t="s">
        <v>192</v>
      </c>
      <c r="W40" s="11">
        <v>81</v>
      </c>
      <c r="X40" s="11" t="s">
        <v>192</v>
      </c>
      <c r="Y40" s="11">
        <v>85</v>
      </c>
      <c r="Z40" s="2" t="s">
        <v>192</v>
      </c>
      <c r="AA40" s="2">
        <v>80</v>
      </c>
      <c r="AB40" s="2" t="s">
        <v>192</v>
      </c>
      <c r="AC40" s="2">
        <v>87</v>
      </c>
      <c r="AD40" s="2" t="s">
        <v>192</v>
      </c>
    </row>
    <row r="41" spans="1:30" x14ac:dyDescent="0.3">
      <c r="A41" s="11" t="s">
        <v>531</v>
      </c>
      <c r="B41" s="11">
        <v>10211</v>
      </c>
      <c r="C41" s="11">
        <v>2</v>
      </c>
      <c r="D41" s="11" t="s">
        <v>242</v>
      </c>
      <c r="E41" s="11" t="s">
        <v>205</v>
      </c>
      <c r="F41" s="11" t="s">
        <v>206</v>
      </c>
      <c r="G41" s="11">
        <v>81</v>
      </c>
      <c r="H41" s="11" t="s">
        <v>201</v>
      </c>
      <c r="I41" s="11">
        <v>86</v>
      </c>
      <c r="J41" s="11" t="s">
        <v>201</v>
      </c>
      <c r="K41" s="11">
        <v>76</v>
      </c>
      <c r="L41" s="11" t="s">
        <v>201</v>
      </c>
      <c r="M41" s="11">
        <v>0</v>
      </c>
      <c r="N41" s="11" t="s">
        <v>188</v>
      </c>
      <c r="O41" s="11">
        <v>1</v>
      </c>
      <c r="P41" s="11" t="s">
        <v>197</v>
      </c>
      <c r="Q41" s="11">
        <v>0</v>
      </c>
      <c r="R41" s="11" t="s">
        <v>203</v>
      </c>
      <c r="S41" s="11">
        <v>37</v>
      </c>
      <c r="T41" s="11" t="s">
        <v>187</v>
      </c>
      <c r="U41" s="11">
        <v>37</v>
      </c>
      <c r="V41" s="11" t="s">
        <v>187</v>
      </c>
      <c r="W41" s="11">
        <v>33</v>
      </c>
      <c r="X41" s="11" t="s">
        <v>187</v>
      </c>
      <c r="Y41" s="11">
        <v>36</v>
      </c>
      <c r="Z41" s="2" t="s">
        <v>187</v>
      </c>
      <c r="AA41" s="2">
        <v>32</v>
      </c>
      <c r="AB41" s="2" t="s">
        <v>187</v>
      </c>
      <c r="AC41" s="2">
        <v>36</v>
      </c>
      <c r="AD41" s="2" t="s">
        <v>187</v>
      </c>
    </row>
    <row r="42" spans="1:30" x14ac:dyDescent="0.3">
      <c r="A42" s="11" t="s">
        <v>531</v>
      </c>
      <c r="B42" s="11">
        <v>10212</v>
      </c>
      <c r="C42" s="11">
        <v>2</v>
      </c>
      <c r="D42" s="11" t="s">
        <v>243</v>
      </c>
      <c r="E42" s="11" t="s">
        <v>184</v>
      </c>
      <c r="F42" s="11" t="s">
        <v>185</v>
      </c>
      <c r="G42" s="11">
        <v>23</v>
      </c>
      <c r="H42" s="11" t="s">
        <v>186</v>
      </c>
      <c r="I42" s="11">
        <v>23</v>
      </c>
      <c r="J42" s="11" t="s">
        <v>186</v>
      </c>
      <c r="K42" s="11">
        <v>45</v>
      </c>
      <c r="L42" s="11" t="s">
        <v>187</v>
      </c>
      <c r="M42" s="11">
        <v>0</v>
      </c>
      <c r="N42" s="11" t="s">
        <v>188</v>
      </c>
      <c r="O42" s="11">
        <v>3</v>
      </c>
      <c r="P42" s="11" t="s">
        <v>189</v>
      </c>
      <c r="Q42" s="11">
        <v>3</v>
      </c>
      <c r="R42" s="11" t="s">
        <v>190</v>
      </c>
      <c r="S42" s="11">
        <v>37</v>
      </c>
      <c r="T42" s="11" t="s">
        <v>187</v>
      </c>
      <c r="U42" s="11">
        <v>58</v>
      </c>
      <c r="V42" s="11" t="s">
        <v>191</v>
      </c>
      <c r="W42" s="11">
        <v>45</v>
      </c>
      <c r="X42" s="11" t="s">
        <v>191</v>
      </c>
      <c r="Y42" s="11">
        <v>48</v>
      </c>
      <c r="Z42" s="2" t="s">
        <v>191</v>
      </c>
      <c r="AA42" s="2">
        <v>32</v>
      </c>
      <c r="AB42" s="2" t="s">
        <v>187</v>
      </c>
      <c r="AC42" s="2">
        <v>62</v>
      </c>
      <c r="AD42" s="2" t="s">
        <v>192</v>
      </c>
    </row>
    <row r="43" spans="1:30" x14ac:dyDescent="0.3">
      <c r="A43" s="11" t="s">
        <v>531</v>
      </c>
      <c r="B43" s="11">
        <v>10213</v>
      </c>
      <c r="C43" s="11">
        <v>2</v>
      </c>
      <c r="D43" s="11" t="s">
        <v>244</v>
      </c>
      <c r="E43" s="11" t="s">
        <v>194</v>
      </c>
      <c r="F43" s="11" t="s">
        <v>195</v>
      </c>
      <c r="G43" s="11">
        <v>32</v>
      </c>
      <c r="H43" s="11" t="s">
        <v>196</v>
      </c>
      <c r="I43" s="11">
        <v>31</v>
      </c>
      <c r="J43" s="11" t="s">
        <v>196</v>
      </c>
      <c r="K43" s="11">
        <v>26</v>
      </c>
      <c r="L43" s="11" t="s">
        <v>186</v>
      </c>
      <c r="M43" s="11">
        <v>0</v>
      </c>
      <c r="N43" s="11" t="s">
        <v>188</v>
      </c>
      <c r="O43" s="11">
        <v>1</v>
      </c>
      <c r="P43" s="11" t="s">
        <v>197</v>
      </c>
      <c r="Q43" s="11">
        <v>3</v>
      </c>
      <c r="R43" s="11" t="s">
        <v>190</v>
      </c>
      <c r="S43" s="11">
        <v>37</v>
      </c>
      <c r="T43" s="11" t="s">
        <v>187</v>
      </c>
      <c r="U43" s="11">
        <v>37</v>
      </c>
      <c r="V43" s="11" t="s">
        <v>187</v>
      </c>
      <c r="W43" s="11">
        <v>33</v>
      </c>
      <c r="X43" s="11" t="s">
        <v>187</v>
      </c>
      <c r="Y43" s="11">
        <v>36</v>
      </c>
      <c r="Z43" s="2" t="s">
        <v>187</v>
      </c>
      <c r="AA43" s="2">
        <v>32</v>
      </c>
      <c r="AB43" s="2" t="s">
        <v>187</v>
      </c>
      <c r="AC43" s="2">
        <v>36</v>
      </c>
      <c r="AD43" s="2" t="s">
        <v>187</v>
      </c>
    </row>
    <row r="44" spans="1:30" x14ac:dyDescent="0.3">
      <c r="A44" s="11" t="s">
        <v>531</v>
      </c>
      <c r="B44" s="11">
        <v>10214</v>
      </c>
      <c r="C44" s="11">
        <v>2</v>
      </c>
      <c r="D44" s="11" t="s">
        <v>245</v>
      </c>
      <c r="E44" s="11" t="s">
        <v>199</v>
      </c>
      <c r="F44" s="11" t="s">
        <v>200</v>
      </c>
      <c r="G44" s="11">
        <v>77</v>
      </c>
      <c r="H44" s="11" t="s">
        <v>201</v>
      </c>
      <c r="I44" s="11">
        <v>65</v>
      </c>
      <c r="J44" s="11" t="s">
        <v>202</v>
      </c>
      <c r="K44" s="11">
        <v>76</v>
      </c>
      <c r="L44" s="11" t="s">
        <v>201</v>
      </c>
      <c r="M44" s="11">
        <v>0</v>
      </c>
      <c r="N44" s="11" t="s">
        <v>188</v>
      </c>
      <c r="O44" s="11">
        <v>5</v>
      </c>
      <c r="P44" s="11" t="s">
        <v>189</v>
      </c>
      <c r="Q44" s="11">
        <v>0</v>
      </c>
      <c r="R44" s="11" t="s">
        <v>203</v>
      </c>
      <c r="S44" s="11">
        <v>85</v>
      </c>
      <c r="T44" s="11" t="s">
        <v>192</v>
      </c>
      <c r="U44" s="11">
        <v>79</v>
      </c>
      <c r="V44" s="11" t="s">
        <v>192</v>
      </c>
      <c r="W44" s="11">
        <v>81</v>
      </c>
      <c r="X44" s="11" t="s">
        <v>192</v>
      </c>
      <c r="Y44" s="11">
        <v>85</v>
      </c>
      <c r="Z44" s="2" t="s">
        <v>192</v>
      </c>
      <c r="AA44" s="2">
        <v>80</v>
      </c>
      <c r="AB44" s="2" t="s">
        <v>192</v>
      </c>
      <c r="AC44" s="2">
        <v>87</v>
      </c>
      <c r="AD44" s="2" t="s">
        <v>192</v>
      </c>
    </row>
    <row r="45" spans="1:30" x14ac:dyDescent="0.3">
      <c r="A45" s="11" t="s">
        <v>531</v>
      </c>
      <c r="B45" s="11">
        <v>10215</v>
      </c>
      <c r="C45" s="11">
        <v>2</v>
      </c>
      <c r="D45" s="11" t="s">
        <v>246</v>
      </c>
      <c r="E45" s="11" t="s">
        <v>205</v>
      </c>
      <c r="F45" s="11" t="s">
        <v>206</v>
      </c>
      <c r="G45" s="11">
        <v>81</v>
      </c>
      <c r="H45" s="11" t="s">
        <v>201</v>
      </c>
      <c r="I45" s="11">
        <v>86</v>
      </c>
      <c r="J45" s="11" t="s">
        <v>201</v>
      </c>
      <c r="K45" s="11">
        <v>76</v>
      </c>
      <c r="L45" s="11" t="s">
        <v>201</v>
      </c>
      <c r="M45" s="11">
        <v>0</v>
      </c>
      <c r="N45" s="11" t="s">
        <v>188</v>
      </c>
      <c r="O45" s="11">
        <v>1</v>
      </c>
      <c r="P45" s="11" t="s">
        <v>197</v>
      </c>
      <c r="Q45" s="11">
        <v>0</v>
      </c>
      <c r="R45" s="11" t="s">
        <v>203</v>
      </c>
      <c r="S45" s="11">
        <v>37</v>
      </c>
      <c r="T45" s="11" t="s">
        <v>187</v>
      </c>
      <c r="U45" s="11">
        <v>37</v>
      </c>
      <c r="V45" s="11" t="s">
        <v>187</v>
      </c>
      <c r="W45" s="11">
        <v>33</v>
      </c>
      <c r="X45" s="11" t="s">
        <v>187</v>
      </c>
      <c r="Y45" s="11">
        <v>36</v>
      </c>
      <c r="Z45" s="2" t="s">
        <v>187</v>
      </c>
      <c r="AA45" s="2">
        <v>32</v>
      </c>
      <c r="AB45" s="2" t="s">
        <v>187</v>
      </c>
      <c r="AC45" s="2">
        <v>36</v>
      </c>
      <c r="AD45" s="2" t="s">
        <v>187</v>
      </c>
    </row>
    <row r="46" spans="1:30" x14ac:dyDescent="0.3">
      <c r="A46" s="11" t="s">
        <v>531</v>
      </c>
      <c r="B46" s="11">
        <v>10216</v>
      </c>
      <c r="C46" s="11">
        <v>1</v>
      </c>
      <c r="D46" s="11" t="s">
        <v>247</v>
      </c>
      <c r="E46" s="11" t="s">
        <v>184</v>
      </c>
      <c r="F46" s="11" t="s">
        <v>185</v>
      </c>
      <c r="G46" s="11">
        <v>23</v>
      </c>
      <c r="H46" s="11" t="s">
        <v>186</v>
      </c>
      <c r="I46" s="11">
        <v>23</v>
      </c>
      <c r="J46" s="11" t="s">
        <v>186</v>
      </c>
      <c r="K46" s="11">
        <v>45</v>
      </c>
      <c r="L46" s="11" t="s">
        <v>187</v>
      </c>
      <c r="M46" s="11">
        <v>0</v>
      </c>
      <c r="N46" s="11" t="s">
        <v>188</v>
      </c>
      <c r="O46" s="11">
        <v>3</v>
      </c>
      <c r="P46" s="11" t="s">
        <v>189</v>
      </c>
      <c r="Q46" s="11">
        <v>3</v>
      </c>
      <c r="R46" s="11" t="s">
        <v>190</v>
      </c>
      <c r="S46" s="11">
        <v>37</v>
      </c>
      <c r="T46" s="11" t="s">
        <v>187</v>
      </c>
      <c r="U46" s="11">
        <v>58</v>
      </c>
      <c r="V46" s="11" t="s">
        <v>191</v>
      </c>
      <c r="W46" s="11">
        <v>45</v>
      </c>
      <c r="X46" s="11" t="s">
        <v>191</v>
      </c>
      <c r="Y46" s="11">
        <v>48</v>
      </c>
      <c r="Z46" s="2" t="s">
        <v>191</v>
      </c>
      <c r="AA46" s="2">
        <v>32</v>
      </c>
      <c r="AB46" s="2" t="s">
        <v>187</v>
      </c>
      <c r="AC46" s="2">
        <v>62</v>
      </c>
      <c r="AD46" s="2" t="s">
        <v>192</v>
      </c>
    </row>
    <row r="47" spans="1:30" x14ac:dyDescent="0.3">
      <c r="A47" s="11" t="s">
        <v>531</v>
      </c>
      <c r="B47" s="11">
        <v>10217</v>
      </c>
      <c r="C47" s="11">
        <v>1</v>
      </c>
      <c r="D47" s="11" t="s">
        <v>248</v>
      </c>
      <c r="E47" s="11" t="s">
        <v>194</v>
      </c>
      <c r="F47" s="11" t="s">
        <v>195</v>
      </c>
      <c r="G47" s="11">
        <v>32</v>
      </c>
      <c r="H47" s="11" t="s">
        <v>196</v>
      </c>
      <c r="I47" s="11">
        <v>31</v>
      </c>
      <c r="J47" s="11" t="s">
        <v>196</v>
      </c>
      <c r="K47" s="11">
        <v>26</v>
      </c>
      <c r="L47" s="11" t="s">
        <v>186</v>
      </c>
      <c r="M47" s="11">
        <v>0</v>
      </c>
      <c r="N47" s="11" t="s">
        <v>188</v>
      </c>
      <c r="O47" s="11">
        <v>1</v>
      </c>
      <c r="P47" s="11" t="s">
        <v>197</v>
      </c>
      <c r="Q47" s="11">
        <v>3</v>
      </c>
      <c r="R47" s="11" t="s">
        <v>190</v>
      </c>
      <c r="S47" s="11">
        <v>37</v>
      </c>
      <c r="T47" s="11" t="s">
        <v>187</v>
      </c>
      <c r="U47" s="11">
        <v>37</v>
      </c>
      <c r="V47" s="11" t="s">
        <v>187</v>
      </c>
      <c r="W47" s="11">
        <v>33</v>
      </c>
      <c r="X47" s="11" t="s">
        <v>187</v>
      </c>
      <c r="Y47" s="11">
        <v>36</v>
      </c>
      <c r="Z47" s="2" t="s">
        <v>187</v>
      </c>
      <c r="AA47" s="2">
        <v>32</v>
      </c>
      <c r="AB47" s="2" t="s">
        <v>187</v>
      </c>
      <c r="AC47" s="2">
        <v>36</v>
      </c>
      <c r="AD47" s="2" t="s">
        <v>187</v>
      </c>
    </row>
    <row r="48" spans="1:30" x14ac:dyDescent="0.3">
      <c r="A48" s="11" t="s">
        <v>531</v>
      </c>
      <c r="B48" s="11">
        <v>10218</v>
      </c>
      <c r="C48" s="11">
        <v>1</v>
      </c>
      <c r="D48" s="11" t="s">
        <v>249</v>
      </c>
      <c r="E48" s="11" t="s">
        <v>199</v>
      </c>
      <c r="F48" s="11" t="s">
        <v>200</v>
      </c>
      <c r="G48" s="11">
        <v>77</v>
      </c>
      <c r="H48" s="11" t="s">
        <v>201</v>
      </c>
      <c r="I48" s="11">
        <v>65</v>
      </c>
      <c r="J48" s="11" t="s">
        <v>202</v>
      </c>
      <c r="K48" s="11">
        <v>76</v>
      </c>
      <c r="L48" s="11" t="s">
        <v>201</v>
      </c>
      <c r="M48" s="11">
        <v>0</v>
      </c>
      <c r="N48" s="11" t="s">
        <v>188</v>
      </c>
      <c r="O48" s="11">
        <v>5</v>
      </c>
      <c r="P48" s="11" t="s">
        <v>189</v>
      </c>
      <c r="Q48" s="11">
        <v>0</v>
      </c>
      <c r="R48" s="11" t="s">
        <v>203</v>
      </c>
      <c r="S48" s="11">
        <v>85</v>
      </c>
      <c r="T48" s="11" t="s">
        <v>192</v>
      </c>
      <c r="U48" s="11">
        <v>79</v>
      </c>
      <c r="V48" s="11" t="s">
        <v>192</v>
      </c>
      <c r="W48" s="11">
        <v>81</v>
      </c>
      <c r="X48" s="11" t="s">
        <v>192</v>
      </c>
      <c r="Y48" s="11">
        <v>85</v>
      </c>
      <c r="Z48" s="2" t="s">
        <v>192</v>
      </c>
      <c r="AA48" s="2">
        <v>80</v>
      </c>
      <c r="AB48" s="2" t="s">
        <v>192</v>
      </c>
      <c r="AC48" s="2">
        <v>87</v>
      </c>
      <c r="AD48" s="2" t="s">
        <v>192</v>
      </c>
    </row>
    <row r="49" spans="1:30" x14ac:dyDescent="0.3">
      <c r="A49" s="11" t="s">
        <v>531</v>
      </c>
      <c r="B49" s="11">
        <v>10219</v>
      </c>
      <c r="C49" s="11">
        <v>1</v>
      </c>
      <c r="D49" s="11" t="s">
        <v>250</v>
      </c>
      <c r="E49" s="11" t="s">
        <v>205</v>
      </c>
      <c r="F49" s="11" t="s">
        <v>206</v>
      </c>
      <c r="G49" s="11">
        <v>81</v>
      </c>
      <c r="H49" s="11" t="s">
        <v>201</v>
      </c>
      <c r="I49" s="11">
        <v>86</v>
      </c>
      <c r="J49" s="11" t="s">
        <v>201</v>
      </c>
      <c r="K49" s="11">
        <v>76</v>
      </c>
      <c r="L49" s="11" t="s">
        <v>201</v>
      </c>
      <c r="M49" s="11">
        <v>0</v>
      </c>
      <c r="N49" s="11" t="s">
        <v>188</v>
      </c>
      <c r="O49" s="11">
        <v>1</v>
      </c>
      <c r="P49" s="11" t="s">
        <v>197</v>
      </c>
      <c r="Q49" s="11">
        <v>0</v>
      </c>
      <c r="R49" s="11" t="s">
        <v>203</v>
      </c>
      <c r="S49" s="11">
        <v>37</v>
      </c>
      <c r="T49" s="11" t="s">
        <v>187</v>
      </c>
      <c r="U49" s="11">
        <v>37</v>
      </c>
      <c r="V49" s="11" t="s">
        <v>187</v>
      </c>
      <c r="W49" s="11">
        <v>33</v>
      </c>
      <c r="X49" s="11" t="s">
        <v>187</v>
      </c>
      <c r="Y49" s="11">
        <v>36</v>
      </c>
      <c r="Z49" s="2" t="s">
        <v>187</v>
      </c>
      <c r="AA49" s="2">
        <v>32</v>
      </c>
      <c r="AB49" s="2" t="s">
        <v>187</v>
      </c>
      <c r="AC49" s="2">
        <v>36</v>
      </c>
      <c r="AD49" s="2" t="s">
        <v>187</v>
      </c>
    </row>
    <row r="50" spans="1:30" x14ac:dyDescent="0.3">
      <c r="A50" s="11" t="s">
        <v>531</v>
      </c>
      <c r="B50" s="11">
        <v>10220</v>
      </c>
      <c r="C50" s="11">
        <v>1</v>
      </c>
      <c r="D50" s="11" t="s">
        <v>251</v>
      </c>
      <c r="E50" s="11" t="s">
        <v>184</v>
      </c>
      <c r="F50" s="11" t="s">
        <v>185</v>
      </c>
      <c r="G50" s="11">
        <v>23</v>
      </c>
      <c r="H50" s="11" t="s">
        <v>186</v>
      </c>
      <c r="I50" s="11">
        <v>23</v>
      </c>
      <c r="J50" s="11" t="s">
        <v>186</v>
      </c>
      <c r="K50" s="11">
        <v>45</v>
      </c>
      <c r="L50" s="11" t="s">
        <v>187</v>
      </c>
      <c r="M50" s="11">
        <v>0</v>
      </c>
      <c r="N50" s="11" t="s">
        <v>188</v>
      </c>
      <c r="O50" s="11">
        <v>3</v>
      </c>
      <c r="P50" s="11" t="s">
        <v>189</v>
      </c>
      <c r="Q50" s="11">
        <v>3</v>
      </c>
      <c r="R50" s="11" t="s">
        <v>190</v>
      </c>
      <c r="S50" s="11">
        <v>37</v>
      </c>
      <c r="T50" s="11" t="s">
        <v>187</v>
      </c>
      <c r="U50" s="11">
        <v>58</v>
      </c>
      <c r="V50" s="11" t="s">
        <v>191</v>
      </c>
      <c r="W50" s="11">
        <v>45</v>
      </c>
      <c r="X50" s="11" t="s">
        <v>191</v>
      </c>
      <c r="Y50" s="11">
        <v>48</v>
      </c>
      <c r="Z50" s="2" t="s">
        <v>191</v>
      </c>
      <c r="AA50" s="2">
        <v>32</v>
      </c>
      <c r="AB50" s="2" t="s">
        <v>187</v>
      </c>
      <c r="AC50" s="2">
        <v>62</v>
      </c>
      <c r="AD50" s="2" t="s">
        <v>192</v>
      </c>
    </row>
    <row r="51" spans="1:30" x14ac:dyDescent="0.3">
      <c r="A51" s="11" t="s">
        <v>531</v>
      </c>
      <c r="B51" s="11">
        <v>10221</v>
      </c>
      <c r="C51" s="11">
        <v>1</v>
      </c>
      <c r="D51" s="11" t="s">
        <v>252</v>
      </c>
      <c r="E51" s="11" t="s">
        <v>194</v>
      </c>
      <c r="F51" s="11" t="s">
        <v>195</v>
      </c>
      <c r="G51" s="11">
        <v>32</v>
      </c>
      <c r="H51" s="11" t="s">
        <v>196</v>
      </c>
      <c r="I51" s="11">
        <v>31</v>
      </c>
      <c r="J51" s="11" t="s">
        <v>196</v>
      </c>
      <c r="K51" s="11">
        <v>26</v>
      </c>
      <c r="L51" s="11" t="s">
        <v>186</v>
      </c>
      <c r="M51" s="11">
        <v>0</v>
      </c>
      <c r="N51" s="11" t="s">
        <v>188</v>
      </c>
      <c r="O51" s="11">
        <v>1</v>
      </c>
      <c r="P51" s="11" t="s">
        <v>197</v>
      </c>
      <c r="Q51" s="11">
        <v>3</v>
      </c>
      <c r="R51" s="11" t="s">
        <v>190</v>
      </c>
      <c r="S51" s="11">
        <v>37</v>
      </c>
      <c r="T51" s="11" t="s">
        <v>187</v>
      </c>
      <c r="U51" s="11">
        <v>37</v>
      </c>
      <c r="V51" s="11" t="s">
        <v>187</v>
      </c>
      <c r="W51" s="11">
        <v>33</v>
      </c>
      <c r="X51" s="11" t="s">
        <v>187</v>
      </c>
      <c r="Y51" s="11">
        <v>36</v>
      </c>
      <c r="Z51" s="2" t="s">
        <v>187</v>
      </c>
      <c r="AA51" s="2">
        <v>32</v>
      </c>
      <c r="AB51" s="2" t="s">
        <v>187</v>
      </c>
      <c r="AC51" s="2">
        <v>36</v>
      </c>
      <c r="AD51" s="2" t="s">
        <v>187</v>
      </c>
    </row>
    <row r="52" spans="1:30" x14ac:dyDescent="0.3">
      <c r="A52" s="11" t="s">
        <v>531</v>
      </c>
      <c r="B52" s="11">
        <v>10222</v>
      </c>
      <c r="C52" s="11">
        <v>1</v>
      </c>
      <c r="D52" s="11" t="s">
        <v>253</v>
      </c>
      <c r="E52" s="11" t="s">
        <v>199</v>
      </c>
      <c r="F52" s="11" t="s">
        <v>200</v>
      </c>
      <c r="G52" s="11">
        <v>77</v>
      </c>
      <c r="H52" s="11" t="s">
        <v>201</v>
      </c>
      <c r="I52" s="11">
        <v>65</v>
      </c>
      <c r="J52" s="11" t="s">
        <v>202</v>
      </c>
      <c r="K52" s="11">
        <v>76</v>
      </c>
      <c r="L52" s="11" t="s">
        <v>201</v>
      </c>
      <c r="M52" s="11">
        <v>0</v>
      </c>
      <c r="N52" s="11" t="s">
        <v>188</v>
      </c>
      <c r="O52" s="11">
        <v>5</v>
      </c>
      <c r="P52" s="11" t="s">
        <v>189</v>
      </c>
      <c r="Q52" s="11">
        <v>0</v>
      </c>
      <c r="R52" s="11" t="s">
        <v>203</v>
      </c>
      <c r="S52" s="11">
        <v>85</v>
      </c>
      <c r="T52" s="11" t="s">
        <v>192</v>
      </c>
      <c r="U52" s="11">
        <v>79</v>
      </c>
      <c r="V52" s="11" t="s">
        <v>192</v>
      </c>
      <c r="W52" s="11">
        <v>81</v>
      </c>
      <c r="X52" s="11" t="s">
        <v>192</v>
      </c>
      <c r="Y52" s="11">
        <v>85</v>
      </c>
      <c r="Z52" s="2" t="s">
        <v>192</v>
      </c>
      <c r="AA52" s="2">
        <v>80</v>
      </c>
      <c r="AB52" s="2" t="s">
        <v>192</v>
      </c>
      <c r="AC52" s="2">
        <v>87</v>
      </c>
      <c r="AD52" s="2" t="s">
        <v>192</v>
      </c>
    </row>
    <row r="53" spans="1:30" x14ac:dyDescent="0.3">
      <c r="A53" s="11" t="s">
        <v>531</v>
      </c>
      <c r="B53" s="11">
        <v>10224</v>
      </c>
      <c r="C53" s="11">
        <v>1</v>
      </c>
      <c r="D53" s="11" t="s">
        <v>254</v>
      </c>
      <c r="E53" s="11" t="s">
        <v>205</v>
      </c>
      <c r="F53" s="11" t="s">
        <v>206</v>
      </c>
      <c r="G53" s="11">
        <v>81</v>
      </c>
      <c r="H53" s="11" t="s">
        <v>201</v>
      </c>
      <c r="I53" s="11">
        <v>86</v>
      </c>
      <c r="J53" s="11" t="s">
        <v>201</v>
      </c>
      <c r="K53" s="11">
        <v>76</v>
      </c>
      <c r="L53" s="11" t="s">
        <v>201</v>
      </c>
      <c r="M53" s="11">
        <v>0</v>
      </c>
      <c r="N53" s="11" t="s">
        <v>188</v>
      </c>
      <c r="O53" s="11">
        <v>1</v>
      </c>
      <c r="P53" s="11" t="s">
        <v>197</v>
      </c>
      <c r="Q53" s="11">
        <v>0</v>
      </c>
      <c r="R53" s="11" t="s">
        <v>203</v>
      </c>
      <c r="S53" s="11">
        <v>37</v>
      </c>
      <c r="T53" s="11" t="s">
        <v>187</v>
      </c>
      <c r="U53" s="11">
        <v>37</v>
      </c>
      <c r="V53" s="11" t="s">
        <v>187</v>
      </c>
      <c r="W53" s="11">
        <v>33</v>
      </c>
      <c r="X53" s="11" t="s">
        <v>187</v>
      </c>
      <c r="Y53" s="11">
        <v>36</v>
      </c>
      <c r="Z53" s="2" t="s">
        <v>187</v>
      </c>
      <c r="AA53" s="2">
        <v>32</v>
      </c>
      <c r="AB53" s="2" t="s">
        <v>187</v>
      </c>
      <c r="AC53" s="2">
        <v>36</v>
      </c>
      <c r="AD53" s="2" t="s">
        <v>187</v>
      </c>
    </row>
    <row r="54" spans="1:30" x14ac:dyDescent="0.3">
      <c r="A54" s="11" t="s">
        <v>531</v>
      </c>
      <c r="B54" s="11">
        <v>10225</v>
      </c>
      <c r="C54" s="11">
        <v>1</v>
      </c>
      <c r="D54" s="11" t="s">
        <v>255</v>
      </c>
      <c r="E54" s="11" t="s">
        <v>184</v>
      </c>
      <c r="F54" s="11" t="s">
        <v>185</v>
      </c>
      <c r="G54" s="11">
        <v>23</v>
      </c>
      <c r="H54" s="11" t="s">
        <v>186</v>
      </c>
      <c r="I54" s="11">
        <v>23</v>
      </c>
      <c r="J54" s="11" t="s">
        <v>186</v>
      </c>
      <c r="K54" s="11">
        <v>45</v>
      </c>
      <c r="L54" s="11" t="s">
        <v>187</v>
      </c>
      <c r="M54" s="11">
        <v>0</v>
      </c>
      <c r="N54" s="11" t="s">
        <v>188</v>
      </c>
      <c r="O54" s="11">
        <v>3</v>
      </c>
      <c r="P54" s="11" t="s">
        <v>189</v>
      </c>
      <c r="Q54" s="11">
        <v>3</v>
      </c>
      <c r="R54" s="11" t="s">
        <v>190</v>
      </c>
      <c r="S54" s="11">
        <v>37</v>
      </c>
      <c r="T54" s="11" t="s">
        <v>187</v>
      </c>
      <c r="U54" s="11">
        <v>58</v>
      </c>
      <c r="V54" s="11" t="s">
        <v>191</v>
      </c>
      <c r="W54" s="11">
        <v>45</v>
      </c>
      <c r="X54" s="11" t="s">
        <v>191</v>
      </c>
      <c r="Y54" s="11">
        <v>48</v>
      </c>
      <c r="Z54" s="2" t="s">
        <v>191</v>
      </c>
      <c r="AA54" s="2">
        <v>32</v>
      </c>
      <c r="AB54" s="2" t="s">
        <v>187</v>
      </c>
      <c r="AC54" s="2">
        <v>62</v>
      </c>
      <c r="AD54" s="2" t="s">
        <v>192</v>
      </c>
    </row>
    <row r="55" spans="1:30" x14ac:dyDescent="0.3">
      <c r="A55" s="11" t="s">
        <v>531</v>
      </c>
      <c r="B55" s="11">
        <v>10226</v>
      </c>
      <c r="C55" s="11">
        <v>1</v>
      </c>
      <c r="D55" s="11" t="s">
        <v>256</v>
      </c>
      <c r="E55" s="11" t="s">
        <v>194</v>
      </c>
      <c r="F55" s="11" t="s">
        <v>195</v>
      </c>
      <c r="G55" s="11">
        <v>32</v>
      </c>
      <c r="H55" s="11" t="s">
        <v>196</v>
      </c>
      <c r="I55" s="11">
        <v>31</v>
      </c>
      <c r="J55" s="11" t="s">
        <v>196</v>
      </c>
      <c r="K55" s="11">
        <v>26</v>
      </c>
      <c r="L55" s="11" t="s">
        <v>186</v>
      </c>
      <c r="M55" s="11">
        <v>0</v>
      </c>
      <c r="N55" s="11" t="s">
        <v>188</v>
      </c>
      <c r="O55" s="11">
        <v>1</v>
      </c>
      <c r="P55" s="11" t="s">
        <v>197</v>
      </c>
      <c r="Q55" s="11">
        <v>3</v>
      </c>
      <c r="R55" s="11" t="s">
        <v>190</v>
      </c>
      <c r="S55" s="11">
        <v>37</v>
      </c>
      <c r="T55" s="11" t="s">
        <v>187</v>
      </c>
      <c r="U55" s="11">
        <v>37</v>
      </c>
      <c r="V55" s="11" t="s">
        <v>187</v>
      </c>
      <c r="W55" s="11">
        <v>33</v>
      </c>
      <c r="X55" s="11" t="s">
        <v>187</v>
      </c>
      <c r="Y55" s="11">
        <v>36</v>
      </c>
      <c r="Z55" s="2" t="s">
        <v>187</v>
      </c>
      <c r="AA55" s="2">
        <v>32</v>
      </c>
      <c r="AB55" s="2" t="s">
        <v>187</v>
      </c>
      <c r="AC55" s="2">
        <v>36</v>
      </c>
      <c r="AD55" s="2" t="s">
        <v>187</v>
      </c>
    </row>
    <row r="56" spans="1:30" x14ac:dyDescent="0.3">
      <c r="A56" s="11" t="s">
        <v>531</v>
      </c>
      <c r="B56" s="11">
        <v>10227</v>
      </c>
      <c r="C56" s="11">
        <v>1</v>
      </c>
      <c r="D56" s="11" t="s">
        <v>257</v>
      </c>
      <c r="E56" s="11" t="s">
        <v>199</v>
      </c>
      <c r="F56" s="11" t="s">
        <v>200</v>
      </c>
      <c r="G56" s="11">
        <v>77</v>
      </c>
      <c r="H56" s="11" t="s">
        <v>201</v>
      </c>
      <c r="I56" s="11">
        <v>65</v>
      </c>
      <c r="J56" s="11" t="s">
        <v>202</v>
      </c>
      <c r="K56" s="11">
        <v>76</v>
      </c>
      <c r="L56" s="11" t="s">
        <v>201</v>
      </c>
      <c r="M56" s="11">
        <v>0</v>
      </c>
      <c r="N56" s="11" t="s">
        <v>188</v>
      </c>
      <c r="O56" s="11">
        <v>5</v>
      </c>
      <c r="P56" s="11" t="s">
        <v>189</v>
      </c>
      <c r="Q56" s="11">
        <v>0</v>
      </c>
      <c r="R56" s="11" t="s">
        <v>203</v>
      </c>
      <c r="S56" s="11">
        <v>85</v>
      </c>
      <c r="T56" s="11" t="s">
        <v>192</v>
      </c>
      <c r="U56" s="11">
        <v>79</v>
      </c>
      <c r="V56" s="11" t="s">
        <v>192</v>
      </c>
      <c r="W56" s="11">
        <v>81</v>
      </c>
      <c r="X56" s="11" t="s">
        <v>192</v>
      </c>
      <c r="Y56" s="11">
        <v>85</v>
      </c>
      <c r="Z56" s="2" t="s">
        <v>192</v>
      </c>
      <c r="AA56" s="2">
        <v>80</v>
      </c>
      <c r="AB56" s="2" t="s">
        <v>192</v>
      </c>
      <c r="AC56" s="2">
        <v>87</v>
      </c>
      <c r="AD56" s="2" t="s">
        <v>192</v>
      </c>
    </row>
    <row r="57" spans="1:30" x14ac:dyDescent="0.3">
      <c r="A57" s="11" t="s">
        <v>531</v>
      </c>
      <c r="B57" s="11">
        <v>10228</v>
      </c>
      <c r="C57" s="11">
        <v>1</v>
      </c>
      <c r="D57" s="11" t="s">
        <v>258</v>
      </c>
      <c r="E57" s="11" t="s">
        <v>205</v>
      </c>
      <c r="F57" s="11" t="s">
        <v>206</v>
      </c>
      <c r="G57" s="11">
        <v>81</v>
      </c>
      <c r="H57" s="11" t="s">
        <v>201</v>
      </c>
      <c r="I57" s="11">
        <v>86</v>
      </c>
      <c r="J57" s="11" t="s">
        <v>201</v>
      </c>
      <c r="K57" s="11">
        <v>76</v>
      </c>
      <c r="L57" s="11" t="s">
        <v>201</v>
      </c>
      <c r="M57" s="11">
        <v>0</v>
      </c>
      <c r="N57" s="11" t="s">
        <v>188</v>
      </c>
      <c r="O57" s="11">
        <v>1</v>
      </c>
      <c r="P57" s="11" t="s">
        <v>197</v>
      </c>
      <c r="Q57" s="11">
        <v>0</v>
      </c>
      <c r="R57" s="11" t="s">
        <v>203</v>
      </c>
      <c r="S57" s="11">
        <v>37</v>
      </c>
      <c r="T57" s="11" t="s">
        <v>187</v>
      </c>
      <c r="U57" s="11">
        <v>37</v>
      </c>
      <c r="V57" s="11" t="s">
        <v>187</v>
      </c>
      <c r="W57" s="11">
        <v>33</v>
      </c>
      <c r="X57" s="11" t="s">
        <v>187</v>
      </c>
      <c r="Y57" s="11">
        <v>36</v>
      </c>
      <c r="Z57" s="2" t="s">
        <v>187</v>
      </c>
      <c r="AA57" s="2">
        <v>32</v>
      </c>
      <c r="AB57" s="2" t="s">
        <v>187</v>
      </c>
      <c r="AC57" s="2">
        <v>36</v>
      </c>
      <c r="AD57" s="2" t="s">
        <v>187</v>
      </c>
    </row>
    <row r="58" spans="1:30" x14ac:dyDescent="0.3">
      <c r="A58" s="11" t="s">
        <v>531</v>
      </c>
      <c r="B58" s="11">
        <v>10229</v>
      </c>
      <c r="C58" s="11">
        <v>1</v>
      </c>
      <c r="D58" s="11" t="s">
        <v>259</v>
      </c>
      <c r="E58" s="11" t="s">
        <v>184</v>
      </c>
      <c r="F58" s="11" t="s">
        <v>185</v>
      </c>
      <c r="G58" s="11">
        <v>23</v>
      </c>
      <c r="H58" s="11" t="s">
        <v>186</v>
      </c>
      <c r="I58" s="11">
        <v>23</v>
      </c>
      <c r="J58" s="11" t="s">
        <v>186</v>
      </c>
      <c r="K58" s="11">
        <v>45</v>
      </c>
      <c r="L58" s="11" t="s">
        <v>187</v>
      </c>
      <c r="M58" s="11">
        <v>0</v>
      </c>
      <c r="N58" s="11" t="s">
        <v>188</v>
      </c>
      <c r="O58" s="11">
        <v>3</v>
      </c>
      <c r="P58" s="11" t="s">
        <v>189</v>
      </c>
      <c r="Q58" s="11">
        <v>3</v>
      </c>
      <c r="R58" s="11" t="s">
        <v>190</v>
      </c>
      <c r="S58" s="11">
        <v>37</v>
      </c>
      <c r="T58" s="11" t="s">
        <v>187</v>
      </c>
      <c r="U58" s="11">
        <v>58</v>
      </c>
      <c r="V58" s="11" t="s">
        <v>191</v>
      </c>
      <c r="W58" s="11">
        <v>45</v>
      </c>
      <c r="X58" s="11" t="s">
        <v>191</v>
      </c>
      <c r="Y58" s="11">
        <v>48</v>
      </c>
      <c r="Z58" s="2" t="s">
        <v>191</v>
      </c>
      <c r="AA58" s="2">
        <v>32</v>
      </c>
      <c r="AB58" s="2" t="s">
        <v>187</v>
      </c>
      <c r="AC58" s="2">
        <v>62</v>
      </c>
      <c r="AD58" s="2" t="s">
        <v>192</v>
      </c>
    </row>
    <row r="59" spans="1:30" x14ac:dyDescent="0.3">
      <c r="A59" s="11" t="s">
        <v>531</v>
      </c>
      <c r="B59" s="11">
        <v>10230</v>
      </c>
      <c r="C59" s="11">
        <v>1</v>
      </c>
      <c r="D59" s="11" t="s">
        <v>260</v>
      </c>
      <c r="E59" s="11" t="s">
        <v>194</v>
      </c>
      <c r="F59" s="11" t="s">
        <v>195</v>
      </c>
      <c r="G59" s="11">
        <v>32</v>
      </c>
      <c r="H59" s="11" t="s">
        <v>196</v>
      </c>
      <c r="I59" s="11">
        <v>31</v>
      </c>
      <c r="J59" s="11" t="s">
        <v>196</v>
      </c>
      <c r="K59" s="11">
        <v>26</v>
      </c>
      <c r="L59" s="11" t="s">
        <v>186</v>
      </c>
      <c r="M59" s="11">
        <v>0</v>
      </c>
      <c r="N59" s="11" t="s">
        <v>188</v>
      </c>
      <c r="O59" s="11">
        <v>1</v>
      </c>
      <c r="P59" s="11" t="s">
        <v>197</v>
      </c>
      <c r="Q59" s="11">
        <v>3</v>
      </c>
      <c r="R59" s="11" t="s">
        <v>190</v>
      </c>
      <c r="S59" s="11">
        <v>37</v>
      </c>
      <c r="T59" s="11" t="s">
        <v>187</v>
      </c>
      <c r="U59" s="11">
        <v>37</v>
      </c>
      <c r="V59" s="11" t="s">
        <v>187</v>
      </c>
      <c r="W59" s="11">
        <v>33</v>
      </c>
      <c r="X59" s="11" t="s">
        <v>187</v>
      </c>
      <c r="Y59" s="11">
        <v>36</v>
      </c>
      <c r="Z59" s="2" t="s">
        <v>187</v>
      </c>
      <c r="AA59" s="2">
        <v>32</v>
      </c>
      <c r="AB59" s="2" t="s">
        <v>187</v>
      </c>
      <c r="AC59" s="2">
        <v>36</v>
      </c>
      <c r="AD59" s="2" t="s">
        <v>187</v>
      </c>
    </row>
    <row r="60" spans="1:30" x14ac:dyDescent="0.3">
      <c r="A60" s="11" t="s">
        <v>531</v>
      </c>
      <c r="B60" s="11">
        <v>10231</v>
      </c>
      <c r="C60" s="11">
        <v>1</v>
      </c>
      <c r="D60" s="11" t="s">
        <v>261</v>
      </c>
      <c r="E60" s="11" t="s">
        <v>199</v>
      </c>
      <c r="F60" s="11" t="s">
        <v>200</v>
      </c>
      <c r="G60" s="11">
        <v>77</v>
      </c>
      <c r="H60" s="11" t="s">
        <v>201</v>
      </c>
      <c r="I60" s="11">
        <v>65</v>
      </c>
      <c r="J60" s="11" t="s">
        <v>202</v>
      </c>
      <c r="K60" s="11">
        <v>76</v>
      </c>
      <c r="L60" s="11" t="s">
        <v>201</v>
      </c>
      <c r="M60" s="11">
        <v>0</v>
      </c>
      <c r="N60" s="11" t="s">
        <v>188</v>
      </c>
      <c r="O60" s="11">
        <v>5</v>
      </c>
      <c r="P60" s="11" t="s">
        <v>189</v>
      </c>
      <c r="Q60" s="11">
        <v>0</v>
      </c>
      <c r="R60" s="11" t="s">
        <v>203</v>
      </c>
      <c r="S60" s="11">
        <v>85</v>
      </c>
      <c r="T60" s="11" t="s">
        <v>192</v>
      </c>
      <c r="U60" s="11">
        <v>79</v>
      </c>
      <c r="V60" s="11" t="s">
        <v>192</v>
      </c>
      <c r="W60" s="11">
        <v>81</v>
      </c>
      <c r="X60" s="11" t="s">
        <v>192</v>
      </c>
      <c r="Y60" s="11">
        <v>85</v>
      </c>
      <c r="Z60" s="2" t="s">
        <v>192</v>
      </c>
      <c r="AA60" s="2">
        <v>80</v>
      </c>
      <c r="AB60" s="2" t="s">
        <v>192</v>
      </c>
      <c r="AC60" s="2">
        <v>87</v>
      </c>
      <c r="AD60" s="2" t="s">
        <v>192</v>
      </c>
    </row>
    <row r="61" spans="1:30" x14ac:dyDescent="0.3">
      <c r="A61" s="11" t="s">
        <v>531</v>
      </c>
      <c r="B61" s="11">
        <v>10301</v>
      </c>
      <c r="C61" s="11">
        <v>2</v>
      </c>
      <c r="D61" s="11" t="s">
        <v>262</v>
      </c>
      <c r="E61" s="11" t="s">
        <v>205</v>
      </c>
      <c r="F61" s="11" t="s">
        <v>206</v>
      </c>
      <c r="G61" s="11">
        <v>81</v>
      </c>
      <c r="H61" s="11" t="s">
        <v>201</v>
      </c>
      <c r="I61" s="11">
        <v>86</v>
      </c>
      <c r="J61" s="11" t="s">
        <v>201</v>
      </c>
      <c r="K61" s="11">
        <v>76</v>
      </c>
      <c r="L61" s="11" t="s">
        <v>201</v>
      </c>
      <c r="M61" s="11">
        <v>0</v>
      </c>
      <c r="N61" s="11" t="s">
        <v>188</v>
      </c>
      <c r="O61" s="11">
        <v>1</v>
      </c>
      <c r="P61" s="11" t="s">
        <v>197</v>
      </c>
      <c r="Q61" s="11">
        <v>0</v>
      </c>
      <c r="R61" s="11" t="s">
        <v>203</v>
      </c>
      <c r="S61" s="11">
        <v>37</v>
      </c>
      <c r="T61" s="11" t="s">
        <v>187</v>
      </c>
      <c r="U61" s="11">
        <v>37</v>
      </c>
      <c r="V61" s="11" t="s">
        <v>187</v>
      </c>
      <c r="W61" s="11">
        <v>33</v>
      </c>
      <c r="X61" s="11" t="s">
        <v>187</v>
      </c>
      <c r="Y61" s="11">
        <v>36</v>
      </c>
      <c r="Z61" s="2" t="s">
        <v>187</v>
      </c>
      <c r="AA61" s="2">
        <v>32</v>
      </c>
      <c r="AB61" s="2" t="s">
        <v>187</v>
      </c>
      <c r="AC61" s="2">
        <v>36</v>
      </c>
      <c r="AD61" s="2" t="s">
        <v>187</v>
      </c>
    </row>
    <row r="62" spans="1:30" x14ac:dyDescent="0.3">
      <c r="A62" s="11" t="s">
        <v>531</v>
      </c>
      <c r="B62" s="11">
        <v>10302</v>
      </c>
      <c r="C62" s="11">
        <v>2</v>
      </c>
      <c r="D62" s="11" t="s">
        <v>263</v>
      </c>
      <c r="E62" s="11" t="s">
        <v>184</v>
      </c>
      <c r="F62" s="11" t="s">
        <v>185</v>
      </c>
      <c r="G62" s="11">
        <v>23</v>
      </c>
      <c r="H62" s="11" t="s">
        <v>186</v>
      </c>
      <c r="I62" s="11">
        <v>23</v>
      </c>
      <c r="J62" s="11" t="s">
        <v>186</v>
      </c>
      <c r="K62" s="11">
        <v>45</v>
      </c>
      <c r="L62" s="11" t="s">
        <v>187</v>
      </c>
      <c r="M62" s="11">
        <v>0</v>
      </c>
      <c r="N62" s="11" t="s">
        <v>188</v>
      </c>
      <c r="O62" s="11">
        <v>3</v>
      </c>
      <c r="P62" s="11" t="s">
        <v>189</v>
      </c>
      <c r="Q62" s="11">
        <v>3</v>
      </c>
      <c r="R62" s="11" t="s">
        <v>190</v>
      </c>
      <c r="S62" s="11">
        <v>37</v>
      </c>
      <c r="T62" s="11" t="s">
        <v>187</v>
      </c>
      <c r="U62" s="11">
        <v>58</v>
      </c>
      <c r="V62" s="11" t="s">
        <v>191</v>
      </c>
      <c r="W62" s="11">
        <v>45</v>
      </c>
      <c r="X62" s="11" t="s">
        <v>191</v>
      </c>
      <c r="Y62" s="11">
        <v>48</v>
      </c>
      <c r="Z62" s="2" t="s">
        <v>191</v>
      </c>
      <c r="AA62" s="2">
        <v>32</v>
      </c>
      <c r="AB62" s="2" t="s">
        <v>187</v>
      </c>
      <c r="AC62" s="2">
        <v>62</v>
      </c>
      <c r="AD62" s="2" t="s">
        <v>192</v>
      </c>
    </row>
    <row r="63" spans="1:30" x14ac:dyDescent="0.3">
      <c r="A63" s="11" t="s">
        <v>531</v>
      </c>
      <c r="B63" s="11">
        <v>10303</v>
      </c>
      <c r="C63" s="11">
        <v>2</v>
      </c>
      <c r="D63" s="11" t="s">
        <v>264</v>
      </c>
      <c r="E63" s="11" t="s">
        <v>194</v>
      </c>
      <c r="F63" s="11" t="s">
        <v>195</v>
      </c>
      <c r="G63" s="11">
        <v>32</v>
      </c>
      <c r="H63" s="11" t="s">
        <v>196</v>
      </c>
      <c r="I63" s="11">
        <v>31</v>
      </c>
      <c r="J63" s="11" t="s">
        <v>196</v>
      </c>
      <c r="K63" s="11">
        <v>26</v>
      </c>
      <c r="L63" s="11" t="s">
        <v>186</v>
      </c>
      <c r="M63" s="11">
        <v>0</v>
      </c>
      <c r="N63" s="11" t="s">
        <v>188</v>
      </c>
      <c r="O63" s="11">
        <v>1</v>
      </c>
      <c r="P63" s="11" t="s">
        <v>197</v>
      </c>
      <c r="Q63" s="11">
        <v>3</v>
      </c>
      <c r="R63" s="11" t="s">
        <v>190</v>
      </c>
      <c r="S63" s="11">
        <v>37</v>
      </c>
      <c r="T63" s="11" t="s">
        <v>187</v>
      </c>
      <c r="U63" s="11">
        <v>37</v>
      </c>
      <c r="V63" s="11" t="s">
        <v>187</v>
      </c>
      <c r="W63" s="11">
        <v>33</v>
      </c>
      <c r="X63" s="11" t="s">
        <v>187</v>
      </c>
      <c r="Y63" s="11">
        <v>36</v>
      </c>
      <c r="Z63" s="2" t="s">
        <v>187</v>
      </c>
      <c r="AA63" s="2">
        <v>32</v>
      </c>
      <c r="AB63" s="2" t="s">
        <v>187</v>
      </c>
      <c r="AC63" s="2">
        <v>36</v>
      </c>
      <c r="AD63" s="2" t="s">
        <v>187</v>
      </c>
    </row>
    <row r="64" spans="1:30" x14ac:dyDescent="0.3">
      <c r="A64" s="11" t="s">
        <v>531</v>
      </c>
      <c r="B64" s="11">
        <v>10304</v>
      </c>
      <c r="C64" s="11">
        <v>2</v>
      </c>
      <c r="D64" s="11" t="s">
        <v>265</v>
      </c>
      <c r="E64" s="11" t="s">
        <v>199</v>
      </c>
      <c r="F64" s="11" t="s">
        <v>200</v>
      </c>
      <c r="G64" s="11">
        <v>77</v>
      </c>
      <c r="H64" s="11" t="s">
        <v>201</v>
      </c>
      <c r="I64" s="11">
        <v>65</v>
      </c>
      <c r="J64" s="11" t="s">
        <v>202</v>
      </c>
      <c r="K64" s="11">
        <v>76</v>
      </c>
      <c r="L64" s="11" t="s">
        <v>201</v>
      </c>
      <c r="M64" s="11">
        <v>0</v>
      </c>
      <c r="N64" s="11" t="s">
        <v>188</v>
      </c>
      <c r="O64" s="11">
        <v>5</v>
      </c>
      <c r="P64" s="11" t="s">
        <v>189</v>
      </c>
      <c r="Q64" s="11">
        <v>0</v>
      </c>
      <c r="R64" s="11" t="s">
        <v>203</v>
      </c>
      <c r="S64" s="11">
        <v>85</v>
      </c>
      <c r="T64" s="11" t="s">
        <v>192</v>
      </c>
      <c r="U64" s="11">
        <v>79</v>
      </c>
      <c r="V64" s="11" t="s">
        <v>192</v>
      </c>
      <c r="W64" s="11">
        <v>81</v>
      </c>
      <c r="X64" s="11" t="s">
        <v>192</v>
      </c>
      <c r="Y64" s="11">
        <v>85</v>
      </c>
      <c r="Z64" s="2" t="s">
        <v>192</v>
      </c>
      <c r="AA64" s="2">
        <v>80</v>
      </c>
      <c r="AB64" s="2" t="s">
        <v>192</v>
      </c>
      <c r="AC64" s="2">
        <v>87</v>
      </c>
      <c r="AD64" s="2" t="s">
        <v>192</v>
      </c>
    </row>
    <row r="65" spans="1:30" x14ac:dyDescent="0.3">
      <c r="A65" s="11" t="s">
        <v>531</v>
      </c>
      <c r="B65" s="11">
        <v>10305</v>
      </c>
      <c r="C65" s="11">
        <v>2</v>
      </c>
      <c r="D65" s="11" t="s">
        <v>266</v>
      </c>
      <c r="E65" s="11" t="s">
        <v>205</v>
      </c>
      <c r="F65" s="11" t="s">
        <v>206</v>
      </c>
      <c r="G65" s="11">
        <v>81</v>
      </c>
      <c r="H65" s="11" t="s">
        <v>201</v>
      </c>
      <c r="I65" s="11">
        <v>86</v>
      </c>
      <c r="J65" s="11" t="s">
        <v>201</v>
      </c>
      <c r="K65" s="11">
        <v>76</v>
      </c>
      <c r="L65" s="11" t="s">
        <v>201</v>
      </c>
      <c r="M65" s="11">
        <v>0</v>
      </c>
      <c r="N65" s="11" t="s">
        <v>188</v>
      </c>
      <c r="O65" s="11">
        <v>1</v>
      </c>
      <c r="P65" s="11" t="s">
        <v>197</v>
      </c>
      <c r="Q65" s="11">
        <v>0</v>
      </c>
      <c r="R65" s="11" t="s">
        <v>203</v>
      </c>
      <c r="S65" s="11">
        <v>37</v>
      </c>
      <c r="T65" s="11" t="s">
        <v>187</v>
      </c>
      <c r="U65" s="11">
        <v>37</v>
      </c>
      <c r="V65" s="11" t="s">
        <v>187</v>
      </c>
      <c r="W65" s="11">
        <v>33</v>
      </c>
      <c r="X65" s="11" t="s">
        <v>187</v>
      </c>
      <c r="Y65" s="11">
        <v>36</v>
      </c>
      <c r="Z65" s="2" t="s">
        <v>187</v>
      </c>
      <c r="AA65" s="2">
        <v>32</v>
      </c>
      <c r="AB65" s="2" t="s">
        <v>187</v>
      </c>
      <c r="AC65" s="2">
        <v>36</v>
      </c>
      <c r="AD65" s="2" t="s">
        <v>187</v>
      </c>
    </row>
    <row r="66" spans="1:30" x14ac:dyDescent="0.3">
      <c r="A66" s="11" t="s">
        <v>531</v>
      </c>
      <c r="B66" s="11">
        <v>10306</v>
      </c>
      <c r="C66" s="11">
        <v>2</v>
      </c>
      <c r="D66" s="11" t="s">
        <v>267</v>
      </c>
      <c r="E66" s="11" t="s">
        <v>184</v>
      </c>
      <c r="F66" s="11" t="s">
        <v>185</v>
      </c>
      <c r="G66" s="11">
        <v>23</v>
      </c>
      <c r="H66" s="11" t="s">
        <v>186</v>
      </c>
      <c r="I66" s="11">
        <v>23</v>
      </c>
      <c r="J66" s="11" t="s">
        <v>186</v>
      </c>
      <c r="K66" s="11">
        <v>45</v>
      </c>
      <c r="L66" s="11" t="s">
        <v>187</v>
      </c>
      <c r="M66" s="11">
        <v>0</v>
      </c>
      <c r="N66" s="11" t="s">
        <v>188</v>
      </c>
      <c r="O66" s="11">
        <v>3</v>
      </c>
      <c r="P66" s="11" t="s">
        <v>189</v>
      </c>
      <c r="Q66" s="11">
        <v>3</v>
      </c>
      <c r="R66" s="11" t="s">
        <v>190</v>
      </c>
      <c r="S66" s="11">
        <v>37</v>
      </c>
      <c r="T66" s="11" t="s">
        <v>187</v>
      </c>
      <c r="U66" s="11">
        <v>58</v>
      </c>
      <c r="V66" s="11" t="s">
        <v>191</v>
      </c>
      <c r="W66" s="11">
        <v>45</v>
      </c>
      <c r="X66" s="11" t="s">
        <v>191</v>
      </c>
      <c r="Y66" s="11">
        <v>48</v>
      </c>
      <c r="Z66" s="2" t="s">
        <v>191</v>
      </c>
      <c r="AA66" s="2">
        <v>32</v>
      </c>
      <c r="AB66" s="2" t="s">
        <v>187</v>
      </c>
      <c r="AC66" s="2">
        <v>62</v>
      </c>
      <c r="AD66" s="2" t="s">
        <v>192</v>
      </c>
    </row>
    <row r="67" spans="1:30" x14ac:dyDescent="0.3">
      <c r="A67" s="11" t="s">
        <v>531</v>
      </c>
      <c r="B67" s="11">
        <v>10307</v>
      </c>
      <c r="C67" s="11">
        <v>2</v>
      </c>
      <c r="D67" s="11" t="s">
        <v>268</v>
      </c>
      <c r="E67" s="11" t="s">
        <v>194</v>
      </c>
      <c r="F67" s="11" t="s">
        <v>195</v>
      </c>
      <c r="G67" s="11">
        <v>32</v>
      </c>
      <c r="H67" s="11" t="s">
        <v>196</v>
      </c>
      <c r="I67" s="11">
        <v>31</v>
      </c>
      <c r="J67" s="11" t="s">
        <v>196</v>
      </c>
      <c r="K67" s="11">
        <v>26</v>
      </c>
      <c r="L67" s="11" t="s">
        <v>186</v>
      </c>
      <c r="M67" s="11">
        <v>0</v>
      </c>
      <c r="N67" s="11" t="s">
        <v>188</v>
      </c>
      <c r="O67" s="11">
        <v>1</v>
      </c>
      <c r="P67" s="11" t="s">
        <v>197</v>
      </c>
      <c r="Q67" s="11">
        <v>3</v>
      </c>
      <c r="R67" s="11" t="s">
        <v>190</v>
      </c>
      <c r="S67" s="11">
        <v>37</v>
      </c>
      <c r="T67" s="11" t="s">
        <v>187</v>
      </c>
      <c r="U67" s="11">
        <v>37</v>
      </c>
      <c r="V67" s="11" t="s">
        <v>187</v>
      </c>
      <c r="W67" s="11">
        <v>33</v>
      </c>
      <c r="X67" s="11" t="s">
        <v>187</v>
      </c>
      <c r="Y67" s="11">
        <v>36</v>
      </c>
      <c r="Z67" s="2" t="s">
        <v>187</v>
      </c>
      <c r="AA67" s="2">
        <v>32</v>
      </c>
      <c r="AB67" s="2" t="s">
        <v>187</v>
      </c>
      <c r="AC67" s="2">
        <v>36</v>
      </c>
      <c r="AD67" s="2" t="s">
        <v>187</v>
      </c>
    </row>
    <row r="68" spans="1:30" x14ac:dyDescent="0.3">
      <c r="A68" s="11" t="s">
        <v>531</v>
      </c>
      <c r="B68" s="11">
        <v>10308</v>
      </c>
      <c r="C68" s="11">
        <v>2</v>
      </c>
      <c r="D68" s="11" t="s">
        <v>269</v>
      </c>
      <c r="E68" s="11" t="s">
        <v>199</v>
      </c>
      <c r="F68" s="11" t="s">
        <v>200</v>
      </c>
      <c r="G68" s="11">
        <v>77</v>
      </c>
      <c r="H68" s="11" t="s">
        <v>201</v>
      </c>
      <c r="I68" s="11">
        <v>65</v>
      </c>
      <c r="J68" s="11" t="s">
        <v>202</v>
      </c>
      <c r="K68" s="11">
        <v>76</v>
      </c>
      <c r="L68" s="11" t="s">
        <v>201</v>
      </c>
      <c r="M68" s="11">
        <v>0</v>
      </c>
      <c r="N68" s="11" t="s">
        <v>188</v>
      </c>
      <c r="O68" s="11">
        <v>5</v>
      </c>
      <c r="P68" s="11" t="s">
        <v>189</v>
      </c>
      <c r="Q68" s="11">
        <v>0</v>
      </c>
      <c r="R68" s="11" t="s">
        <v>203</v>
      </c>
      <c r="S68" s="11">
        <v>85</v>
      </c>
      <c r="T68" s="11" t="s">
        <v>192</v>
      </c>
      <c r="U68" s="11">
        <v>79</v>
      </c>
      <c r="V68" s="11" t="s">
        <v>192</v>
      </c>
      <c r="W68" s="11">
        <v>81</v>
      </c>
      <c r="X68" s="11" t="s">
        <v>192</v>
      </c>
      <c r="Y68" s="11">
        <v>85</v>
      </c>
      <c r="Z68" s="2" t="s">
        <v>192</v>
      </c>
      <c r="AA68" s="2">
        <v>80</v>
      </c>
      <c r="AB68" s="2" t="s">
        <v>192</v>
      </c>
      <c r="AC68" s="2">
        <v>87</v>
      </c>
      <c r="AD68" s="2" t="s">
        <v>192</v>
      </c>
    </row>
    <row r="69" spans="1:30" x14ac:dyDescent="0.3">
      <c r="A69" s="11" t="s">
        <v>531</v>
      </c>
      <c r="B69" s="11">
        <v>10309</v>
      </c>
      <c r="C69" s="11">
        <v>2</v>
      </c>
      <c r="D69" s="11" t="s">
        <v>270</v>
      </c>
      <c r="E69" s="11" t="s">
        <v>205</v>
      </c>
      <c r="F69" s="11" t="s">
        <v>206</v>
      </c>
      <c r="G69" s="11">
        <v>81</v>
      </c>
      <c r="H69" s="11" t="s">
        <v>201</v>
      </c>
      <c r="I69" s="11">
        <v>86</v>
      </c>
      <c r="J69" s="11" t="s">
        <v>201</v>
      </c>
      <c r="K69" s="11">
        <v>76</v>
      </c>
      <c r="L69" s="11" t="s">
        <v>201</v>
      </c>
      <c r="M69" s="11">
        <v>0</v>
      </c>
      <c r="N69" s="11" t="s">
        <v>188</v>
      </c>
      <c r="O69" s="11">
        <v>1</v>
      </c>
      <c r="P69" s="11" t="s">
        <v>197</v>
      </c>
      <c r="Q69" s="11">
        <v>0</v>
      </c>
      <c r="R69" s="11" t="s">
        <v>203</v>
      </c>
      <c r="S69" s="11">
        <v>37</v>
      </c>
      <c r="T69" s="11" t="s">
        <v>187</v>
      </c>
      <c r="U69" s="11">
        <v>37</v>
      </c>
      <c r="V69" s="11" t="s">
        <v>187</v>
      </c>
      <c r="W69" s="11">
        <v>33</v>
      </c>
      <c r="X69" s="11" t="s">
        <v>187</v>
      </c>
      <c r="Y69" s="11">
        <v>36</v>
      </c>
      <c r="Z69" s="2" t="s">
        <v>187</v>
      </c>
      <c r="AA69" s="2">
        <v>32</v>
      </c>
      <c r="AB69" s="2" t="s">
        <v>187</v>
      </c>
      <c r="AC69" s="2">
        <v>36</v>
      </c>
      <c r="AD69" s="2" t="s">
        <v>187</v>
      </c>
    </row>
    <row r="70" spans="1:30" x14ac:dyDescent="0.3">
      <c r="A70" s="11" t="s">
        <v>531</v>
      </c>
      <c r="B70" s="11">
        <v>10310</v>
      </c>
      <c r="C70" s="11">
        <v>2</v>
      </c>
      <c r="D70" s="11" t="s">
        <v>271</v>
      </c>
      <c r="E70" s="11" t="s">
        <v>184</v>
      </c>
      <c r="F70" s="11" t="s">
        <v>185</v>
      </c>
      <c r="G70" s="11">
        <v>23</v>
      </c>
      <c r="H70" s="11" t="s">
        <v>186</v>
      </c>
      <c r="I70" s="11">
        <v>23</v>
      </c>
      <c r="J70" s="11" t="s">
        <v>186</v>
      </c>
      <c r="K70" s="11">
        <v>45</v>
      </c>
      <c r="L70" s="11" t="s">
        <v>187</v>
      </c>
      <c r="M70" s="11">
        <v>0</v>
      </c>
      <c r="N70" s="11" t="s">
        <v>188</v>
      </c>
      <c r="O70" s="11">
        <v>3</v>
      </c>
      <c r="P70" s="11" t="s">
        <v>189</v>
      </c>
      <c r="Q70" s="11">
        <v>3</v>
      </c>
      <c r="R70" s="11" t="s">
        <v>190</v>
      </c>
      <c r="S70" s="11">
        <v>37</v>
      </c>
      <c r="T70" s="11" t="s">
        <v>187</v>
      </c>
      <c r="U70" s="11">
        <v>58</v>
      </c>
      <c r="V70" s="11" t="s">
        <v>191</v>
      </c>
      <c r="W70" s="11">
        <v>45</v>
      </c>
      <c r="X70" s="11" t="s">
        <v>191</v>
      </c>
      <c r="Y70" s="11">
        <v>48</v>
      </c>
      <c r="Z70" s="2" t="s">
        <v>191</v>
      </c>
      <c r="AA70" s="2">
        <v>32</v>
      </c>
      <c r="AB70" s="2" t="s">
        <v>187</v>
      </c>
      <c r="AC70" s="2">
        <v>62</v>
      </c>
      <c r="AD70" s="2" t="s">
        <v>192</v>
      </c>
    </row>
    <row r="71" spans="1:30" x14ac:dyDescent="0.3">
      <c r="A71" s="11" t="s">
        <v>531</v>
      </c>
      <c r="B71" s="11">
        <v>10311</v>
      </c>
      <c r="C71" s="11">
        <v>2</v>
      </c>
      <c r="D71" s="11" t="s">
        <v>272</v>
      </c>
      <c r="E71" s="11" t="s">
        <v>194</v>
      </c>
      <c r="F71" s="11" t="s">
        <v>195</v>
      </c>
      <c r="G71" s="11">
        <v>32</v>
      </c>
      <c r="H71" s="11" t="s">
        <v>196</v>
      </c>
      <c r="I71" s="11">
        <v>31</v>
      </c>
      <c r="J71" s="11" t="s">
        <v>196</v>
      </c>
      <c r="K71" s="11">
        <v>26</v>
      </c>
      <c r="L71" s="11" t="s">
        <v>186</v>
      </c>
      <c r="M71" s="11">
        <v>0</v>
      </c>
      <c r="N71" s="11" t="s">
        <v>188</v>
      </c>
      <c r="O71" s="11">
        <v>1</v>
      </c>
      <c r="P71" s="11" t="s">
        <v>197</v>
      </c>
      <c r="Q71" s="11">
        <v>3</v>
      </c>
      <c r="R71" s="11" t="s">
        <v>190</v>
      </c>
      <c r="S71" s="11">
        <v>37</v>
      </c>
      <c r="T71" s="11" t="s">
        <v>187</v>
      </c>
      <c r="U71" s="11">
        <v>37</v>
      </c>
      <c r="V71" s="11" t="s">
        <v>187</v>
      </c>
      <c r="W71" s="11">
        <v>33</v>
      </c>
      <c r="X71" s="11" t="s">
        <v>187</v>
      </c>
      <c r="Y71" s="11">
        <v>36</v>
      </c>
      <c r="Z71" s="2" t="s">
        <v>187</v>
      </c>
      <c r="AA71" s="2">
        <v>32</v>
      </c>
      <c r="AB71" s="2" t="s">
        <v>187</v>
      </c>
      <c r="AC71" s="2">
        <v>36</v>
      </c>
      <c r="AD71" s="2" t="s">
        <v>187</v>
      </c>
    </row>
    <row r="72" spans="1:30" x14ac:dyDescent="0.3">
      <c r="A72" s="11" t="s">
        <v>531</v>
      </c>
      <c r="B72" s="11">
        <v>10312</v>
      </c>
      <c r="C72" s="11">
        <v>2</v>
      </c>
      <c r="D72" s="11" t="s">
        <v>273</v>
      </c>
      <c r="E72" s="11" t="s">
        <v>199</v>
      </c>
      <c r="F72" s="11" t="s">
        <v>200</v>
      </c>
      <c r="G72" s="11">
        <v>77</v>
      </c>
      <c r="H72" s="11" t="s">
        <v>201</v>
      </c>
      <c r="I72" s="11">
        <v>65</v>
      </c>
      <c r="J72" s="11" t="s">
        <v>202</v>
      </c>
      <c r="K72" s="11">
        <v>76</v>
      </c>
      <c r="L72" s="11" t="s">
        <v>201</v>
      </c>
      <c r="M72" s="11">
        <v>0</v>
      </c>
      <c r="N72" s="11" t="s">
        <v>188</v>
      </c>
      <c r="O72" s="11">
        <v>5</v>
      </c>
      <c r="P72" s="11" t="s">
        <v>189</v>
      </c>
      <c r="Q72" s="11">
        <v>0</v>
      </c>
      <c r="R72" s="11" t="s">
        <v>203</v>
      </c>
      <c r="S72" s="11">
        <v>85</v>
      </c>
      <c r="T72" s="11" t="s">
        <v>192</v>
      </c>
      <c r="U72" s="11">
        <v>79</v>
      </c>
      <c r="V72" s="11" t="s">
        <v>192</v>
      </c>
      <c r="W72" s="11">
        <v>81</v>
      </c>
      <c r="X72" s="11" t="s">
        <v>192</v>
      </c>
      <c r="Y72" s="11">
        <v>85</v>
      </c>
      <c r="Z72" s="2" t="s">
        <v>192</v>
      </c>
      <c r="AA72" s="2">
        <v>80</v>
      </c>
      <c r="AB72" s="2" t="s">
        <v>192</v>
      </c>
      <c r="AC72" s="2">
        <v>87</v>
      </c>
      <c r="AD72" s="2" t="s">
        <v>192</v>
      </c>
    </row>
    <row r="73" spans="1:30" x14ac:dyDescent="0.3">
      <c r="A73" s="11" t="s">
        <v>531</v>
      </c>
      <c r="B73" s="11">
        <v>10313</v>
      </c>
      <c r="C73" s="11">
        <v>2</v>
      </c>
      <c r="D73" s="11" t="s">
        <v>274</v>
      </c>
      <c r="E73" s="11" t="s">
        <v>205</v>
      </c>
      <c r="F73" s="11" t="s">
        <v>206</v>
      </c>
      <c r="G73" s="11">
        <v>81</v>
      </c>
      <c r="H73" s="11" t="s">
        <v>201</v>
      </c>
      <c r="I73" s="11">
        <v>86</v>
      </c>
      <c r="J73" s="11" t="s">
        <v>201</v>
      </c>
      <c r="K73" s="11">
        <v>76</v>
      </c>
      <c r="L73" s="11" t="s">
        <v>201</v>
      </c>
      <c r="M73" s="11">
        <v>0</v>
      </c>
      <c r="N73" s="11" t="s">
        <v>188</v>
      </c>
      <c r="O73" s="11">
        <v>1</v>
      </c>
      <c r="P73" s="11" t="s">
        <v>197</v>
      </c>
      <c r="Q73" s="11">
        <v>0</v>
      </c>
      <c r="R73" s="11" t="s">
        <v>203</v>
      </c>
      <c r="S73" s="11">
        <v>37</v>
      </c>
      <c r="T73" s="11" t="s">
        <v>187</v>
      </c>
      <c r="U73" s="11">
        <v>37</v>
      </c>
      <c r="V73" s="11" t="s">
        <v>187</v>
      </c>
      <c r="W73" s="11">
        <v>33</v>
      </c>
      <c r="X73" s="11" t="s">
        <v>187</v>
      </c>
      <c r="Y73" s="11">
        <v>36</v>
      </c>
      <c r="Z73" s="2" t="s">
        <v>187</v>
      </c>
      <c r="AA73" s="2">
        <v>32</v>
      </c>
      <c r="AB73" s="2" t="s">
        <v>187</v>
      </c>
      <c r="AC73" s="2">
        <v>36</v>
      </c>
      <c r="AD73" s="2" t="s">
        <v>187</v>
      </c>
    </row>
    <row r="74" spans="1:30" x14ac:dyDescent="0.3">
      <c r="A74" s="11" t="s">
        <v>531</v>
      </c>
      <c r="B74" s="11">
        <v>10314</v>
      </c>
      <c r="C74" s="11">
        <v>2</v>
      </c>
      <c r="D74" s="11" t="s">
        <v>275</v>
      </c>
      <c r="E74" s="11" t="s">
        <v>184</v>
      </c>
      <c r="F74" s="11" t="s">
        <v>185</v>
      </c>
      <c r="G74" s="11">
        <v>23</v>
      </c>
      <c r="H74" s="11" t="s">
        <v>186</v>
      </c>
      <c r="I74" s="11">
        <v>23</v>
      </c>
      <c r="J74" s="11" t="s">
        <v>186</v>
      </c>
      <c r="K74" s="11">
        <v>45</v>
      </c>
      <c r="L74" s="11" t="s">
        <v>187</v>
      </c>
      <c r="M74" s="11">
        <v>0</v>
      </c>
      <c r="N74" s="11" t="s">
        <v>188</v>
      </c>
      <c r="O74" s="11">
        <v>3</v>
      </c>
      <c r="P74" s="11" t="s">
        <v>189</v>
      </c>
      <c r="Q74" s="11">
        <v>3</v>
      </c>
      <c r="R74" s="11" t="s">
        <v>190</v>
      </c>
      <c r="S74" s="11">
        <v>37</v>
      </c>
      <c r="T74" s="11" t="s">
        <v>187</v>
      </c>
      <c r="U74" s="11">
        <v>58</v>
      </c>
      <c r="V74" s="11" t="s">
        <v>191</v>
      </c>
      <c r="W74" s="11">
        <v>45</v>
      </c>
      <c r="X74" s="11" t="s">
        <v>191</v>
      </c>
      <c r="Y74" s="11">
        <v>48</v>
      </c>
      <c r="Z74" s="2" t="s">
        <v>191</v>
      </c>
      <c r="AA74" s="2">
        <v>32</v>
      </c>
      <c r="AB74" s="2" t="s">
        <v>187</v>
      </c>
      <c r="AC74" s="2">
        <v>62</v>
      </c>
      <c r="AD74" s="2" t="s">
        <v>192</v>
      </c>
    </row>
    <row r="75" spans="1:30" x14ac:dyDescent="0.3">
      <c r="A75" s="11" t="s">
        <v>531</v>
      </c>
      <c r="B75" s="11">
        <v>10315</v>
      </c>
      <c r="C75" s="11">
        <v>2</v>
      </c>
      <c r="D75" s="11" t="s">
        <v>276</v>
      </c>
      <c r="E75" s="11" t="s">
        <v>194</v>
      </c>
      <c r="F75" s="11" t="s">
        <v>195</v>
      </c>
      <c r="G75" s="11">
        <v>32</v>
      </c>
      <c r="H75" s="11" t="s">
        <v>196</v>
      </c>
      <c r="I75" s="11">
        <v>31</v>
      </c>
      <c r="J75" s="11" t="s">
        <v>196</v>
      </c>
      <c r="K75" s="11">
        <v>26</v>
      </c>
      <c r="L75" s="11" t="s">
        <v>186</v>
      </c>
      <c r="M75" s="11">
        <v>0</v>
      </c>
      <c r="N75" s="11" t="s">
        <v>188</v>
      </c>
      <c r="O75" s="11">
        <v>1</v>
      </c>
      <c r="P75" s="11" t="s">
        <v>197</v>
      </c>
      <c r="Q75" s="11">
        <v>3</v>
      </c>
      <c r="R75" s="11" t="s">
        <v>190</v>
      </c>
      <c r="S75" s="11">
        <v>37</v>
      </c>
      <c r="T75" s="11" t="s">
        <v>187</v>
      </c>
      <c r="U75" s="11">
        <v>37</v>
      </c>
      <c r="V75" s="11" t="s">
        <v>187</v>
      </c>
      <c r="W75" s="11">
        <v>33</v>
      </c>
      <c r="X75" s="11" t="s">
        <v>187</v>
      </c>
      <c r="Y75" s="11">
        <v>36</v>
      </c>
      <c r="Z75" s="2" t="s">
        <v>187</v>
      </c>
      <c r="AA75" s="2">
        <v>32</v>
      </c>
      <c r="AB75" s="2" t="s">
        <v>187</v>
      </c>
      <c r="AC75" s="2">
        <v>36</v>
      </c>
      <c r="AD75" s="2" t="s">
        <v>187</v>
      </c>
    </row>
    <row r="76" spans="1:30" x14ac:dyDescent="0.3">
      <c r="A76" s="11" t="s">
        <v>531</v>
      </c>
      <c r="B76" s="11">
        <v>10316</v>
      </c>
      <c r="C76" s="11">
        <v>1</v>
      </c>
      <c r="D76" s="11" t="s">
        <v>277</v>
      </c>
      <c r="E76" s="11" t="s">
        <v>199</v>
      </c>
      <c r="F76" s="11" t="s">
        <v>200</v>
      </c>
      <c r="G76" s="11">
        <v>77</v>
      </c>
      <c r="H76" s="11" t="s">
        <v>201</v>
      </c>
      <c r="I76" s="11">
        <v>65</v>
      </c>
      <c r="J76" s="11" t="s">
        <v>202</v>
      </c>
      <c r="K76" s="11">
        <v>76</v>
      </c>
      <c r="L76" s="11" t="s">
        <v>201</v>
      </c>
      <c r="M76" s="11">
        <v>0</v>
      </c>
      <c r="N76" s="11" t="s">
        <v>188</v>
      </c>
      <c r="O76" s="11">
        <v>5</v>
      </c>
      <c r="P76" s="11" t="s">
        <v>189</v>
      </c>
      <c r="Q76" s="11">
        <v>0</v>
      </c>
      <c r="R76" s="11" t="s">
        <v>203</v>
      </c>
      <c r="S76" s="11">
        <v>85</v>
      </c>
      <c r="T76" s="11" t="s">
        <v>192</v>
      </c>
      <c r="U76" s="11">
        <v>79</v>
      </c>
      <c r="V76" s="11" t="s">
        <v>192</v>
      </c>
      <c r="W76" s="11">
        <v>81</v>
      </c>
      <c r="X76" s="11" t="s">
        <v>192</v>
      </c>
      <c r="Y76" s="11">
        <v>85</v>
      </c>
      <c r="Z76" s="2" t="s">
        <v>192</v>
      </c>
      <c r="AA76" s="2">
        <v>80</v>
      </c>
      <c r="AB76" s="2" t="s">
        <v>192</v>
      </c>
      <c r="AC76" s="2">
        <v>87</v>
      </c>
      <c r="AD76" s="2" t="s">
        <v>192</v>
      </c>
    </row>
    <row r="77" spans="1:30" x14ac:dyDescent="0.3">
      <c r="A77" s="11" t="s">
        <v>531</v>
      </c>
      <c r="B77" s="11">
        <v>10317</v>
      </c>
      <c r="C77" s="11">
        <v>1</v>
      </c>
      <c r="D77" s="11" t="s">
        <v>278</v>
      </c>
      <c r="E77" s="11" t="s">
        <v>205</v>
      </c>
      <c r="F77" s="11" t="s">
        <v>206</v>
      </c>
      <c r="G77" s="11">
        <v>81</v>
      </c>
      <c r="H77" s="11" t="s">
        <v>201</v>
      </c>
      <c r="I77" s="11">
        <v>86</v>
      </c>
      <c r="J77" s="11" t="s">
        <v>201</v>
      </c>
      <c r="K77" s="11">
        <v>76</v>
      </c>
      <c r="L77" s="11" t="s">
        <v>201</v>
      </c>
      <c r="M77" s="11">
        <v>0</v>
      </c>
      <c r="N77" s="11" t="s">
        <v>188</v>
      </c>
      <c r="O77" s="11">
        <v>1</v>
      </c>
      <c r="P77" s="11" t="s">
        <v>197</v>
      </c>
      <c r="Q77" s="11">
        <v>0</v>
      </c>
      <c r="R77" s="11" t="s">
        <v>203</v>
      </c>
      <c r="S77" s="11">
        <v>37</v>
      </c>
      <c r="T77" s="11" t="s">
        <v>187</v>
      </c>
      <c r="U77" s="11">
        <v>37</v>
      </c>
      <c r="V77" s="11" t="s">
        <v>187</v>
      </c>
      <c r="W77" s="11">
        <v>33</v>
      </c>
      <c r="X77" s="11" t="s">
        <v>187</v>
      </c>
      <c r="Y77" s="11">
        <v>36</v>
      </c>
      <c r="Z77" s="2" t="s">
        <v>187</v>
      </c>
      <c r="AA77" s="2">
        <v>32</v>
      </c>
      <c r="AB77" s="2" t="s">
        <v>187</v>
      </c>
      <c r="AC77" s="2">
        <v>36</v>
      </c>
      <c r="AD77" s="2" t="s">
        <v>187</v>
      </c>
    </row>
    <row r="78" spans="1:30" x14ac:dyDescent="0.3">
      <c r="A78" s="11" t="s">
        <v>531</v>
      </c>
      <c r="B78" s="11">
        <v>10318</v>
      </c>
      <c r="C78" s="11">
        <v>1</v>
      </c>
      <c r="D78" s="11" t="s">
        <v>279</v>
      </c>
      <c r="E78" s="11" t="s">
        <v>184</v>
      </c>
      <c r="F78" s="11" t="s">
        <v>185</v>
      </c>
      <c r="G78" s="11">
        <v>23</v>
      </c>
      <c r="H78" s="11" t="s">
        <v>186</v>
      </c>
      <c r="I78" s="11">
        <v>23</v>
      </c>
      <c r="J78" s="11" t="s">
        <v>186</v>
      </c>
      <c r="K78" s="11">
        <v>45</v>
      </c>
      <c r="L78" s="11" t="s">
        <v>187</v>
      </c>
      <c r="M78" s="11">
        <v>0</v>
      </c>
      <c r="N78" s="11" t="s">
        <v>188</v>
      </c>
      <c r="O78" s="11">
        <v>3</v>
      </c>
      <c r="P78" s="11" t="s">
        <v>189</v>
      </c>
      <c r="Q78" s="11">
        <v>3</v>
      </c>
      <c r="R78" s="11" t="s">
        <v>190</v>
      </c>
      <c r="S78" s="11">
        <v>37</v>
      </c>
      <c r="T78" s="11" t="s">
        <v>187</v>
      </c>
      <c r="U78" s="11">
        <v>58</v>
      </c>
      <c r="V78" s="11" t="s">
        <v>191</v>
      </c>
      <c r="W78" s="11">
        <v>45</v>
      </c>
      <c r="X78" s="11" t="s">
        <v>191</v>
      </c>
      <c r="Y78" s="11">
        <v>48</v>
      </c>
      <c r="Z78" s="2" t="s">
        <v>191</v>
      </c>
      <c r="AA78" s="2">
        <v>32</v>
      </c>
      <c r="AB78" s="2" t="s">
        <v>187</v>
      </c>
      <c r="AC78" s="2">
        <v>62</v>
      </c>
      <c r="AD78" s="2" t="s">
        <v>192</v>
      </c>
    </row>
    <row r="79" spans="1:30" x14ac:dyDescent="0.3">
      <c r="A79" s="11" t="s">
        <v>531</v>
      </c>
      <c r="B79" s="11">
        <v>10319</v>
      </c>
      <c r="C79" s="11">
        <v>1</v>
      </c>
      <c r="D79" s="11" t="s">
        <v>280</v>
      </c>
      <c r="E79" s="11" t="s">
        <v>194</v>
      </c>
      <c r="F79" s="11" t="s">
        <v>195</v>
      </c>
      <c r="G79" s="11">
        <v>32</v>
      </c>
      <c r="H79" s="11" t="s">
        <v>196</v>
      </c>
      <c r="I79" s="11">
        <v>31</v>
      </c>
      <c r="J79" s="11" t="s">
        <v>196</v>
      </c>
      <c r="K79" s="11">
        <v>26</v>
      </c>
      <c r="L79" s="11" t="s">
        <v>186</v>
      </c>
      <c r="M79" s="11">
        <v>0</v>
      </c>
      <c r="N79" s="11" t="s">
        <v>188</v>
      </c>
      <c r="O79" s="11">
        <v>1</v>
      </c>
      <c r="P79" s="11" t="s">
        <v>197</v>
      </c>
      <c r="Q79" s="11">
        <v>3</v>
      </c>
      <c r="R79" s="11" t="s">
        <v>190</v>
      </c>
      <c r="S79" s="11">
        <v>37</v>
      </c>
      <c r="T79" s="11" t="s">
        <v>187</v>
      </c>
      <c r="U79" s="11">
        <v>37</v>
      </c>
      <c r="V79" s="11" t="s">
        <v>187</v>
      </c>
      <c r="W79" s="11">
        <v>33</v>
      </c>
      <c r="X79" s="11" t="s">
        <v>187</v>
      </c>
      <c r="Y79" s="11">
        <v>36</v>
      </c>
      <c r="Z79" s="2" t="s">
        <v>187</v>
      </c>
      <c r="AA79" s="2">
        <v>32</v>
      </c>
      <c r="AB79" s="2" t="s">
        <v>187</v>
      </c>
      <c r="AC79" s="2">
        <v>36</v>
      </c>
      <c r="AD79" s="2" t="s">
        <v>187</v>
      </c>
    </row>
    <row r="80" spans="1:30" x14ac:dyDescent="0.3">
      <c r="A80" s="11" t="s">
        <v>531</v>
      </c>
      <c r="B80" s="11">
        <v>10320</v>
      </c>
      <c r="C80" s="11">
        <v>1</v>
      </c>
      <c r="D80" s="11" t="s">
        <v>281</v>
      </c>
      <c r="E80" s="11" t="s">
        <v>199</v>
      </c>
      <c r="F80" s="11" t="s">
        <v>200</v>
      </c>
      <c r="G80" s="11">
        <v>77</v>
      </c>
      <c r="H80" s="11" t="s">
        <v>201</v>
      </c>
      <c r="I80" s="11">
        <v>65</v>
      </c>
      <c r="J80" s="11" t="s">
        <v>202</v>
      </c>
      <c r="K80" s="11">
        <v>76</v>
      </c>
      <c r="L80" s="11" t="s">
        <v>201</v>
      </c>
      <c r="M80" s="11">
        <v>0</v>
      </c>
      <c r="N80" s="11" t="s">
        <v>188</v>
      </c>
      <c r="O80" s="11">
        <v>5</v>
      </c>
      <c r="P80" s="11" t="s">
        <v>189</v>
      </c>
      <c r="Q80" s="11">
        <v>0</v>
      </c>
      <c r="R80" s="11" t="s">
        <v>203</v>
      </c>
      <c r="S80" s="11">
        <v>85</v>
      </c>
      <c r="T80" s="11" t="s">
        <v>192</v>
      </c>
      <c r="U80" s="11">
        <v>79</v>
      </c>
      <c r="V80" s="11" t="s">
        <v>192</v>
      </c>
      <c r="W80" s="11">
        <v>81</v>
      </c>
      <c r="X80" s="11" t="s">
        <v>192</v>
      </c>
      <c r="Y80" s="11">
        <v>85</v>
      </c>
      <c r="Z80" s="2" t="s">
        <v>192</v>
      </c>
      <c r="AA80" s="2">
        <v>80</v>
      </c>
      <c r="AB80" s="2" t="s">
        <v>192</v>
      </c>
      <c r="AC80" s="2">
        <v>87</v>
      </c>
      <c r="AD80" s="2" t="s">
        <v>192</v>
      </c>
    </row>
    <row r="81" spans="1:30" x14ac:dyDescent="0.3">
      <c r="A81" s="11" t="s">
        <v>531</v>
      </c>
      <c r="B81" s="11">
        <v>10321</v>
      </c>
      <c r="C81" s="11">
        <v>1</v>
      </c>
      <c r="D81" s="11" t="s">
        <v>282</v>
      </c>
      <c r="E81" s="11" t="s">
        <v>205</v>
      </c>
      <c r="F81" s="11" t="s">
        <v>206</v>
      </c>
      <c r="G81" s="11">
        <v>81</v>
      </c>
      <c r="H81" s="11" t="s">
        <v>201</v>
      </c>
      <c r="I81" s="11">
        <v>86</v>
      </c>
      <c r="J81" s="11" t="s">
        <v>201</v>
      </c>
      <c r="K81" s="11">
        <v>76</v>
      </c>
      <c r="L81" s="11" t="s">
        <v>201</v>
      </c>
      <c r="M81" s="11">
        <v>0</v>
      </c>
      <c r="N81" s="11" t="s">
        <v>188</v>
      </c>
      <c r="O81" s="11">
        <v>1</v>
      </c>
      <c r="P81" s="11" t="s">
        <v>197</v>
      </c>
      <c r="Q81" s="11">
        <v>0</v>
      </c>
      <c r="R81" s="11" t="s">
        <v>203</v>
      </c>
      <c r="S81" s="11">
        <v>37</v>
      </c>
      <c r="T81" s="11" t="s">
        <v>187</v>
      </c>
      <c r="U81" s="11">
        <v>37</v>
      </c>
      <c r="V81" s="11" t="s">
        <v>187</v>
      </c>
      <c r="W81" s="11">
        <v>33</v>
      </c>
      <c r="X81" s="11" t="s">
        <v>187</v>
      </c>
      <c r="Y81" s="11">
        <v>36</v>
      </c>
      <c r="Z81" s="2" t="s">
        <v>187</v>
      </c>
      <c r="AA81" s="2">
        <v>32</v>
      </c>
      <c r="AB81" s="2" t="s">
        <v>187</v>
      </c>
      <c r="AC81" s="2">
        <v>36</v>
      </c>
      <c r="AD81" s="2" t="s">
        <v>187</v>
      </c>
    </row>
    <row r="82" spans="1:30" x14ac:dyDescent="0.3">
      <c r="A82" s="11" t="s">
        <v>531</v>
      </c>
      <c r="B82" s="11">
        <v>10322</v>
      </c>
      <c r="C82" s="11">
        <v>1</v>
      </c>
      <c r="D82" s="11" t="s">
        <v>283</v>
      </c>
      <c r="E82" s="11" t="s">
        <v>184</v>
      </c>
      <c r="F82" s="11" t="s">
        <v>185</v>
      </c>
      <c r="G82" s="11">
        <v>23</v>
      </c>
      <c r="H82" s="11" t="s">
        <v>186</v>
      </c>
      <c r="I82" s="11">
        <v>23</v>
      </c>
      <c r="J82" s="11" t="s">
        <v>186</v>
      </c>
      <c r="K82" s="11">
        <v>45</v>
      </c>
      <c r="L82" s="11" t="s">
        <v>187</v>
      </c>
      <c r="M82" s="11">
        <v>0</v>
      </c>
      <c r="N82" s="11" t="s">
        <v>188</v>
      </c>
      <c r="O82" s="11">
        <v>3</v>
      </c>
      <c r="P82" s="11" t="s">
        <v>189</v>
      </c>
      <c r="Q82" s="11">
        <v>3</v>
      </c>
      <c r="R82" s="11" t="s">
        <v>190</v>
      </c>
      <c r="S82" s="11">
        <v>37</v>
      </c>
      <c r="T82" s="11" t="s">
        <v>187</v>
      </c>
      <c r="U82" s="11">
        <v>58</v>
      </c>
      <c r="V82" s="11" t="s">
        <v>191</v>
      </c>
      <c r="W82" s="11">
        <v>45</v>
      </c>
      <c r="X82" s="11" t="s">
        <v>191</v>
      </c>
      <c r="Y82" s="11">
        <v>48</v>
      </c>
      <c r="Z82" s="2" t="s">
        <v>191</v>
      </c>
      <c r="AA82" s="2">
        <v>32</v>
      </c>
      <c r="AB82" s="2" t="s">
        <v>187</v>
      </c>
      <c r="AC82" s="2">
        <v>62</v>
      </c>
      <c r="AD82" s="2" t="s">
        <v>192</v>
      </c>
    </row>
    <row r="83" spans="1:30" x14ac:dyDescent="0.3">
      <c r="A83" s="11" t="s">
        <v>531</v>
      </c>
      <c r="B83" s="11">
        <v>10323</v>
      </c>
      <c r="C83" s="11">
        <v>1</v>
      </c>
      <c r="D83" s="11" t="s">
        <v>284</v>
      </c>
      <c r="E83" s="11" t="s">
        <v>194</v>
      </c>
      <c r="F83" s="11" t="s">
        <v>195</v>
      </c>
      <c r="G83" s="11">
        <v>32</v>
      </c>
      <c r="H83" s="11" t="s">
        <v>196</v>
      </c>
      <c r="I83" s="11">
        <v>31</v>
      </c>
      <c r="J83" s="11" t="s">
        <v>196</v>
      </c>
      <c r="K83" s="11">
        <v>26</v>
      </c>
      <c r="L83" s="11" t="s">
        <v>186</v>
      </c>
      <c r="M83" s="11">
        <v>0</v>
      </c>
      <c r="N83" s="11" t="s">
        <v>188</v>
      </c>
      <c r="O83" s="11">
        <v>1</v>
      </c>
      <c r="P83" s="11" t="s">
        <v>197</v>
      </c>
      <c r="Q83" s="11">
        <v>3</v>
      </c>
      <c r="R83" s="11" t="s">
        <v>190</v>
      </c>
      <c r="S83" s="11">
        <v>37</v>
      </c>
      <c r="T83" s="11" t="s">
        <v>187</v>
      </c>
      <c r="U83" s="11">
        <v>37</v>
      </c>
      <c r="V83" s="11" t="s">
        <v>187</v>
      </c>
      <c r="W83" s="11">
        <v>33</v>
      </c>
      <c r="X83" s="11" t="s">
        <v>187</v>
      </c>
      <c r="Y83" s="11">
        <v>36</v>
      </c>
      <c r="Z83" s="2" t="s">
        <v>187</v>
      </c>
      <c r="AA83" s="2">
        <v>32</v>
      </c>
      <c r="AB83" s="2" t="s">
        <v>187</v>
      </c>
      <c r="AC83" s="2">
        <v>36</v>
      </c>
      <c r="AD83" s="2" t="s">
        <v>187</v>
      </c>
    </row>
    <row r="84" spans="1:30" x14ac:dyDescent="0.3">
      <c r="A84" s="11" t="s">
        <v>531</v>
      </c>
      <c r="B84" s="11">
        <v>10324</v>
      </c>
      <c r="C84" s="11">
        <v>1</v>
      </c>
      <c r="D84" s="11" t="s">
        <v>285</v>
      </c>
      <c r="E84" s="11" t="s">
        <v>199</v>
      </c>
      <c r="F84" s="11" t="s">
        <v>200</v>
      </c>
      <c r="G84" s="11">
        <v>77</v>
      </c>
      <c r="H84" s="11" t="s">
        <v>201</v>
      </c>
      <c r="I84" s="11">
        <v>65</v>
      </c>
      <c r="J84" s="11" t="s">
        <v>202</v>
      </c>
      <c r="K84" s="11">
        <v>76</v>
      </c>
      <c r="L84" s="11" t="s">
        <v>201</v>
      </c>
      <c r="M84" s="11">
        <v>0</v>
      </c>
      <c r="N84" s="11" t="s">
        <v>188</v>
      </c>
      <c r="O84" s="11">
        <v>5</v>
      </c>
      <c r="P84" s="11" t="s">
        <v>189</v>
      </c>
      <c r="Q84" s="11">
        <v>0</v>
      </c>
      <c r="R84" s="11" t="s">
        <v>203</v>
      </c>
      <c r="S84" s="11">
        <v>85</v>
      </c>
      <c r="T84" s="11" t="s">
        <v>192</v>
      </c>
      <c r="U84" s="11">
        <v>79</v>
      </c>
      <c r="V84" s="11" t="s">
        <v>192</v>
      </c>
      <c r="W84" s="11">
        <v>81</v>
      </c>
      <c r="X84" s="11" t="s">
        <v>192</v>
      </c>
      <c r="Y84" s="11">
        <v>85</v>
      </c>
      <c r="Z84" s="2" t="s">
        <v>192</v>
      </c>
      <c r="AA84" s="2">
        <v>80</v>
      </c>
      <c r="AB84" s="2" t="s">
        <v>192</v>
      </c>
      <c r="AC84" s="2">
        <v>87</v>
      </c>
      <c r="AD84" s="2" t="s">
        <v>192</v>
      </c>
    </row>
    <row r="85" spans="1:30" x14ac:dyDescent="0.3">
      <c r="A85" s="11" t="s">
        <v>531</v>
      </c>
      <c r="B85" s="11">
        <v>10325</v>
      </c>
      <c r="C85" s="11">
        <v>1</v>
      </c>
      <c r="D85" s="11" t="s">
        <v>286</v>
      </c>
      <c r="E85" s="11" t="s">
        <v>205</v>
      </c>
      <c r="F85" s="11" t="s">
        <v>206</v>
      </c>
      <c r="G85" s="11">
        <v>81</v>
      </c>
      <c r="H85" s="11" t="s">
        <v>201</v>
      </c>
      <c r="I85" s="11">
        <v>86</v>
      </c>
      <c r="J85" s="11" t="s">
        <v>201</v>
      </c>
      <c r="K85" s="11">
        <v>76</v>
      </c>
      <c r="L85" s="11" t="s">
        <v>201</v>
      </c>
      <c r="M85" s="11">
        <v>0</v>
      </c>
      <c r="N85" s="11" t="s">
        <v>188</v>
      </c>
      <c r="O85" s="11">
        <v>1</v>
      </c>
      <c r="P85" s="11" t="s">
        <v>197</v>
      </c>
      <c r="Q85" s="11">
        <v>0</v>
      </c>
      <c r="R85" s="11" t="s">
        <v>203</v>
      </c>
      <c r="S85" s="11">
        <v>37</v>
      </c>
      <c r="T85" s="11" t="s">
        <v>187</v>
      </c>
      <c r="U85" s="11">
        <v>37</v>
      </c>
      <c r="V85" s="11" t="s">
        <v>187</v>
      </c>
      <c r="W85" s="11">
        <v>33</v>
      </c>
      <c r="X85" s="11" t="s">
        <v>187</v>
      </c>
      <c r="Y85" s="11">
        <v>36</v>
      </c>
      <c r="Z85" s="2" t="s">
        <v>187</v>
      </c>
      <c r="AA85" s="2">
        <v>32</v>
      </c>
      <c r="AB85" s="2" t="s">
        <v>187</v>
      </c>
      <c r="AC85" s="2">
        <v>36</v>
      </c>
      <c r="AD85" s="2" t="s">
        <v>187</v>
      </c>
    </row>
    <row r="86" spans="1:30" x14ac:dyDescent="0.3">
      <c r="A86" s="11" t="s">
        <v>531</v>
      </c>
      <c r="B86" s="11">
        <v>10326</v>
      </c>
      <c r="C86" s="11">
        <v>1</v>
      </c>
      <c r="D86" s="11" t="s">
        <v>287</v>
      </c>
      <c r="E86" s="11" t="s">
        <v>184</v>
      </c>
      <c r="F86" s="11" t="s">
        <v>185</v>
      </c>
      <c r="G86" s="11">
        <v>23</v>
      </c>
      <c r="H86" s="11" t="s">
        <v>186</v>
      </c>
      <c r="I86" s="11">
        <v>23</v>
      </c>
      <c r="J86" s="11" t="s">
        <v>186</v>
      </c>
      <c r="K86" s="11">
        <v>45</v>
      </c>
      <c r="L86" s="11" t="s">
        <v>187</v>
      </c>
      <c r="M86" s="11">
        <v>0</v>
      </c>
      <c r="N86" s="11" t="s">
        <v>188</v>
      </c>
      <c r="O86" s="11">
        <v>3</v>
      </c>
      <c r="P86" s="11" t="s">
        <v>189</v>
      </c>
      <c r="Q86" s="11">
        <v>3</v>
      </c>
      <c r="R86" s="11" t="s">
        <v>190</v>
      </c>
      <c r="S86" s="11">
        <v>37</v>
      </c>
      <c r="T86" s="11" t="s">
        <v>187</v>
      </c>
      <c r="U86" s="11">
        <v>58</v>
      </c>
      <c r="V86" s="11" t="s">
        <v>191</v>
      </c>
      <c r="W86" s="11">
        <v>45</v>
      </c>
      <c r="X86" s="11" t="s">
        <v>191</v>
      </c>
      <c r="Y86" s="11">
        <v>48</v>
      </c>
      <c r="Z86" s="2" t="s">
        <v>191</v>
      </c>
      <c r="AA86" s="2">
        <v>32</v>
      </c>
      <c r="AB86" s="2" t="s">
        <v>187</v>
      </c>
      <c r="AC86" s="2">
        <v>62</v>
      </c>
      <c r="AD86" s="2" t="s">
        <v>192</v>
      </c>
    </row>
    <row r="87" spans="1:30" x14ac:dyDescent="0.3">
      <c r="A87" s="11" t="s">
        <v>531</v>
      </c>
      <c r="B87" s="11">
        <v>10327</v>
      </c>
      <c r="C87" s="11">
        <v>1</v>
      </c>
      <c r="D87" s="11" t="s">
        <v>288</v>
      </c>
      <c r="E87" s="11" t="s">
        <v>194</v>
      </c>
      <c r="F87" s="11" t="s">
        <v>195</v>
      </c>
      <c r="G87" s="11">
        <v>32</v>
      </c>
      <c r="H87" s="11" t="s">
        <v>196</v>
      </c>
      <c r="I87" s="11">
        <v>31</v>
      </c>
      <c r="J87" s="11" t="s">
        <v>196</v>
      </c>
      <c r="K87" s="11">
        <v>26</v>
      </c>
      <c r="L87" s="11" t="s">
        <v>186</v>
      </c>
      <c r="M87" s="11">
        <v>0</v>
      </c>
      <c r="N87" s="11" t="s">
        <v>188</v>
      </c>
      <c r="O87" s="11">
        <v>1</v>
      </c>
      <c r="P87" s="11" t="s">
        <v>197</v>
      </c>
      <c r="Q87" s="11">
        <v>3</v>
      </c>
      <c r="R87" s="11" t="s">
        <v>190</v>
      </c>
      <c r="S87" s="11">
        <v>37</v>
      </c>
      <c r="T87" s="11" t="s">
        <v>187</v>
      </c>
      <c r="U87" s="11">
        <v>37</v>
      </c>
      <c r="V87" s="11" t="s">
        <v>187</v>
      </c>
      <c r="W87" s="11">
        <v>33</v>
      </c>
      <c r="X87" s="11" t="s">
        <v>187</v>
      </c>
      <c r="Y87" s="11">
        <v>36</v>
      </c>
      <c r="Z87" s="2" t="s">
        <v>187</v>
      </c>
      <c r="AA87" s="2">
        <v>32</v>
      </c>
      <c r="AB87" s="2" t="s">
        <v>187</v>
      </c>
      <c r="AC87" s="2">
        <v>36</v>
      </c>
      <c r="AD87" s="2" t="s">
        <v>187</v>
      </c>
    </row>
    <row r="88" spans="1:30" x14ac:dyDescent="0.3">
      <c r="A88" s="11" t="s">
        <v>531</v>
      </c>
      <c r="B88" s="11">
        <v>10328</v>
      </c>
      <c r="C88" s="11">
        <v>1</v>
      </c>
      <c r="D88" s="11" t="s">
        <v>289</v>
      </c>
      <c r="E88" s="11" t="s">
        <v>199</v>
      </c>
      <c r="F88" s="11" t="s">
        <v>200</v>
      </c>
      <c r="G88" s="11">
        <v>77</v>
      </c>
      <c r="H88" s="11" t="s">
        <v>201</v>
      </c>
      <c r="I88" s="11">
        <v>65</v>
      </c>
      <c r="J88" s="11" t="s">
        <v>202</v>
      </c>
      <c r="K88" s="11">
        <v>76</v>
      </c>
      <c r="L88" s="11" t="s">
        <v>201</v>
      </c>
      <c r="M88" s="11">
        <v>0</v>
      </c>
      <c r="N88" s="11" t="s">
        <v>188</v>
      </c>
      <c r="O88" s="11">
        <v>5</v>
      </c>
      <c r="P88" s="11" t="s">
        <v>189</v>
      </c>
      <c r="Q88" s="11">
        <v>0</v>
      </c>
      <c r="R88" s="11" t="s">
        <v>203</v>
      </c>
      <c r="S88" s="11">
        <v>85</v>
      </c>
      <c r="T88" s="11" t="s">
        <v>192</v>
      </c>
      <c r="U88" s="11">
        <v>79</v>
      </c>
      <c r="V88" s="11" t="s">
        <v>192</v>
      </c>
      <c r="W88" s="11">
        <v>81</v>
      </c>
      <c r="X88" s="11" t="s">
        <v>192</v>
      </c>
      <c r="Y88" s="11">
        <v>85</v>
      </c>
      <c r="Z88" s="2" t="s">
        <v>192</v>
      </c>
      <c r="AA88" s="2">
        <v>80</v>
      </c>
      <c r="AB88" s="2" t="s">
        <v>192</v>
      </c>
      <c r="AC88" s="2">
        <v>87</v>
      </c>
      <c r="AD88" s="2" t="s">
        <v>192</v>
      </c>
    </row>
    <row r="89" spans="1:30" x14ac:dyDescent="0.3">
      <c r="A89" s="11" t="s">
        <v>531</v>
      </c>
      <c r="B89" s="11">
        <v>10329</v>
      </c>
      <c r="C89" s="11">
        <v>1</v>
      </c>
      <c r="D89" s="11" t="s">
        <v>290</v>
      </c>
      <c r="E89" s="11" t="s">
        <v>205</v>
      </c>
      <c r="F89" s="11" t="s">
        <v>206</v>
      </c>
      <c r="G89" s="11">
        <v>81</v>
      </c>
      <c r="H89" s="11" t="s">
        <v>201</v>
      </c>
      <c r="I89" s="11">
        <v>86</v>
      </c>
      <c r="J89" s="11" t="s">
        <v>201</v>
      </c>
      <c r="K89" s="11">
        <v>76</v>
      </c>
      <c r="L89" s="11" t="s">
        <v>201</v>
      </c>
      <c r="M89" s="11">
        <v>0</v>
      </c>
      <c r="N89" s="11" t="s">
        <v>188</v>
      </c>
      <c r="O89" s="11">
        <v>1</v>
      </c>
      <c r="P89" s="11" t="s">
        <v>197</v>
      </c>
      <c r="Q89" s="11">
        <v>0</v>
      </c>
      <c r="R89" s="11" t="s">
        <v>203</v>
      </c>
      <c r="S89" s="11">
        <v>37</v>
      </c>
      <c r="T89" s="11" t="s">
        <v>187</v>
      </c>
      <c r="U89" s="11">
        <v>37</v>
      </c>
      <c r="V89" s="11" t="s">
        <v>187</v>
      </c>
      <c r="W89" s="11">
        <v>33</v>
      </c>
      <c r="X89" s="11" t="s">
        <v>187</v>
      </c>
      <c r="Y89" s="11">
        <v>36</v>
      </c>
      <c r="Z89" s="2" t="s">
        <v>187</v>
      </c>
      <c r="AA89" s="2">
        <v>32</v>
      </c>
      <c r="AB89" s="2" t="s">
        <v>187</v>
      </c>
      <c r="AC89" s="2">
        <v>36</v>
      </c>
      <c r="AD89" s="2" t="s">
        <v>187</v>
      </c>
    </row>
    <row r="90" spans="1:30" x14ac:dyDescent="0.3">
      <c r="A90" s="11" t="s">
        <v>531</v>
      </c>
      <c r="B90" s="11">
        <v>10330</v>
      </c>
      <c r="C90" s="11">
        <v>1</v>
      </c>
      <c r="D90" s="11" t="s">
        <v>291</v>
      </c>
      <c r="E90" s="11" t="s">
        <v>184</v>
      </c>
      <c r="F90" s="11" t="s">
        <v>185</v>
      </c>
      <c r="G90" s="11">
        <v>23</v>
      </c>
      <c r="H90" s="11" t="s">
        <v>186</v>
      </c>
      <c r="I90" s="11">
        <v>23</v>
      </c>
      <c r="J90" s="11" t="s">
        <v>186</v>
      </c>
      <c r="K90" s="11">
        <v>45</v>
      </c>
      <c r="L90" s="11" t="s">
        <v>187</v>
      </c>
      <c r="M90" s="11">
        <v>0</v>
      </c>
      <c r="N90" s="11" t="s">
        <v>188</v>
      </c>
      <c r="O90" s="11">
        <v>3</v>
      </c>
      <c r="P90" s="11" t="s">
        <v>189</v>
      </c>
      <c r="Q90" s="11">
        <v>3</v>
      </c>
      <c r="R90" s="11" t="s">
        <v>190</v>
      </c>
      <c r="S90" s="11">
        <v>37</v>
      </c>
      <c r="T90" s="11" t="s">
        <v>187</v>
      </c>
      <c r="U90" s="11">
        <v>58</v>
      </c>
      <c r="V90" s="11" t="s">
        <v>191</v>
      </c>
      <c r="W90" s="11">
        <v>45</v>
      </c>
      <c r="X90" s="11" t="s">
        <v>191</v>
      </c>
      <c r="Y90" s="11">
        <v>48</v>
      </c>
      <c r="Z90" s="2" t="s">
        <v>191</v>
      </c>
      <c r="AA90" s="2">
        <v>32</v>
      </c>
      <c r="AB90" s="2" t="s">
        <v>187</v>
      </c>
      <c r="AC90" s="2">
        <v>62</v>
      </c>
      <c r="AD90" s="2" t="s">
        <v>192</v>
      </c>
    </row>
    <row r="91" spans="1:30" x14ac:dyDescent="0.3">
      <c r="A91" s="11" t="s">
        <v>531</v>
      </c>
      <c r="B91" s="11">
        <v>10402</v>
      </c>
      <c r="C91" s="11">
        <v>2</v>
      </c>
      <c r="D91" s="11" t="s">
        <v>292</v>
      </c>
      <c r="E91" s="11" t="s">
        <v>194</v>
      </c>
      <c r="F91" s="11" t="s">
        <v>195</v>
      </c>
      <c r="G91" s="11">
        <v>32</v>
      </c>
      <c r="H91" s="11" t="s">
        <v>196</v>
      </c>
      <c r="I91" s="11">
        <v>31</v>
      </c>
      <c r="J91" s="11" t="s">
        <v>196</v>
      </c>
      <c r="K91" s="11">
        <v>26</v>
      </c>
      <c r="L91" s="11" t="s">
        <v>186</v>
      </c>
      <c r="M91" s="11">
        <v>0</v>
      </c>
      <c r="N91" s="11" t="s">
        <v>188</v>
      </c>
      <c r="O91" s="11">
        <v>1</v>
      </c>
      <c r="P91" s="11" t="s">
        <v>197</v>
      </c>
      <c r="Q91" s="11">
        <v>3</v>
      </c>
      <c r="R91" s="11" t="s">
        <v>190</v>
      </c>
      <c r="S91" s="11">
        <v>37</v>
      </c>
      <c r="T91" s="11" t="s">
        <v>187</v>
      </c>
      <c r="U91" s="11">
        <v>37</v>
      </c>
      <c r="V91" s="11" t="s">
        <v>187</v>
      </c>
      <c r="W91" s="11">
        <v>33</v>
      </c>
      <c r="X91" s="11" t="s">
        <v>187</v>
      </c>
      <c r="Y91" s="11">
        <v>36</v>
      </c>
      <c r="Z91" s="2" t="s">
        <v>187</v>
      </c>
      <c r="AA91" s="2">
        <v>32</v>
      </c>
      <c r="AB91" s="2" t="s">
        <v>187</v>
      </c>
      <c r="AC91" s="2">
        <v>36</v>
      </c>
      <c r="AD91" s="2" t="s">
        <v>187</v>
      </c>
    </row>
    <row r="92" spans="1:30" x14ac:dyDescent="0.3">
      <c r="A92" s="11" t="s">
        <v>531</v>
      </c>
      <c r="B92" s="11">
        <v>10403</v>
      </c>
      <c r="C92" s="11">
        <v>2</v>
      </c>
      <c r="D92" s="11" t="s">
        <v>293</v>
      </c>
      <c r="E92" s="11" t="s">
        <v>199</v>
      </c>
      <c r="F92" s="11" t="s">
        <v>200</v>
      </c>
      <c r="G92" s="11">
        <v>77</v>
      </c>
      <c r="H92" s="11" t="s">
        <v>201</v>
      </c>
      <c r="I92" s="11">
        <v>65</v>
      </c>
      <c r="J92" s="11" t="s">
        <v>202</v>
      </c>
      <c r="K92" s="11">
        <v>76</v>
      </c>
      <c r="L92" s="11" t="s">
        <v>201</v>
      </c>
      <c r="M92" s="11">
        <v>0</v>
      </c>
      <c r="N92" s="11" t="s">
        <v>188</v>
      </c>
      <c r="O92" s="11">
        <v>5</v>
      </c>
      <c r="P92" s="11" t="s">
        <v>189</v>
      </c>
      <c r="Q92" s="11">
        <v>0</v>
      </c>
      <c r="R92" s="11" t="s">
        <v>203</v>
      </c>
      <c r="S92" s="11">
        <v>85</v>
      </c>
      <c r="T92" s="11" t="s">
        <v>192</v>
      </c>
      <c r="U92" s="11">
        <v>79</v>
      </c>
      <c r="V92" s="11" t="s">
        <v>192</v>
      </c>
      <c r="W92" s="11">
        <v>81</v>
      </c>
      <c r="X92" s="11" t="s">
        <v>192</v>
      </c>
      <c r="Y92" s="11">
        <v>85</v>
      </c>
      <c r="Z92" s="2" t="s">
        <v>192</v>
      </c>
      <c r="AA92" s="2">
        <v>80</v>
      </c>
      <c r="AB92" s="2" t="s">
        <v>192</v>
      </c>
      <c r="AC92" s="2">
        <v>87</v>
      </c>
      <c r="AD92" s="2" t="s">
        <v>192</v>
      </c>
    </row>
    <row r="93" spans="1:30" x14ac:dyDescent="0.3">
      <c r="A93" s="11" t="s">
        <v>531</v>
      </c>
      <c r="B93" s="11">
        <v>10404</v>
      </c>
      <c r="C93" s="11">
        <v>2</v>
      </c>
      <c r="D93" s="11" t="s">
        <v>294</v>
      </c>
      <c r="E93" s="11" t="s">
        <v>205</v>
      </c>
      <c r="F93" s="11" t="s">
        <v>206</v>
      </c>
      <c r="G93" s="11">
        <v>81</v>
      </c>
      <c r="H93" s="11" t="s">
        <v>201</v>
      </c>
      <c r="I93" s="11">
        <v>86</v>
      </c>
      <c r="J93" s="11" t="s">
        <v>201</v>
      </c>
      <c r="K93" s="11">
        <v>76</v>
      </c>
      <c r="L93" s="11" t="s">
        <v>201</v>
      </c>
      <c r="M93" s="11">
        <v>0</v>
      </c>
      <c r="N93" s="11" t="s">
        <v>188</v>
      </c>
      <c r="O93" s="11">
        <v>1</v>
      </c>
      <c r="P93" s="11" t="s">
        <v>197</v>
      </c>
      <c r="Q93" s="11">
        <v>0</v>
      </c>
      <c r="R93" s="11" t="s">
        <v>203</v>
      </c>
      <c r="S93" s="11">
        <v>37</v>
      </c>
      <c r="T93" s="11" t="s">
        <v>187</v>
      </c>
      <c r="U93" s="11">
        <v>37</v>
      </c>
      <c r="V93" s="11" t="s">
        <v>187</v>
      </c>
      <c r="W93" s="11">
        <v>33</v>
      </c>
      <c r="X93" s="11" t="s">
        <v>187</v>
      </c>
      <c r="Y93" s="11">
        <v>36</v>
      </c>
      <c r="Z93" s="2" t="s">
        <v>187</v>
      </c>
      <c r="AA93" s="2">
        <v>32</v>
      </c>
      <c r="AB93" s="2" t="s">
        <v>187</v>
      </c>
      <c r="AC93" s="2">
        <v>36</v>
      </c>
      <c r="AD93" s="2" t="s">
        <v>187</v>
      </c>
    </row>
    <row r="94" spans="1:30" x14ac:dyDescent="0.3">
      <c r="A94" s="11" t="s">
        <v>531</v>
      </c>
      <c r="B94" s="11">
        <v>10405</v>
      </c>
      <c r="C94" s="11">
        <v>2</v>
      </c>
      <c r="D94" s="11" t="s">
        <v>295</v>
      </c>
      <c r="E94" s="11" t="s">
        <v>184</v>
      </c>
      <c r="F94" s="11" t="s">
        <v>185</v>
      </c>
      <c r="G94" s="11">
        <v>23</v>
      </c>
      <c r="H94" s="11" t="s">
        <v>186</v>
      </c>
      <c r="I94" s="11">
        <v>23</v>
      </c>
      <c r="J94" s="11" t="s">
        <v>186</v>
      </c>
      <c r="K94" s="11">
        <v>45</v>
      </c>
      <c r="L94" s="11" t="s">
        <v>187</v>
      </c>
      <c r="M94" s="11">
        <v>0</v>
      </c>
      <c r="N94" s="11" t="s">
        <v>188</v>
      </c>
      <c r="O94" s="11">
        <v>3</v>
      </c>
      <c r="P94" s="11" t="s">
        <v>189</v>
      </c>
      <c r="Q94" s="11">
        <v>3</v>
      </c>
      <c r="R94" s="11" t="s">
        <v>190</v>
      </c>
      <c r="S94" s="11">
        <v>37</v>
      </c>
      <c r="T94" s="11" t="s">
        <v>187</v>
      </c>
      <c r="U94" s="11">
        <v>58</v>
      </c>
      <c r="V94" s="11" t="s">
        <v>191</v>
      </c>
      <c r="W94" s="11">
        <v>45</v>
      </c>
      <c r="X94" s="11" t="s">
        <v>191</v>
      </c>
      <c r="Y94" s="11">
        <v>48</v>
      </c>
      <c r="Z94" s="2" t="s">
        <v>191</v>
      </c>
      <c r="AA94" s="2">
        <v>32</v>
      </c>
      <c r="AB94" s="2" t="s">
        <v>187</v>
      </c>
      <c r="AC94" s="2">
        <v>62</v>
      </c>
      <c r="AD94" s="2" t="s">
        <v>192</v>
      </c>
    </row>
    <row r="95" spans="1:30" x14ac:dyDescent="0.3">
      <c r="A95" s="11" t="s">
        <v>531</v>
      </c>
      <c r="B95" s="11">
        <v>10406</v>
      </c>
      <c r="C95" s="11">
        <v>2</v>
      </c>
      <c r="D95" s="11" t="s">
        <v>296</v>
      </c>
      <c r="E95" s="11" t="s">
        <v>194</v>
      </c>
      <c r="F95" s="11" t="s">
        <v>195</v>
      </c>
      <c r="G95" s="11">
        <v>32</v>
      </c>
      <c r="H95" s="11" t="s">
        <v>196</v>
      </c>
      <c r="I95" s="11">
        <v>31</v>
      </c>
      <c r="J95" s="11" t="s">
        <v>196</v>
      </c>
      <c r="K95" s="11">
        <v>26</v>
      </c>
      <c r="L95" s="11" t="s">
        <v>186</v>
      </c>
      <c r="M95" s="11">
        <v>0</v>
      </c>
      <c r="N95" s="11" t="s">
        <v>188</v>
      </c>
      <c r="O95" s="11">
        <v>1</v>
      </c>
      <c r="P95" s="11" t="s">
        <v>197</v>
      </c>
      <c r="Q95" s="11">
        <v>3</v>
      </c>
      <c r="R95" s="11" t="s">
        <v>190</v>
      </c>
      <c r="S95" s="11">
        <v>37</v>
      </c>
      <c r="T95" s="11" t="s">
        <v>187</v>
      </c>
      <c r="U95" s="11">
        <v>37</v>
      </c>
      <c r="V95" s="11" t="s">
        <v>187</v>
      </c>
      <c r="W95" s="11">
        <v>33</v>
      </c>
      <c r="X95" s="11" t="s">
        <v>187</v>
      </c>
      <c r="Y95" s="11">
        <v>36</v>
      </c>
      <c r="Z95" s="2" t="s">
        <v>187</v>
      </c>
      <c r="AA95" s="2">
        <v>32</v>
      </c>
      <c r="AB95" s="2" t="s">
        <v>187</v>
      </c>
      <c r="AC95" s="2">
        <v>36</v>
      </c>
      <c r="AD95" s="2" t="s">
        <v>187</v>
      </c>
    </row>
    <row r="96" spans="1:30" x14ac:dyDescent="0.3">
      <c r="A96" s="11" t="s">
        <v>531</v>
      </c>
      <c r="B96" s="11">
        <v>10407</v>
      </c>
      <c r="C96" s="11">
        <v>2</v>
      </c>
      <c r="D96" s="11" t="s">
        <v>297</v>
      </c>
      <c r="E96" s="11" t="s">
        <v>199</v>
      </c>
      <c r="F96" s="11" t="s">
        <v>200</v>
      </c>
      <c r="G96" s="11">
        <v>77</v>
      </c>
      <c r="H96" s="11" t="s">
        <v>201</v>
      </c>
      <c r="I96" s="11">
        <v>65</v>
      </c>
      <c r="J96" s="11" t="s">
        <v>202</v>
      </c>
      <c r="K96" s="11">
        <v>76</v>
      </c>
      <c r="L96" s="11" t="s">
        <v>201</v>
      </c>
      <c r="M96" s="11">
        <v>0</v>
      </c>
      <c r="N96" s="11" t="s">
        <v>188</v>
      </c>
      <c r="O96" s="11">
        <v>5</v>
      </c>
      <c r="P96" s="11" t="s">
        <v>189</v>
      </c>
      <c r="Q96" s="11">
        <v>0</v>
      </c>
      <c r="R96" s="11" t="s">
        <v>203</v>
      </c>
      <c r="S96" s="11">
        <v>85</v>
      </c>
      <c r="T96" s="11" t="s">
        <v>192</v>
      </c>
      <c r="U96" s="11">
        <v>79</v>
      </c>
      <c r="V96" s="11" t="s">
        <v>192</v>
      </c>
      <c r="W96" s="11">
        <v>81</v>
      </c>
      <c r="X96" s="11" t="s">
        <v>192</v>
      </c>
      <c r="Y96" s="11">
        <v>85</v>
      </c>
      <c r="Z96" s="2" t="s">
        <v>192</v>
      </c>
      <c r="AA96" s="2">
        <v>80</v>
      </c>
      <c r="AB96" s="2" t="s">
        <v>192</v>
      </c>
      <c r="AC96" s="2">
        <v>87</v>
      </c>
      <c r="AD96" s="2" t="s">
        <v>192</v>
      </c>
    </row>
    <row r="97" spans="1:30" x14ac:dyDescent="0.3">
      <c r="A97" s="11" t="s">
        <v>531</v>
      </c>
      <c r="B97" s="11">
        <v>10408</v>
      </c>
      <c r="C97" s="11">
        <v>2</v>
      </c>
      <c r="D97" s="11" t="s">
        <v>298</v>
      </c>
      <c r="E97" s="11" t="s">
        <v>205</v>
      </c>
      <c r="F97" s="11" t="s">
        <v>206</v>
      </c>
      <c r="G97" s="11">
        <v>81</v>
      </c>
      <c r="H97" s="11" t="s">
        <v>201</v>
      </c>
      <c r="I97" s="11">
        <v>86</v>
      </c>
      <c r="J97" s="11" t="s">
        <v>201</v>
      </c>
      <c r="K97" s="11">
        <v>76</v>
      </c>
      <c r="L97" s="11" t="s">
        <v>201</v>
      </c>
      <c r="M97" s="11">
        <v>0</v>
      </c>
      <c r="N97" s="11" t="s">
        <v>188</v>
      </c>
      <c r="O97" s="11">
        <v>1</v>
      </c>
      <c r="P97" s="11" t="s">
        <v>197</v>
      </c>
      <c r="Q97" s="11">
        <v>0</v>
      </c>
      <c r="R97" s="11" t="s">
        <v>203</v>
      </c>
      <c r="S97" s="11">
        <v>37</v>
      </c>
      <c r="T97" s="11" t="s">
        <v>187</v>
      </c>
      <c r="U97" s="11">
        <v>37</v>
      </c>
      <c r="V97" s="11" t="s">
        <v>187</v>
      </c>
      <c r="W97" s="11">
        <v>33</v>
      </c>
      <c r="X97" s="11" t="s">
        <v>187</v>
      </c>
      <c r="Y97" s="11">
        <v>36</v>
      </c>
      <c r="Z97" s="2" t="s">
        <v>187</v>
      </c>
      <c r="AA97" s="2">
        <v>32</v>
      </c>
      <c r="AB97" s="2" t="s">
        <v>187</v>
      </c>
      <c r="AC97" s="2">
        <v>36</v>
      </c>
      <c r="AD97" s="2" t="s">
        <v>187</v>
      </c>
    </row>
    <row r="98" spans="1:30" x14ac:dyDescent="0.3">
      <c r="A98" s="11" t="s">
        <v>531</v>
      </c>
      <c r="B98" s="11">
        <v>10409</v>
      </c>
      <c r="C98" s="11">
        <v>2</v>
      </c>
      <c r="D98" s="11" t="s">
        <v>299</v>
      </c>
      <c r="E98" s="11" t="s">
        <v>184</v>
      </c>
      <c r="F98" s="11" t="s">
        <v>185</v>
      </c>
      <c r="G98" s="11">
        <v>23</v>
      </c>
      <c r="H98" s="11" t="s">
        <v>186</v>
      </c>
      <c r="I98" s="11">
        <v>23</v>
      </c>
      <c r="J98" s="11" t="s">
        <v>186</v>
      </c>
      <c r="K98" s="11">
        <v>45</v>
      </c>
      <c r="L98" s="11" t="s">
        <v>187</v>
      </c>
      <c r="M98" s="11">
        <v>0</v>
      </c>
      <c r="N98" s="11" t="s">
        <v>188</v>
      </c>
      <c r="O98" s="11">
        <v>3</v>
      </c>
      <c r="P98" s="11" t="s">
        <v>189</v>
      </c>
      <c r="Q98" s="11">
        <v>3</v>
      </c>
      <c r="R98" s="11" t="s">
        <v>190</v>
      </c>
      <c r="S98" s="11">
        <v>37</v>
      </c>
      <c r="T98" s="11" t="s">
        <v>187</v>
      </c>
      <c r="U98" s="11">
        <v>58</v>
      </c>
      <c r="V98" s="11" t="s">
        <v>191</v>
      </c>
      <c r="W98" s="11">
        <v>45</v>
      </c>
      <c r="X98" s="11" t="s">
        <v>191</v>
      </c>
      <c r="Y98" s="11">
        <v>48</v>
      </c>
      <c r="Z98" s="2" t="s">
        <v>191</v>
      </c>
      <c r="AA98" s="2">
        <v>32</v>
      </c>
      <c r="AB98" s="2" t="s">
        <v>187</v>
      </c>
      <c r="AC98" s="2">
        <v>62</v>
      </c>
      <c r="AD98" s="2" t="s">
        <v>192</v>
      </c>
    </row>
    <row r="99" spans="1:30" x14ac:dyDescent="0.3">
      <c r="A99" s="11" t="s">
        <v>531</v>
      </c>
      <c r="B99" s="11">
        <v>10410</v>
      </c>
      <c r="C99" s="11">
        <v>2</v>
      </c>
      <c r="D99" s="11" t="s">
        <v>300</v>
      </c>
      <c r="E99" s="11" t="s">
        <v>194</v>
      </c>
      <c r="F99" s="11" t="s">
        <v>195</v>
      </c>
      <c r="G99" s="11">
        <v>32</v>
      </c>
      <c r="H99" s="11" t="s">
        <v>196</v>
      </c>
      <c r="I99" s="11">
        <v>31</v>
      </c>
      <c r="J99" s="11" t="s">
        <v>196</v>
      </c>
      <c r="K99" s="11">
        <v>26</v>
      </c>
      <c r="L99" s="11" t="s">
        <v>186</v>
      </c>
      <c r="M99" s="11">
        <v>0</v>
      </c>
      <c r="N99" s="11" t="s">
        <v>188</v>
      </c>
      <c r="O99" s="11">
        <v>1</v>
      </c>
      <c r="P99" s="11" t="s">
        <v>197</v>
      </c>
      <c r="Q99" s="11">
        <v>3</v>
      </c>
      <c r="R99" s="11" t="s">
        <v>190</v>
      </c>
      <c r="S99" s="11">
        <v>37</v>
      </c>
      <c r="T99" s="11" t="s">
        <v>187</v>
      </c>
      <c r="U99" s="11">
        <v>37</v>
      </c>
      <c r="V99" s="11" t="s">
        <v>187</v>
      </c>
      <c r="W99" s="11">
        <v>33</v>
      </c>
      <c r="X99" s="11" t="s">
        <v>187</v>
      </c>
      <c r="Y99" s="11">
        <v>36</v>
      </c>
      <c r="Z99" s="11" t="s">
        <v>187</v>
      </c>
      <c r="AA99" s="11">
        <v>32</v>
      </c>
      <c r="AB99" s="11" t="s">
        <v>187</v>
      </c>
      <c r="AC99" s="11">
        <v>36</v>
      </c>
      <c r="AD99" s="11" t="s">
        <v>187</v>
      </c>
    </row>
    <row r="100" spans="1:30" x14ac:dyDescent="0.3">
      <c r="A100" s="11" t="s">
        <v>531</v>
      </c>
      <c r="B100" s="11">
        <v>10411</v>
      </c>
      <c r="C100" s="11">
        <v>2</v>
      </c>
      <c r="D100" s="11" t="s">
        <v>301</v>
      </c>
      <c r="E100" s="11" t="s">
        <v>199</v>
      </c>
      <c r="F100" s="11" t="s">
        <v>200</v>
      </c>
      <c r="G100" s="11">
        <v>77</v>
      </c>
      <c r="H100" s="11" t="s">
        <v>201</v>
      </c>
      <c r="I100" s="11">
        <v>65</v>
      </c>
      <c r="J100" s="11" t="s">
        <v>202</v>
      </c>
      <c r="K100" s="11">
        <v>76</v>
      </c>
      <c r="L100" s="11" t="s">
        <v>201</v>
      </c>
      <c r="M100" s="11">
        <v>0</v>
      </c>
      <c r="N100" s="11" t="s">
        <v>188</v>
      </c>
      <c r="O100" s="11">
        <v>5</v>
      </c>
      <c r="P100" s="11" t="s">
        <v>189</v>
      </c>
      <c r="Q100" s="11">
        <v>0</v>
      </c>
      <c r="R100" s="11" t="s">
        <v>203</v>
      </c>
      <c r="S100" s="11">
        <v>85</v>
      </c>
      <c r="T100" s="11" t="s">
        <v>192</v>
      </c>
      <c r="U100" s="11">
        <v>79</v>
      </c>
      <c r="V100" s="11" t="s">
        <v>192</v>
      </c>
      <c r="W100" s="11">
        <v>81</v>
      </c>
      <c r="X100" s="11" t="s">
        <v>192</v>
      </c>
      <c r="Y100" s="11">
        <v>85</v>
      </c>
      <c r="Z100" s="11" t="s">
        <v>192</v>
      </c>
      <c r="AA100" s="11">
        <v>80</v>
      </c>
      <c r="AB100" s="11" t="s">
        <v>192</v>
      </c>
      <c r="AC100" s="11">
        <v>87</v>
      </c>
      <c r="AD100" s="11" t="s">
        <v>192</v>
      </c>
    </row>
    <row r="101" spans="1:30" x14ac:dyDescent="0.3">
      <c r="A101" s="11" t="s">
        <v>531</v>
      </c>
      <c r="B101" s="11">
        <v>10412</v>
      </c>
      <c r="C101" s="11">
        <v>2</v>
      </c>
      <c r="D101" s="11" t="s">
        <v>302</v>
      </c>
      <c r="E101" s="11" t="s">
        <v>205</v>
      </c>
      <c r="F101" s="11" t="s">
        <v>206</v>
      </c>
      <c r="G101" s="11">
        <v>81</v>
      </c>
      <c r="H101" s="11" t="s">
        <v>201</v>
      </c>
      <c r="I101" s="11">
        <v>86</v>
      </c>
      <c r="J101" s="11" t="s">
        <v>201</v>
      </c>
      <c r="K101" s="11">
        <v>76</v>
      </c>
      <c r="L101" s="11" t="s">
        <v>201</v>
      </c>
      <c r="M101" s="11">
        <v>0</v>
      </c>
      <c r="N101" s="11" t="s">
        <v>188</v>
      </c>
      <c r="O101" s="11">
        <v>1</v>
      </c>
      <c r="P101" s="11" t="s">
        <v>197</v>
      </c>
      <c r="Q101" s="11">
        <v>0</v>
      </c>
      <c r="R101" s="11" t="s">
        <v>203</v>
      </c>
      <c r="S101" s="11">
        <v>37</v>
      </c>
      <c r="T101" s="11" t="s">
        <v>187</v>
      </c>
      <c r="U101" s="11">
        <v>37</v>
      </c>
      <c r="V101" s="11" t="s">
        <v>187</v>
      </c>
      <c r="W101" s="11">
        <v>33</v>
      </c>
      <c r="X101" s="11" t="s">
        <v>187</v>
      </c>
      <c r="Y101" s="11">
        <v>36</v>
      </c>
      <c r="Z101" s="11" t="s">
        <v>187</v>
      </c>
      <c r="AA101" s="11">
        <v>32</v>
      </c>
      <c r="AB101" s="11" t="s">
        <v>187</v>
      </c>
      <c r="AC101" s="11">
        <v>36</v>
      </c>
      <c r="AD101" s="11" t="s">
        <v>187</v>
      </c>
    </row>
    <row r="102" spans="1:30" x14ac:dyDescent="0.3">
      <c r="A102" s="11" t="s">
        <v>531</v>
      </c>
      <c r="B102" s="11">
        <v>10413</v>
      </c>
      <c r="C102" s="11">
        <v>2</v>
      </c>
      <c r="D102" s="11" t="s">
        <v>303</v>
      </c>
      <c r="E102" s="11" t="s">
        <v>184</v>
      </c>
      <c r="F102" s="11" t="s">
        <v>185</v>
      </c>
      <c r="G102" s="11">
        <v>23</v>
      </c>
      <c r="H102" s="11" t="s">
        <v>186</v>
      </c>
      <c r="I102" s="11">
        <v>23</v>
      </c>
      <c r="J102" s="11" t="s">
        <v>186</v>
      </c>
      <c r="K102" s="11">
        <v>45</v>
      </c>
      <c r="L102" s="11" t="s">
        <v>187</v>
      </c>
      <c r="M102" s="11">
        <v>0</v>
      </c>
      <c r="N102" s="11" t="s">
        <v>188</v>
      </c>
      <c r="O102" s="11">
        <v>3</v>
      </c>
      <c r="P102" s="11" t="s">
        <v>189</v>
      </c>
      <c r="Q102" s="11">
        <v>3</v>
      </c>
      <c r="R102" s="11" t="s">
        <v>190</v>
      </c>
      <c r="S102" s="11">
        <v>37</v>
      </c>
      <c r="T102" s="11" t="s">
        <v>187</v>
      </c>
      <c r="U102" s="11">
        <v>58</v>
      </c>
      <c r="V102" s="11" t="s">
        <v>191</v>
      </c>
      <c r="W102" s="11">
        <v>45</v>
      </c>
      <c r="X102" s="11" t="s">
        <v>191</v>
      </c>
      <c r="Y102" s="11">
        <v>48</v>
      </c>
      <c r="Z102" s="11" t="s">
        <v>191</v>
      </c>
      <c r="AA102" s="11">
        <v>32</v>
      </c>
      <c r="AB102" s="11" t="s">
        <v>187</v>
      </c>
      <c r="AC102" s="11">
        <v>62</v>
      </c>
      <c r="AD102" s="11" t="s">
        <v>192</v>
      </c>
    </row>
    <row r="103" spans="1:30" x14ac:dyDescent="0.3">
      <c r="A103" s="11" t="s">
        <v>531</v>
      </c>
      <c r="B103" s="11">
        <v>10414</v>
      </c>
      <c r="C103" s="11">
        <v>2</v>
      </c>
      <c r="D103" s="11" t="s">
        <v>304</v>
      </c>
      <c r="E103" s="11" t="s">
        <v>194</v>
      </c>
      <c r="F103" s="11" t="s">
        <v>195</v>
      </c>
      <c r="G103" s="11">
        <v>32</v>
      </c>
      <c r="H103" s="11" t="s">
        <v>196</v>
      </c>
      <c r="I103" s="11">
        <v>31</v>
      </c>
      <c r="J103" s="11" t="s">
        <v>196</v>
      </c>
      <c r="K103" s="11">
        <v>26</v>
      </c>
      <c r="L103" s="11" t="s">
        <v>186</v>
      </c>
      <c r="M103" s="11">
        <v>0</v>
      </c>
      <c r="N103" s="11" t="s">
        <v>188</v>
      </c>
      <c r="O103" s="11">
        <v>1</v>
      </c>
      <c r="P103" s="11" t="s">
        <v>197</v>
      </c>
      <c r="Q103" s="11">
        <v>3</v>
      </c>
      <c r="R103" s="11" t="s">
        <v>190</v>
      </c>
      <c r="S103" s="11">
        <v>37</v>
      </c>
      <c r="T103" s="11" t="s">
        <v>187</v>
      </c>
      <c r="U103" s="11">
        <v>37</v>
      </c>
      <c r="V103" s="11" t="s">
        <v>187</v>
      </c>
      <c r="W103" s="11">
        <v>33</v>
      </c>
      <c r="X103" s="11" t="s">
        <v>187</v>
      </c>
      <c r="Y103" s="11">
        <v>36</v>
      </c>
      <c r="Z103" s="11" t="s">
        <v>187</v>
      </c>
      <c r="AA103" s="11">
        <v>32</v>
      </c>
      <c r="AB103" s="11" t="s">
        <v>187</v>
      </c>
      <c r="AC103" s="11">
        <v>36</v>
      </c>
      <c r="AD103" s="11" t="s">
        <v>187</v>
      </c>
    </row>
    <row r="104" spans="1:30" x14ac:dyDescent="0.3">
      <c r="A104" s="11" t="s">
        <v>531</v>
      </c>
      <c r="B104" s="11">
        <v>10415</v>
      </c>
      <c r="C104" s="11">
        <v>2</v>
      </c>
      <c r="D104" s="11" t="s">
        <v>305</v>
      </c>
      <c r="E104" s="11" t="s">
        <v>199</v>
      </c>
      <c r="F104" s="11" t="s">
        <v>200</v>
      </c>
      <c r="G104" s="11">
        <v>77</v>
      </c>
      <c r="H104" s="11" t="s">
        <v>201</v>
      </c>
      <c r="I104" s="11">
        <v>65</v>
      </c>
      <c r="J104" s="11" t="s">
        <v>202</v>
      </c>
      <c r="K104" s="11">
        <v>76</v>
      </c>
      <c r="L104" s="11" t="s">
        <v>201</v>
      </c>
      <c r="M104" s="11">
        <v>0</v>
      </c>
      <c r="N104" s="11" t="s">
        <v>188</v>
      </c>
      <c r="O104" s="11">
        <v>5</v>
      </c>
      <c r="P104" s="11" t="s">
        <v>189</v>
      </c>
      <c r="Q104" s="11">
        <v>0</v>
      </c>
      <c r="R104" s="11" t="s">
        <v>203</v>
      </c>
      <c r="S104" s="11">
        <v>85</v>
      </c>
      <c r="T104" s="11" t="s">
        <v>192</v>
      </c>
      <c r="U104" s="11">
        <v>79</v>
      </c>
      <c r="V104" s="11" t="s">
        <v>192</v>
      </c>
      <c r="W104" s="11">
        <v>81</v>
      </c>
      <c r="X104" s="11" t="s">
        <v>192</v>
      </c>
      <c r="Y104" s="11">
        <v>85</v>
      </c>
      <c r="Z104" s="11" t="s">
        <v>192</v>
      </c>
      <c r="AA104" s="11">
        <v>80</v>
      </c>
      <c r="AB104" s="11" t="s">
        <v>192</v>
      </c>
      <c r="AC104" s="11">
        <v>87</v>
      </c>
      <c r="AD104" s="11" t="s">
        <v>192</v>
      </c>
    </row>
    <row r="105" spans="1:30" x14ac:dyDescent="0.3">
      <c r="A105" s="11" t="s">
        <v>531</v>
      </c>
      <c r="B105" s="11">
        <v>10416</v>
      </c>
      <c r="C105" s="11">
        <v>1</v>
      </c>
      <c r="D105" s="11" t="s">
        <v>306</v>
      </c>
      <c r="E105" s="11" t="s">
        <v>205</v>
      </c>
      <c r="F105" s="11" t="s">
        <v>206</v>
      </c>
      <c r="G105" s="11">
        <v>81</v>
      </c>
      <c r="H105" s="11" t="s">
        <v>201</v>
      </c>
      <c r="I105" s="11">
        <v>86</v>
      </c>
      <c r="J105" s="11" t="s">
        <v>201</v>
      </c>
      <c r="K105" s="11">
        <v>76</v>
      </c>
      <c r="L105" s="11" t="s">
        <v>201</v>
      </c>
      <c r="M105" s="11">
        <v>0</v>
      </c>
      <c r="N105" s="11" t="s">
        <v>188</v>
      </c>
      <c r="O105" s="11">
        <v>1</v>
      </c>
      <c r="P105" s="11" t="s">
        <v>197</v>
      </c>
      <c r="Q105" s="11">
        <v>0</v>
      </c>
      <c r="R105" s="11" t="s">
        <v>203</v>
      </c>
      <c r="S105" s="11">
        <v>37</v>
      </c>
      <c r="T105" s="11" t="s">
        <v>187</v>
      </c>
      <c r="U105" s="11">
        <v>37</v>
      </c>
      <c r="V105" s="11" t="s">
        <v>187</v>
      </c>
      <c r="W105" s="11">
        <v>33</v>
      </c>
      <c r="X105" s="11" t="s">
        <v>187</v>
      </c>
      <c r="Y105" s="11">
        <v>36</v>
      </c>
      <c r="Z105" s="11" t="s">
        <v>187</v>
      </c>
      <c r="AA105" s="11">
        <v>32</v>
      </c>
      <c r="AB105" s="11" t="s">
        <v>187</v>
      </c>
      <c r="AC105" s="11">
        <v>36</v>
      </c>
      <c r="AD105" s="11" t="s">
        <v>187</v>
      </c>
    </row>
    <row r="106" spans="1:30" x14ac:dyDescent="0.3">
      <c r="A106" s="11" t="s">
        <v>531</v>
      </c>
      <c r="B106" s="11">
        <v>10417</v>
      </c>
      <c r="C106" s="11">
        <v>1</v>
      </c>
      <c r="D106" s="11" t="s">
        <v>307</v>
      </c>
      <c r="E106" s="11" t="s">
        <v>184</v>
      </c>
      <c r="F106" s="11" t="s">
        <v>185</v>
      </c>
      <c r="G106" s="11">
        <v>23</v>
      </c>
      <c r="H106" s="11" t="s">
        <v>186</v>
      </c>
      <c r="I106" s="11">
        <v>23</v>
      </c>
      <c r="J106" s="11" t="s">
        <v>186</v>
      </c>
      <c r="K106" s="11">
        <v>45</v>
      </c>
      <c r="L106" s="11" t="s">
        <v>187</v>
      </c>
      <c r="M106" s="11">
        <v>0</v>
      </c>
      <c r="N106" s="11" t="s">
        <v>188</v>
      </c>
      <c r="O106" s="11">
        <v>3</v>
      </c>
      <c r="P106" s="11" t="s">
        <v>189</v>
      </c>
      <c r="Q106" s="11">
        <v>3</v>
      </c>
      <c r="R106" s="11" t="s">
        <v>190</v>
      </c>
      <c r="S106" s="11">
        <v>37</v>
      </c>
      <c r="T106" s="11" t="s">
        <v>187</v>
      </c>
      <c r="U106" s="11">
        <v>58</v>
      </c>
      <c r="V106" s="11" t="s">
        <v>191</v>
      </c>
      <c r="W106" s="11">
        <v>45</v>
      </c>
      <c r="X106" s="11" t="s">
        <v>191</v>
      </c>
      <c r="Y106" s="11">
        <v>48</v>
      </c>
      <c r="Z106" s="11" t="s">
        <v>191</v>
      </c>
      <c r="AA106" s="11">
        <v>32</v>
      </c>
      <c r="AB106" s="11" t="s">
        <v>187</v>
      </c>
      <c r="AC106" s="11">
        <v>62</v>
      </c>
      <c r="AD106" s="11" t="s">
        <v>192</v>
      </c>
    </row>
    <row r="107" spans="1:30" x14ac:dyDescent="0.3">
      <c r="A107" s="11" t="s">
        <v>531</v>
      </c>
      <c r="B107" s="11">
        <v>10418</v>
      </c>
      <c r="C107" s="11">
        <v>1</v>
      </c>
      <c r="D107" s="11" t="s">
        <v>308</v>
      </c>
      <c r="E107" s="11" t="s">
        <v>194</v>
      </c>
      <c r="F107" s="11" t="s">
        <v>195</v>
      </c>
      <c r="G107" s="11">
        <v>32</v>
      </c>
      <c r="H107" s="11" t="s">
        <v>196</v>
      </c>
      <c r="I107" s="11">
        <v>31</v>
      </c>
      <c r="J107" s="11" t="s">
        <v>196</v>
      </c>
      <c r="K107" s="11">
        <v>26</v>
      </c>
      <c r="L107" s="11" t="s">
        <v>186</v>
      </c>
      <c r="M107" s="11">
        <v>0</v>
      </c>
      <c r="N107" s="11" t="s">
        <v>188</v>
      </c>
      <c r="O107" s="11">
        <v>1</v>
      </c>
      <c r="P107" s="11" t="s">
        <v>197</v>
      </c>
      <c r="Q107" s="11">
        <v>3</v>
      </c>
      <c r="R107" s="11" t="s">
        <v>190</v>
      </c>
      <c r="S107" s="11">
        <v>37</v>
      </c>
      <c r="T107" s="11" t="s">
        <v>187</v>
      </c>
      <c r="U107" s="11">
        <v>37</v>
      </c>
      <c r="V107" s="11" t="s">
        <v>187</v>
      </c>
      <c r="W107" s="11">
        <v>33</v>
      </c>
      <c r="X107" s="11" t="s">
        <v>187</v>
      </c>
      <c r="Y107" s="11">
        <v>36</v>
      </c>
      <c r="Z107" s="11" t="s">
        <v>187</v>
      </c>
      <c r="AA107" s="11">
        <v>32</v>
      </c>
      <c r="AB107" s="11" t="s">
        <v>187</v>
      </c>
      <c r="AC107" s="11">
        <v>36</v>
      </c>
      <c r="AD107" s="11" t="s">
        <v>187</v>
      </c>
    </row>
    <row r="108" spans="1:30" x14ac:dyDescent="0.3">
      <c r="A108" s="11" t="s">
        <v>531</v>
      </c>
      <c r="B108" s="11">
        <v>10419</v>
      </c>
      <c r="C108" s="11">
        <v>1</v>
      </c>
      <c r="D108" s="11" t="s">
        <v>309</v>
      </c>
      <c r="E108" s="11" t="s">
        <v>199</v>
      </c>
      <c r="F108" s="11" t="s">
        <v>200</v>
      </c>
      <c r="G108" s="11">
        <v>77</v>
      </c>
      <c r="H108" s="11" t="s">
        <v>201</v>
      </c>
      <c r="I108" s="11">
        <v>65</v>
      </c>
      <c r="J108" s="11" t="s">
        <v>202</v>
      </c>
      <c r="K108" s="11">
        <v>76</v>
      </c>
      <c r="L108" s="11" t="s">
        <v>201</v>
      </c>
      <c r="M108" s="11">
        <v>0</v>
      </c>
      <c r="N108" s="11" t="s">
        <v>188</v>
      </c>
      <c r="O108" s="11">
        <v>5</v>
      </c>
      <c r="P108" s="11" t="s">
        <v>189</v>
      </c>
      <c r="Q108" s="11">
        <v>0</v>
      </c>
      <c r="R108" s="11" t="s">
        <v>203</v>
      </c>
      <c r="S108" s="11">
        <v>85</v>
      </c>
      <c r="T108" s="11" t="s">
        <v>192</v>
      </c>
      <c r="U108" s="11">
        <v>79</v>
      </c>
      <c r="V108" s="11" t="s">
        <v>192</v>
      </c>
      <c r="W108" s="11">
        <v>81</v>
      </c>
      <c r="X108" s="11" t="s">
        <v>192</v>
      </c>
      <c r="Y108" s="11">
        <v>85</v>
      </c>
      <c r="Z108" s="11" t="s">
        <v>192</v>
      </c>
      <c r="AA108" s="11">
        <v>80</v>
      </c>
      <c r="AB108" s="11" t="s">
        <v>192</v>
      </c>
      <c r="AC108" s="11">
        <v>87</v>
      </c>
      <c r="AD108" s="11" t="s">
        <v>192</v>
      </c>
    </row>
    <row r="109" spans="1:30" x14ac:dyDescent="0.3">
      <c r="A109" s="11" t="s">
        <v>531</v>
      </c>
      <c r="B109" s="11">
        <v>10420</v>
      </c>
      <c r="C109" s="11">
        <v>1</v>
      </c>
      <c r="D109" s="11" t="s">
        <v>310</v>
      </c>
      <c r="E109" s="11" t="s">
        <v>205</v>
      </c>
      <c r="F109" s="11" t="s">
        <v>206</v>
      </c>
      <c r="G109" s="11">
        <v>81</v>
      </c>
      <c r="H109" s="11" t="s">
        <v>201</v>
      </c>
      <c r="I109" s="11">
        <v>86</v>
      </c>
      <c r="J109" s="11" t="s">
        <v>201</v>
      </c>
      <c r="K109" s="11">
        <v>76</v>
      </c>
      <c r="L109" s="11" t="s">
        <v>201</v>
      </c>
      <c r="M109" s="11">
        <v>0</v>
      </c>
      <c r="N109" s="11" t="s">
        <v>188</v>
      </c>
      <c r="O109" s="11">
        <v>1</v>
      </c>
      <c r="P109" s="11" t="s">
        <v>197</v>
      </c>
      <c r="Q109" s="11">
        <v>0</v>
      </c>
      <c r="R109" s="11" t="s">
        <v>203</v>
      </c>
      <c r="S109" s="11">
        <v>37</v>
      </c>
      <c r="T109" s="11" t="s">
        <v>187</v>
      </c>
      <c r="U109" s="11">
        <v>37</v>
      </c>
      <c r="V109" s="11" t="s">
        <v>187</v>
      </c>
      <c r="W109" s="11">
        <v>33</v>
      </c>
      <c r="X109" s="11" t="s">
        <v>187</v>
      </c>
      <c r="Y109" s="11">
        <v>36</v>
      </c>
      <c r="Z109" s="11" t="s">
        <v>187</v>
      </c>
      <c r="AA109" s="11">
        <v>32</v>
      </c>
      <c r="AB109" s="11" t="s">
        <v>187</v>
      </c>
      <c r="AC109" s="11">
        <v>36</v>
      </c>
      <c r="AD109" s="11" t="s">
        <v>187</v>
      </c>
    </row>
    <row r="110" spans="1:30" x14ac:dyDescent="0.3">
      <c r="A110" s="11" t="s">
        <v>531</v>
      </c>
      <c r="B110" s="11">
        <v>10421</v>
      </c>
      <c r="C110" s="11">
        <v>1</v>
      </c>
      <c r="D110" s="11" t="s">
        <v>311</v>
      </c>
      <c r="E110" s="11" t="s">
        <v>184</v>
      </c>
      <c r="F110" s="11" t="s">
        <v>185</v>
      </c>
      <c r="G110" s="11">
        <v>23</v>
      </c>
      <c r="H110" s="11" t="s">
        <v>186</v>
      </c>
      <c r="I110" s="11">
        <v>23</v>
      </c>
      <c r="J110" s="11" t="s">
        <v>186</v>
      </c>
      <c r="K110" s="11">
        <v>45</v>
      </c>
      <c r="L110" s="11" t="s">
        <v>187</v>
      </c>
      <c r="M110" s="11">
        <v>0</v>
      </c>
      <c r="N110" s="11" t="s">
        <v>188</v>
      </c>
      <c r="O110" s="11">
        <v>3</v>
      </c>
      <c r="P110" s="11" t="s">
        <v>189</v>
      </c>
      <c r="Q110" s="11">
        <v>3</v>
      </c>
      <c r="R110" s="11" t="s">
        <v>190</v>
      </c>
      <c r="S110" s="11">
        <v>37</v>
      </c>
      <c r="T110" s="11" t="s">
        <v>187</v>
      </c>
      <c r="U110" s="11">
        <v>58</v>
      </c>
      <c r="V110" s="11" t="s">
        <v>191</v>
      </c>
      <c r="W110" s="11">
        <v>45</v>
      </c>
      <c r="X110" s="11" t="s">
        <v>191</v>
      </c>
      <c r="Y110" s="11">
        <v>48</v>
      </c>
      <c r="Z110" s="11" t="s">
        <v>191</v>
      </c>
      <c r="AA110" s="11">
        <v>32</v>
      </c>
      <c r="AB110" s="11" t="s">
        <v>187</v>
      </c>
      <c r="AC110" s="11">
        <v>62</v>
      </c>
      <c r="AD110" s="11" t="s">
        <v>192</v>
      </c>
    </row>
    <row r="111" spans="1:30" x14ac:dyDescent="0.3">
      <c r="A111" s="11" t="s">
        <v>531</v>
      </c>
      <c r="B111" s="11">
        <v>10422</v>
      </c>
      <c r="C111" s="11">
        <v>1</v>
      </c>
      <c r="D111" s="11" t="s">
        <v>312</v>
      </c>
      <c r="E111" s="11" t="s">
        <v>194</v>
      </c>
      <c r="F111" s="11" t="s">
        <v>195</v>
      </c>
      <c r="G111" s="11">
        <v>32</v>
      </c>
      <c r="H111" s="11" t="s">
        <v>196</v>
      </c>
      <c r="I111" s="11">
        <v>31</v>
      </c>
      <c r="J111" s="11" t="s">
        <v>196</v>
      </c>
      <c r="K111" s="11">
        <v>26</v>
      </c>
      <c r="L111" s="11" t="s">
        <v>186</v>
      </c>
      <c r="M111" s="11">
        <v>0</v>
      </c>
      <c r="N111" s="11" t="s">
        <v>188</v>
      </c>
      <c r="O111" s="11">
        <v>1</v>
      </c>
      <c r="P111" s="11" t="s">
        <v>197</v>
      </c>
      <c r="Q111" s="11">
        <v>3</v>
      </c>
      <c r="R111" s="11" t="s">
        <v>190</v>
      </c>
      <c r="S111" s="11">
        <v>37</v>
      </c>
      <c r="T111" s="11" t="s">
        <v>187</v>
      </c>
      <c r="U111" s="11">
        <v>37</v>
      </c>
      <c r="V111" s="11" t="s">
        <v>187</v>
      </c>
      <c r="W111" s="11">
        <v>33</v>
      </c>
      <c r="X111" s="11" t="s">
        <v>187</v>
      </c>
      <c r="Y111" s="11">
        <v>36</v>
      </c>
      <c r="Z111" s="11" t="s">
        <v>187</v>
      </c>
      <c r="AA111" s="11">
        <v>32</v>
      </c>
      <c r="AB111" s="11" t="s">
        <v>187</v>
      </c>
      <c r="AC111" s="11">
        <v>36</v>
      </c>
      <c r="AD111" s="11" t="s">
        <v>187</v>
      </c>
    </row>
    <row r="112" spans="1:30" x14ac:dyDescent="0.3">
      <c r="A112" s="11" t="s">
        <v>531</v>
      </c>
      <c r="B112" s="11">
        <v>10423</v>
      </c>
      <c r="C112" s="11">
        <v>1</v>
      </c>
      <c r="D112" s="11" t="s">
        <v>313</v>
      </c>
      <c r="E112" s="11" t="s">
        <v>199</v>
      </c>
      <c r="F112" s="11" t="s">
        <v>200</v>
      </c>
      <c r="G112" s="11">
        <v>77</v>
      </c>
      <c r="H112" s="11" t="s">
        <v>201</v>
      </c>
      <c r="I112" s="11">
        <v>65</v>
      </c>
      <c r="J112" s="11" t="s">
        <v>202</v>
      </c>
      <c r="K112" s="11">
        <v>76</v>
      </c>
      <c r="L112" s="11" t="s">
        <v>201</v>
      </c>
      <c r="M112" s="11">
        <v>0</v>
      </c>
      <c r="N112" s="11" t="s">
        <v>188</v>
      </c>
      <c r="O112" s="11">
        <v>5</v>
      </c>
      <c r="P112" s="11" t="s">
        <v>189</v>
      </c>
      <c r="Q112" s="11">
        <v>0</v>
      </c>
      <c r="R112" s="11" t="s">
        <v>203</v>
      </c>
      <c r="S112" s="11">
        <v>85</v>
      </c>
      <c r="T112" s="11" t="s">
        <v>192</v>
      </c>
      <c r="U112" s="11">
        <v>79</v>
      </c>
      <c r="V112" s="11" t="s">
        <v>192</v>
      </c>
      <c r="W112" s="11">
        <v>81</v>
      </c>
      <c r="X112" s="11" t="s">
        <v>192</v>
      </c>
      <c r="Y112" s="11">
        <v>85</v>
      </c>
      <c r="Z112" s="11" t="s">
        <v>192</v>
      </c>
      <c r="AA112" s="11">
        <v>80</v>
      </c>
      <c r="AB112" s="11" t="s">
        <v>192</v>
      </c>
      <c r="AC112" s="11">
        <v>87</v>
      </c>
      <c r="AD112" s="11" t="s">
        <v>192</v>
      </c>
    </row>
    <row r="113" spans="1:30" x14ac:dyDescent="0.3">
      <c r="A113" s="11" t="s">
        <v>531</v>
      </c>
      <c r="B113" s="11">
        <v>10424</v>
      </c>
      <c r="C113" s="11">
        <v>1</v>
      </c>
      <c r="D113" s="11" t="s">
        <v>314</v>
      </c>
      <c r="E113" s="11" t="s">
        <v>205</v>
      </c>
      <c r="F113" s="11" t="s">
        <v>206</v>
      </c>
      <c r="G113" s="11">
        <v>81</v>
      </c>
      <c r="H113" s="11" t="s">
        <v>201</v>
      </c>
      <c r="I113" s="11">
        <v>86</v>
      </c>
      <c r="J113" s="11" t="s">
        <v>201</v>
      </c>
      <c r="K113" s="11">
        <v>76</v>
      </c>
      <c r="L113" s="11" t="s">
        <v>201</v>
      </c>
      <c r="M113" s="11">
        <v>0</v>
      </c>
      <c r="N113" s="11" t="s">
        <v>188</v>
      </c>
      <c r="O113" s="11">
        <v>1</v>
      </c>
      <c r="P113" s="11" t="s">
        <v>197</v>
      </c>
      <c r="Q113" s="11">
        <v>0</v>
      </c>
      <c r="R113" s="11" t="s">
        <v>203</v>
      </c>
      <c r="S113" s="11">
        <v>37</v>
      </c>
      <c r="T113" s="11" t="s">
        <v>187</v>
      </c>
      <c r="U113" s="11">
        <v>37</v>
      </c>
      <c r="V113" s="11" t="s">
        <v>187</v>
      </c>
      <c r="W113" s="11">
        <v>33</v>
      </c>
      <c r="X113" s="11" t="s">
        <v>187</v>
      </c>
      <c r="Y113" s="11">
        <v>36</v>
      </c>
      <c r="Z113" s="11" t="s">
        <v>187</v>
      </c>
      <c r="AA113" s="11">
        <v>32</v>
      </c>
      <c r="AB113" s="11" t="s">
        <v>187</v>
      </c>
      <c r="AC113" s="11">
        <v>36</v>
      </c>
      <c r="AD113" s="11" t="s">
        <v>187</v>
      </c>
    </row>
    <row r="114" spans="1:30" x14ac:dyDescent="0.3">
      <c r="A114" s="11" t="s">
        <v>531</v>
      </c>
      <c r="B114" s="11">
        <v>10425</v>
      </c>
      <c r="C114" s="11">
        <v>1</v>
      </c>
      <c r="D114" s="11" t="s">
        <v>315</v>
      </c>
      <c r="E114" s="11" t="s">
        <v>184</v>
      </c>
      <c r="F114" s="11" t="s">
        <v>185</v>
      </c>
      <c r="G114" s="11">
        <v>23</v>
      </c>
      <c r="H114" s="11" t="s">
        <v>186</v>
      </c>
      <c r="I114" s="11">
        <v>23</v>
      </c>
      <c r="J114" s="11" t="s">
        <v>186</v>
      </c>
      <c r="K114" s="11">
        <v>45</v>
      </c>
      <c r="L114" s="11" t="s">
        <v>187</v>
      </c>
      <c r="M114" s="11">
        <v>0</v>
      </c>
      <c r="N114" s="11" t="s">
        <v>188</v>
      </c>
      <c r="O114" s="11">
        <v>3</v>
      </c>
      <c r="P114" s="11" t="s">
        <v>189</v>
      </c>
      <c r="Q114" s="11">
        <v>3</v>
      </c>
      <c r="R114" s="11" t="s">
        <v>190</v>
      </c>
      <c r="S114" s="11">
        <v>37</v>
      </c>
      <c r="T114" s="11" t="s">
        <v>187</v>
      </c>
      <c r="U114" s="11">
        <v>58</v>
      </c>
      <c r="V114" s="11" t="s">
        <v>191</v>
      </c>
      <c r="W114" s="11">
        <v>45</v>
      </c>
      <c r="X114" s="11" t="s">
        <v>191</v>
      </c>
      <c r="Y114" s="11">
        <v>48</v>
      </c>
      <c r="Z114" s="11" t="s">
        <v>191</v>
      </c>
      <c r="AA114" s="11">
        <v>32</v>
      </c>
      <c r="AB114" s="11" t="s">
        <v>187</v>
      </c>
      <c r="AC114" s="11">
        <v>62</v>
      </c>
      <c r="AD114" s="11" t="s">
        <v>192</v>
      </c>
    </row>
    <row r="115" spans="1:30" x14ac:dyDescent="0.3">
      <c r="A115" s="11" t="s">
        <v>531</v>
      </c>
      <c r="B115" s="11">
        <v>10426</v>
      </c>
      <c r="C115" s="11">
        <v>1</v>
      </c>
      <c r="D115" s="11" t="s">
        <v>316</v>
      </c>
      <c r="E115" s="11" t="s">
        <v>194</v>
      </c>
      <c r="F115" s="11" t="s">
        <v>195</v>
      </c>
      <c r="G115" s="11">
        <v>32</v>
      </c>
      <c r="H115" s="11" t="s">
        <v>196</v>
      </c>
      <c r="I115" s="11">
        <v>31</v>
      </c>
      <c r="J115" s="11" t="s">
        <v>196</v>
      </c>
      <c r="K115" s="11">
        <v>26</v>
      </c>
      <c r="L115" s="11" t="s">
        <v>186</v>
      </c>
      <c r="M115" s="11">
        <v>0</v>
      </c>
      <c r="N115" s="11" t="s">
        <v>188</v>
      </c>
      <c r="O115" s="11">
        <v>1</v>
      </c>
      <c r="P115" s="11" t="s">
        <v>197</v>
      </c>
      <c r="Q115" s="11">
        <v>3</v>
      </c>
      <c r="R115" s="11" t="s">
        <v>190</v>
      </c>
      <c r="S115" s="11">
        <v>37</v>
      </c>
      <c r="T115" s="11" t="s">
        <v>187</v>
      </c>
      <c r="U115" s="11">
        <v>37</v>
      </c>
      <c r="V115" s="11" t="s">
        <v>187</v>
      </c>
      <c r="W115" s="11">
        <v>33</v>
      </c>
      <c r="X115" s="11" t="s">
        <v>187</v>
      </c>
      <c r="Y115" s="11">
        <v>36</v>
      </c>
      <c r="Z115" s="11" t="s">
        <v>187</v>
      </c>
      <c r="AA115" s="11">
        <v>32</v>
      </c>
      <c r="AB115" s="11" t="s">
        <v>187</v>
      </c>
      <c r="AC115" s="11">
        <v>36</v>
      </c>
      <c r="AD115" s="11" t="s">
        <v>187</v>
      </c>
    </row>
    <row r="116" spans="1:30" x14ac:dyDescent="0.3">
      <c r="A116" s="11" t="s">
        <v>531</v>
      </c>
      <c r="B116" s="11">
        <v>10428</v>
      </c>
      <c r="C116" s="11">
        <v>1</v>
      </c>
      <c r="D116" s="11" t="s">
        <v>317</v>
      </c>
      <c r="E116" s="11" t="s">
        <v>199</v>
      </c>
      <c r="F116" s="11" t="s">
        <v>200</v>
      </c>
      <c r="G116" s="11">
        <v>77</v>
      </c>
      <c r="H116" s="11" t="s">
        <v>201</v>
      </c>
      <c r="I116" s="11">
        <v>65</v>
      </c>
      <c r="J116" s="11" t="s">
        <v>202</v>
      </c>
      <c r="K116" s="11">
        <v>76</v>
      </c>
      <c r="L116" s="11" t="s">
        <v>201</v>
      </c>
      <c r="M116" s="11">
        <v>0</v>
      </c>
      <c r="N116" s="11" t="s">
        <v>188</v>
      </c>
      <c r="O116" s="11">
        <v>5</v>
      </c>
      <c r="P116" s="11" t="s">
        <v>189</v>
      </c>
      <c r="Q116" s="11">
        <v>0</v>
      </c>
      <c r="R116" s="11" t="s">
        <v>203</v>
      </c>
      <c r="S116" s="11">
        <v>85</v>
      </c>
      <c r="T116" s="11" t="s">
        <v>192</v>
      </c>
      <c r="U116" s="11">
        <v>79</v>
      </c>
      <c r="V116" s="11" t="s">
        <v>192</v>
      </c>
      <c r="W116" s="11">
        <v>81</v>
      </c>
      <c r="X116" s="11" t="s">
        <v>192</v>
      </c>
      <c r="Y116" s="11">
        <v>85</v>
      </c>
      <c r="Z116" s="11" t="s">
        <v>192</v>
      </c>
      <c r="AA116" s="11">
        <v>80</v>
      </c>
      <c r="AB116" s="11" t="s">
        <v>192</v>
      </c>
      <c r="AC116" s="11">
        <v>87</v>
      </c>
      <c r="AD116" s="11" t="s">
        <v>192</v>
      </c>
    </row>
    <row r="117" spans="1:30" x14ac:dyDescent="0.3">
      <c r="A117" s="11" t="s">
        <v>531</v>
      </c>
      <c r="B117" s="11">
        <v>10429</v>
      </c>
      <c r="C117" s="11">
        <v>1</v>
      </c>
      <c r="D117" s="11" t="s">
        <v>318</v>
      </c>
      <c r="E117" s="11" t="s">
        <v>205</v>
      </c>
      <c r="F117" s="11" t="s">
        <v>206</v>
      </c>
      <c r="G117" s="11">
        <v>81</v>
      </c>
      <c r="H117" s="11" t="s">
        <v>201</v>
      </c>
      <c r="I117" s="11">
        <v>86</v>
      </c>
      <c r="J117" s="11" t="s">
        <v>201</v>
      </c>
      <c r="K117" s="11">
        <v>76</v>
      </c>
      <c r="L117" s="11" t="s">
        <v>201</v>
      </c>
      <c r="M117" s="11">
        <v>0</v>
      </c>
      <c r="N117" s="11" t="s">
        <v>188</v>
      </c>
      <c r="O117" s="11">
        <v>1</v>
      </c>
      <c r="P117" s="11" t="s">
        <v>197</v>
      </c>
      <c r="Q117" s="11">
        <v>0</v>
      </c>
      <c r="R117" s="11" t="s">
        <v>203</v>
      </c>
      <c r="S117" s="11">
        <v>37</v>
      </c>
      <c r="T117" s="11" t="s">
        <v>187</v>
      </c>
      <c r="U117" s="11">
        <v>37</v>
      </c>
      <c r="V117" s="11" t="s">
        <v>187</v>
      </c>
      <c r="W117" s="11">
        <v>33</v>
      </c>
      <c r="X117" s="11" t="s">
        <v>187</v>
      </c>
      <c r="Y117" s="11">
        <v>36</v>
      </c>
      <c r="Z117" s="11" t="s">
        <v>187</v>
      </c>
      <c r="AA117" s="11">
        <v>32</v>
      </c>
      <c r="AB117" s="11" t="s">
        <v>187</v>
      </c>
      <c r="AC117" s="11">
        <v>36</v>
      </c>
      <c r="AD117" s="11" t="s">
        <v>187</v>
      </c>
    </row>
    <row r="118" spans="1:30" x14ac:dyDescent="0.3">
      <c r="A118" s="11" t="s">
        <v>531</v>
      </c>
      <c r="B118" s="11">
        <v>10430</v>
      </c>
      <c r="C118" s="11">
        <v>1</v>
      </c>
      <c r="D118" s="11" t="s">
        <v>319</v>
      </c>
      <c r="E118" s="11" t="s">
        <v>184</v>
      </c>
      <c r="F118" s="11" t="s">
        <v>185</v>
      </c>
      <c r="G118" s="11">
        <v>23</v>
      </c>
      <c r="H118" s="11" t="s">
        <v>186</v>
      </c>
      <c r="I118" s="11">
        <v>23</v>
      </c>
      <c r="J118" s="11" t="s">
        <v>186</v>
      </c>
      <c r="K118" s="11">
        <v>45</v>
      </c>
      <c r="L118" s="11" t="s">
        <v>187</v>
      </c>
      <c r="M118" s="11">
        <v>0</v>
      </c>
      <c r="N118" s="11" t="s">
        <v>188</v>
      </c>
      <c r="O118" s="11">
        <v>3</v>
      </c>
      <c r="P118" s="11" t="s">
        <v>189</v>
      </c>
      <c r="Q118" s="11">
        <v>3</v>
      </c>
      <c r="R118" s="11" t="s">
        <v>190</v>
      </c>
      <c r="S118" s="11">
        <v>37</v>
      </c>
      <c r="T118" s="11" t="s">
        <v>187</v>
      </c>
      <c r="U118" s="11">
        <v>58</v>
      </c>
      <c r="V118" s="11" t="s">
        <v>191</v>
      </c>
      <c r="W118" s="11">
        <v>45</v>
      </c>
      <c r="X118" s="11" t="s">
        <v>191</v>
      </c>
      <c r="Y118" s="11">
        <v>48</v>
      </c>
      <c r="Z118" s="11" t="s">
        <v>191</v>
      </c>
      <c r="AA118" s="11">
        <v>32</v>
      </c>
      <c r="AB118" s="11" t="s">
        <v>187</v>
      </c>
      <c r="AC118" s="11">
        <v>62</v>
      </c>
      <c r="AD118" s="11" t="s">
        <v>192</v>
      </c>
    </row>
    <row r="119" spans="1:30" x14ac:dyDescent="0.3">
      <c r="A119" s="11" t="s">
        <v>531</v>
      </c>
      <c r="B119" s="11">
        <v>10501</v>
      </c>
      <c r="C119" s="11">
        <v>2</v>
      </c>
      <c r="D119" s="11" t="s">
        <v>320</v>
      </c>
      <c r="E119" s="11" t="s">
        <v>194</v>
      </c>
      <c r="F119" s="11" t="s">
        <v>195</v>
      </c>
      <c r="G119" s="11">
        <v>32</v>
      </c>
      <c r="H119" s="11" t="s">
        <v>196</v>
      </c>
      <c r="I119" s="11">
        <v>31</v>
      </c>
      <c r="J119" s="11" t="s">
        <v>196</v>
      </c>
      <c r="K119" s="11">
        <v>26</v>
      </c>
      <c r="L119" s="11" t="s">
        <v>186</v>
      </c>
      <c r="M119" s="11">
        <v>0</v>
      </c>
      <c r="N119" s="11" t="s">
        <v>188</v>
      </c>
      <c r="O119" s="11">
        <v>1</v>
      </c>
      <c r="P119" s="11" t="s">
        <v>197</v>
      </c>
      <c r="Q119" s="11">
        <v>3</v>
      </c>
      <c r="R119" s="11" t="s">
        <v>190</v>
      </c>
      <c r="S119" s="11">
        <v>37</v>
      </c>
      <c r="T119" s="11" t="s">
        <v>187</v>
      </c>
      <c r="U119" s="11">
        <v>37</v>
      </c>
      <c r="V119" s="11" t="s">
        <v>187</v>
      </c>
      <c r="W119" s="11">
        <v>33</v>
      </c>
      <c r="X119" s="11" t="s">
        <v>187</v>
      </c>
      <c r="Y119" s="11">
        <v>36</v>
      </c>
      <c r="Z119" s="11" t="s">
        <v>187</v>
      </c>
      <c r="AA119" s="11">
        <v>32</v>
      </c>
      <c r="AB119" s="11" t="s">
        <v>187</v>
      </c>
      <c r="AC119" s="11">
        <v>36</v>
      </c>
      <c r="AD119" s="11" t="s">
        <v>187</v>
      </c>
    </row>
    <row r="120" spans="1:30" x14ac:dyDescent="0.3">
      <c r="A120" s="11" t="s">
        <v>531</v>
      </c>
      <c r="B120" s="11">
        <v>10502</v>
      </c>
      <c r="C120" s="11">
        <v>2</v>
      </c>
      <c r="D120" s="11" t="s">
        <v>321</v>
      </c>
      <c r="E120" s="11" t="s">
        <v>199</v>
      </c>
      <c r="F120" s="11" t="s">
        <v>200</v>
      </c>
      <c r="G120" s="11">
        <v>77</v>
      </c>
      <c r="H120" s="11" t="s">
        <v>201</v>
      </c>
      <c r="I120" s="11">
        <v>65</v>
      </c>
      <c r="J120" s="11" t="s">
        <v>202</v>
      </c>
      <c r="K120" s="11">
        <v>76</v>
      </c>
      <c r="L120" s="11" t="s">
        <v>201</v>
      </c>
      <c r="M120" s="11">
        <v>0</v>
      </c>
      <c r="N120" s="11" t="s">
        <v>188</v>
      </c>
      <c r="O120" s="11">
        <v>5</v>
      </c>
      <c r="P120" s="11" t="s">
        <v>189</v>
      </c>
      <c r="Q120" s="11">
        <v>0</v>
      </c>
      <c r="R120" s="11" t="s">
        <v>203</v>
      </c>
      <c r="S120" s="11">
        <v>85</v>
      </c>
      <c r="T120" s="11" t="s">
        <v>192</v>
      </c>
      <c r="U120" s="11">
        <v>79</v>
      </c>
      <c r="V120" s="11" t="s">
        <v>192</v>
      </c>
      <c r="W120" s="11">
        <v>81</v>
      </c>
      <c r="X120" s="11" t="s">
        <v>192</v>
      </c>
      <c r="Y120" s="11">
        <v>85</v>
      </c>
      <c r="Z120" s="11" t="s">
        <v>192</v>
      </c>
      <c r="AA120" s="11">
        <v>80</v>
      </c>
      <c r="AB120" s="11" t="s">
        <v>192</v>
      </c>
      <c r="AC120" s="11">
        <v>87</v>
      </c>
      <c r="AD120" s="11" t="s">
        <v>192</v>
      </c>
    </row>
    <row r="121" spans="1:30" x14ac:dyDescent="0.3">
      <c r="A121" s="11" t="s">
        <v>531</v>
      </c>
      <c r="B121" s="11">
        <v>10503</v>
      </c>
      <c r="C121" s="11">
        <v>2</v>
      </c>
      <c r="D121" s="11" t="s">
        <v>322</v>
      </c>
      <c r="E121" s="11" t="s">
        <v>205</v>
      </c>
      <c r="F121" s="11" t="s">
        <v>206</v>
      </c>
      <c r="G121" s="11">
        <v>81</v>
      </c>
      <c r="H121" s="11" t="s">
        <v>201</v>
      </c>
      <c r="I121" s="11">
        <v>86</v>
      </c>
      <c r="J121" s="11" t="s">
        <v>201</v>
      </c>
      <c r="K121" s="11">
        <v>76</v>
      </c>
      <c r="L121" s="11" t="s">
        <v>201</v>
      </c>
      <c r="M121" s="11">
        <v>0</v>
      </c>
      <c r="N121" s="11" t="s">
        <v>188</v>
      </c>
      <c r="O121" s="11">
        <v>1</v>
      </c>
      <c r="P121" s="11" t="s">
        <v>197</v>
      </c>
      <c r="Q121" s="11">
        <v>0</v>
      </c>
      <c r="R121" s="11" t="s">
        <v>203</v>
      </c>
      <c r="S121" s="11">
        <v>37</v>
      </c>
      <c r="T121" s="11" t="s">
        <v>187</v>
      </c>
      <c r="U121" s="11">
        <v>37</v>
      </c>
      <c r="V121" s="11" t="s">
        <v>187</v>
      </c>
      <c r="W121" s="11">
        <v>33</v>
      </c>
      <c r="X121" s="11" t="s">
        <v>187</v>
      </c>
      <c r="Y121" s="11">
        <v>36</v>
      </c>
      <c r="Z121" s="11" t="s">
        <v>187</v>
      </c>
      <c r="AA121" s="11">
        <v>32</v>
      </c>
      <c r="AB121" s="11" t="s">
        <v>187</v>
      </c>
      <c r="AC121" s="11">
        <v>36</v>
      </c>
      <c r="AD121" s="11" t="s">
        <v>187</v>
      </c>
    </row>
    <row r="122" spans="1:30" x14ac:dyDescent="0.3">
      <c r="A122" s="11" t="s">
        <v>531</v>
      </c>
      <c r="B122" s="11">
        <v>10504</v>
      </c>
      <c r="C122" s="11">
        <v>2</v>
      </c>
      <c r="D122" s="11" t="s">
        <v>323</v>
      </c>
      <c r="E122" s="11" t="s">
        <v>184</v>
      </c>
      <c r="F122" s="11" t="s">
        <v>185</v>
      </c>
      <c r="G122" s="11">
        <v>23</v>
      </c>
      <c r="H122" s="11" t="s">
        <v>186</v>
      </c>
      <c r="I122" s="11">
        <v>23</v>
      </c>
      <c r="J122" s="11" t="s">
        <v>186</v>
      </c>
      <c r="K122" s="11">
        <v>45</v>
      </c>
      <c r="L122" s="11" t="s">
        <v>187</v>
      </c>
      <c r="M122" s="11">
        <v>0</v>
      </c>
      <c r="N122" s="11" t="s">
        <v>188</v>
      </c>
      <c r="O122" s="11">
        <v>3</v>
      </c>
      <c r="P122" s="11" t="s">
        <v>189</v>
      </c>
      <c r="Q122" s="11">
        <v>3</v>
      </c>
      <c r="R122" s="11" t="s">
        <v>190</v>
      </c>
      <c r="S122" s="11">
        <v>37</v>
      </c>
      <c r="T122" s="11" t="s">
        <v>187</v>
      </c>
      <c r="U122" s="11">
        <v>58</v>
      </c>
      <c r="V122" s="11" t="s">
        <v>191</v>
      </c>
      <c r="W122" s="11">
        <v>45</v>
      </c>
      <c r="X122" s="11" t="s">
        <v>191</v>
      </c>
      <c r="Y122" s="11">
        <v>48</v>
      </c>
      <c r="Z122" s="11" t="s">
        <v>191</v>
      </c>
      <c r="AA122" s="11">
        <v>32</v>
      </c>
      <c r="AB122" s="11" t="s">
        <v>187</v>
      </c>
      <c r="AC122" s="11">
        <v>62</v>
      </c>
      <c r="AD122" s="11" t="s">
        <v>192</v>
      </c>
    </row>
    <row r="123" spans="1:30" x14ac:dyDescent="0.3">
      <c r="A123" s="11" t="s">
        <v>531</v>
      </c>
      <c r="B123" s="11">
        <v>10505</v>
      </c>
      <c r="C123" s="11">
        <v>2</v>
      </c>
      <c r="D123" s="11" t="s">
        <v>324</v>
      </c>
      <c r="E123" s="11" t="s">
        <v>194</v>
      </c>
      <c r="F123" s="11" t="s">
        <v>195</v>
      </c>
      <c r="G123" s="11">
        <v>32</v>
      </c>
      <c r="H123" s="11" t="s">
        <v>196</v>
      </c>
      <c r="I123" s="11">
        <v>31</v>
      </c>
      <c r="J123" s="11" t="s">
        <v>196</v>
      </c>
      <c r="K123" s="11">
        <v>26</v>
      </c>
      <c r="L123" s="11" t="s">
        <v>186</v>
      </c>
      <c r="M123" s="11">
        <v>0</v>
      </c>
      <c r="N123" s="11" t="s">
        <v>188</v>
      </c>
      <c r="O123" s="11">
        <v>1</v>
      </c>
      <c r="P123" s="11" t="s">
        <v>197</v>
      </c>
      <c r="Q123" s="11">
        <v>3</v>
      </c>
      <c r="R123" s="11" t="s">
        <v>190</v>
      </c>
      <c r="S123" s="11">
        <v>37</v>
      </c>
      <c r="T123" s="11" t="s">
        <v>187</v>
      </c>
      <c r="U123" s="11">
        <v>37</v>
      </c>
      <c r="V123" s="11" t="s">
        <v>187</v>
      </c>
      <c r="W123" s="11">
        <v>33</v>
      </c>
      <c r="X123" s="11" t="s">
        <v>187</v>
      </c>
      <c r="Y123" s="11">
        <v>36</v>
      </c>
      <c r="Z123" s="11" t="s">
        <v>187</v>
      </c>
      <c r="AA123" s="11">
        <v>32</v>
      </c>
      <c r="AB123" s="11" t="s">
        <v>187</v>
      </c>
      <c r="AC123" s="11">
        <v>36</v>
      </c>
      <c r="AD123" s="11" t="s">
        <v>187</v>
      </c>
    </row>
    <row r="124" spans="1:30" x14ac:dyDescent="0.3">
      <c r="A124" s="11" t="s">
        <v>531</v>
      </c>
      <c r="B124" s="11">
        <v>10506</v>
      </c>
      <c r="C124" s="11">
        <v>2</v>
      </c>
      <c r="D124" s="11" t="s">
        <v>325</v>
      </c>
      <c r="E124" s="11" t="s">
        <v>199</v>
      </c>
      <c r="F124" s="11" t="s">
        <v>200</v>
      </c>
      <c r="G124" s="11">
        <v>77</v>
      </c>
      <c r="H124" s="11" t="s">
        <v>201</v>
      </c>
      <c r="I124" s="11">
        <v>65</v>
      </c>
      <c r="J124" s="11" t="s">
        <v>202</v>
      </c>
      <c r="K124" s="11">
        <v>76</v>
      </c>
      <c r="L124" s="11" t="s">
        <v>201</v>
      </c>
      <c r="M124" s="11">
        <v>0</v>
      </c>
      <c r="N124" s="11" t="s">
        <v>188</v>
      </c>
      <c r="O124" s="11">
        <v>5</v>
      </c>
      <c r="P124" s="11" t="s">
        <v>189</v>
      </c>
      <c r="Q124" s="11">
        <v>0</v>
      </c>
      <c r="R124" s="11" t="s">
        <v>203</v>
      </c>
      <c r="S124" s="11">
        <v>85</v>
      </c>
      <c r="T124" s="11" t="s">
        <v>192</v>
      </c>
      <c r="U124" s="11">
        <v>79</v>
      </c>
      <c r="V124" s="11" t="s">
        <v>192</v>
      </c>
      <c r="W124" s="11">
        <v>81</v>
      </c>
      <c r="X124" s="11" t="s">
        <v>192</v>
      </c>
      <c r="Y124" s="11">
        <v>85</v>
      </c>
      <c r="Z124" s="11" t="s">
        <v>192</v>
      </c>
      <c r="AA124" s="11">
        <v>80</v>
      </c>
      <c r="AB124" s="11" t="s">
        <v>192</v>
      </c>
      <c r="AC124" s="11">
        <v>87</v>
      </c>
      <c r="AD124" s="11" t="s">
        <v>192</v>
      </c>
    </row>
    <row r="125" spans="1:30" x14ac:dyDescent="0.3">
      <c r="A125" s="11" t="s">
        <v>531</v>
      </c>
      <c r="B125" s="11">
        <v>10507</v>
      </c>
      <c r="C125" s="11">
        <v>2</v>
      </c>
      <c r="D125" s="11" t="s">
        <v>204</v>
      </c>
      <c r="E125" s="11" t="s">
        <v>205</v>
      </c>
      <c r="F125" s="11" t="s">
        <v>206</v>
      </c>
      <c r="G125" s="11">
        <v>81</v>
      </c>
      <c r="H125" s="11" t="s">
        <v>201</v>
      </c>
      <c r="I125" s="11">
        <v>86</v>
      </c>
      <c r="J125" s="11" t="s">
        <v>201</v>
      </c>
      <c r="K125" s="11">
        <v>76</v>
      </c>
      <c r="L125" s="11" t="s">
        <v>201</v>
      </c>
      <c r="M125" s="11">
        <v>0</v>
      </c>
      <c r="N125" s="11" t="s">
        <v>188</v>
      </c>
      <c r="O125" s="11">
        <v>1</v>
      </c>
      <c r="P125" s="11" t="s">
        <v>197</v>
      </c>
      <c r="Q125" s="11">
        <v>0</v>
      </c>
      <c r="R125" s="11" t="s">
        <v>203</v>
      </c>
      <c r="S125" s="11">
        <v>37</v>
      </c>
      <c r="T125" s="11" t="s">
        <v>187</v>
      </c>
      <c r="U125" s="11">
        <v>37</v>
      </c>
      <c r="V125" s="11" t="s">
        <v>187</v>
      </c>
      <c r="W125" s="11">
        <v>33</v>
      </c>
      <c r="X125" s="11" t="s">
        <v>187</v>
      </c>
      <c r="Y125" s="11">
        <v>36</v>
      </c>
      <c r="Z125" s="11" t="s">
        <v>187</v>
      </c>
      <c r="AA125" s="11">
        <v>32</v>
      </c>
      <c r="AB125" s="11" t="s">
        <v>187</v>
      </c>
      <c r="AC125" s="11">
        <v>36</v>
      </c>
      <c r="AD125" s="11" t="s">
        <v>187</v>
      </c>
    </row>
    <row r="126" spans="1:30" x14ac:dyDescent="0.3">
      <c r="A126" s="11" t="s">
        <v>531</v>
      </c>
      <c r="B126" s="11">
        <v>10508</v>
      </c>
      <c r="C126" s="11">
        <v>2</v>
      </c>
      <c r="D126" s="11" t="s">
        <v>326</v>
      </c>
      <c r="E126" s="11" t="s">
        <v>184</v>
      </c>
      <c r="F126" s="11" t="s">
        <v>185</v>
      </c>
      <c r="G126" s="11">
        <v>23</v>
      </c>
      <c r="H126" s="11" t="s">
        <v>186</v>
      </c>
      <c r="I126" s="11">
        <v>23</v>
      </c>
      <c r="J126" s="11" t="s">
        <v>186</v>
      </c>
      <c r="K126" s="11">
        <v>45</v>
      </c>
      <c r="L126" s="11" t="s">
        <v>187</v>
      </c>
      <c r="M126" s="11">
        <v>0</v>
      </c>
      <c r="N126" s="11" t="s">
        <v>188</v>
      </c>
      <c r="O126" s="11">
        <v>3</v>
      </c>
      <c r="P126" s="11" t="s">
        <v>189</v>
      </c>
      <c r="Q126" s="11">
        <v>3</v>
      </c>
      <c r="R126" s="11" t="s">
        <v>190</v>
      </c>
      <c r="S126" s="11">
        <v>37</v>
      </c>
      <c r="T126" s="11" t="s">
        <v>187</v>
      </c>
      <c r="U126" s="11">
        <v>58</v>
      </c>
      <c r="V126" s="11" t="s">
        <v>191</v>
      </c>
      <c r="W126" s="11">
        <v>45</v>
      </c>
      <c r="X126" s="11" t="s">
        <v>191</v>
      </c>
      <c r="Y126" s="11">
        <v>48</v>
      </c>
      <c r="Z126" s="11" t="s">
        <v>191</v>
      </c>
      <c r="AA126" s="11">
        <v>32</v>
      </c>
      <c r="AB126" s="11" t="s">
        <v>187</v>
      </c>
      <c r="AC126" s="11">
        <v>62</v>
      </c>
      <c r="AD126" s="11" t="s">
        <v>192</v>
      </c>
    </row>
    <row r="127" spans="1:30" x14ac:dyDescent="0.3">
      <c r="A127" s="11" t="s">
        <v>531</v>
      </c>
      <c r="B127" s="11">
        <v>10509</v>
      </c>
      <c r="C127" s="11">
        <v>2</v>
      </c>
      <c r="D127" s="11" t="s">
        <v>327</v>
      </c>
      <c r="E127" s="11" t="s">
        <v>194</v>
      </c>
      <c r="F127" s="11" t="s">
        <v>195</v>
      </c>
      <c r="G127" s="11">
        <v>32</v>
      </c>
      <c r="H127" s="11" t="s">
        <v>196</v>
      </c>
      <c r="I127" s="11">
        <v>31</v>
      </c>
      <c r="J127" s="11" t="s">
        <v>196</v>
      </c>
      <c r="K127" s="11">
        <v>26</v>
      </c>
      <c r="L127" s="11" t="s">
        <v>186</v>
      </c>
      <c r="M127" s="11">
        <v>0</v>
      </c>
      <c r="N127" s="11" t="s">
        <v>188</v>
      </c>
      <c r="O127" s="11">
        <v>1</v>
      </c>
      <c r="P127" s="11" t="s">
        <v>197</v>
      </c>
      <c r="Q127" s="11">
        <v>3</v>
      </c>
      <c r="R127" s="11" t="s">
        <v>190</v>
      </c>
      <c r="S127" s="11">
        <v>37</v>
      </c>
      <c r="T127" s="11" t="s">
        <v>187</v>
      </c>
      <c r="U127" s="11">
        <v>37</v>
      </c>
      <c r="V127" s="11" t="s">
        <v>187</v>
      </c>
      <c r="W127" s="11">
        <v>33</v>
      </c>
      <c r="X127" s="11" t="s">
        <v>187</v>
      </c>
      <c r="Y127" s="11">
        <v>36</v>
      </c>
      <c r="Z127" s="11" t="s">
        <v>187</v>
      </c>
      <c r="AA127" s="11">
        <v>32</v>
      </c>
      <c r="AB127" s="11" t="s">
        <v>187</v>
      </c>
      <c r="AC127" s="11">
        <v>36</v>
      </c>
      <c r="AD127" s="11" t="s">
        <v>187</v>
      </c>
    </row>
    <row r="128" spans="1:30" x14ac:dyDescent="0.3">
      <c r="A128" s="11" t="s">
        <v>531</v>
      </c>
      <c r="B128" s="11">
        <v>10510</v>
      </c>
      <c r="C128" s="11">
        <v>2</v>
      </c>
      <c r="D128" s="11" t="s">
        <v>328</v>
      </c>
      <c r="E128" s="11" t="s">
        <v>199</v>
      </c>
      <c r="F128" s="11" t="s">
        <v>200</v>
      </c>
      <c r="G128" s="11">
        <v>77</v>
      </c>
      <c r="H128" s="11" t="s">
        <v>201</v>
      </c>
      <c r="I128" s="11">
        <v>65</v>
      </c>
      <c r="J128" s="11" t="s">
        <v>202</v>
      </c>
      <c r="K128" s="11">
        <v>76</v>
      </c>
      <c r="L128" s="11" t="s">
        <v>201</v>
      </c>
      <c r="M128" s="11">
        <v>0</v>
      </c>
      <c r="N128" s="11" t="s">
        <v>188</v>
      </c>
      <c r="O128" s="11">
        <v>5</v>
      </c>
      <c r="P128" s="11" t="s">
        <v>189</v>
      </c>
      <c r="Q128" s="11">
        <v>0</v>
      </c>
      <c r="R128" s="11" t="s">
        <v>203</v>
      </c>
      <c r="S128" s="11">
        <v>85</v>
      </c>
      <c r="T128" s="11" t="s">
        <v>192</v>
      </c>
      <c r="U128" s="11">
        <v>79</v>
      </c>
      <c r="V128" s="11" t="s">
        <v>192</v>
      </c>
      <c r="W128" s="11">
        <v>81</v>
      </c>
      <c r="X128" s="11" t="s">
        <v>192</v>
      </c>
      <c r="Y128" s="11">
        <v>85</v>
      </c>
      <c r="Z128" s="11" t="s">
        <v>192</v>
      </c>
      <c r="AA128" s="11">
        <v>80</v>
      </c>
      <c r="AB128" s="11" t="s">
        <v>192</v>
      </c>
      <c r="AC128" s="11">
        <v>87</v>
      </c>
      <c r="AD128" s="11" t="s">
        <v>192</v>
      </c>
    </row>
    <row r="129" spans="1:30" x14ac:dyDescent="0.3">
      <c r="A129" s="11" t="s">
        <v>531</v>
      </c>
      <c r="B129" s="11">
        <v>10511</v>
      </c>
      <c r="C129" s="11">
        <v>2</v>
      </c>
      <c r="D129" s="11" t="s">
        <v>329</v>
      </c>
      <c r="E129" s="11" t="s">
        <v>205</v>
      </c>
      <c r="F129" s="11" t="s">
        <v>206</v>
      </c>
      <c r="G129" s="11">
        <v>81</v>
      </c>
      <c r="H129" s="11" t="s">
        <v>201</v>
      </c>
      <c r="I129" s="11">
        <v>86</v>
      </c>
      <c r="J129" s="11" t="s">
        <v>201</v>
      </c>
      <c r="K129" s="11">
        <v>76</v>
      </c>
      <c r="L129" s="11" t="s">
        <v>201</v>
      </c>
      <c r="M129" s="11">
        <v>0</v>
      </c>
      <c r="N129" s="11" t="s">
        <v>188</v>
      </c>
      <c r="O129" s="11">
        <v>1</v>
      </c>
      <c r="P129" s="11" t="s">
        <v>197</v>
      </c>
      <c r="Q129" s="11">
        <v>0</v>
      </c>
      <c r="R129" s="11" t="s">
        <v>203</v>
      </c>
      <c r="S129" s="11">
        <v>37</v>
      </c>
      <c r="T129" s="11" t="s">
        <v>187</v>
      </c>
      <c r="U129" s="11">
        <v>37</v>
      </c>
      <c r="V129" s="11" t="s">
        <v>187</v>
      </c>
      <c r="W129" s="11">
        <v>33</v>
      </c>
      <c r="X129" s="11" t="s">
        <v>187</v>
      </c>
      <c r="Y129" s="11">
        <v>36</v>
      </c>
      <c r="Z129" s="11" t="s">
        <v>187</v>
      </c>
      <c r="AA129" s="11">
        <v>32</v>
      </c>
      <c r="AB129" s="11" t="s">
        <v>187</v>
      </c>
      <c r="AC129" s="11">
        <v>36</v>
      </c>
      <c r="AD129" s="11" t="s">
        <v>187</v>
      </c>
    </row>
    <row r="130" spans="1:30" x14ac:dyDescent="0.3">
      <c r="A130" s="11" t="s">
        <v>531</v>
      </c>
      <c r="B130" s="11">
        <v>10512</v>
      </c>
      <c r="C130" s="11">
        <v>2</v>
      </c>
      <c r="D130" s="11" t="s">
        <v>330</v>
      </c>
      <c r="E130" s="11" t="s">
        <v>184</v>
      </c>
      <c r="F130" s="11" t="s">
        <v>185</v>
      </c>
      <c r="G130" s="11">
        <v>23</v>
      </c>
      <c r="H130" s="11" t="s">
        <v>186</v>
      </c>
      <c r="I130" s="11">
        <v>23</v>
      </c>
      <c r="J130" s="11" t="s">
        <v>186</v>
      </c>
      <c r="K130" s="11">
        <v>45</v>
      </c>
      <c r="L130" s="11" t="s">
        <v>187</v>
      </c>
      <c r="M130" s="11">
        <v>0</v>
      </c>
      <c r="N130" s="11" t="s">
        <v>188</v>
      </c>
      <c r="O130" s="11">
        <v>3</v>
      </c>
      <c r="P130" s="11" t="s">
        <v>189</v>
      </c>
      <c r="Q130" s="11">
        <v>3</v>
      </c>
      <c r="R130" s="11" t="s">
        <v>190</v>
      </c>
      <c r="S130" s="11">
        <v>37</v>
      </c>
      <c r="T130" s="11" t="s">
        <v>187</v>
      </c>
      <c r="U130" s="11">
        <v>58</v>
      </c>
      <c r="V130" s="11" t="s">
        <v>191</v>
      </c>
      <c r="W130" s="11">
        <v>45</v>
      </c>
      <c r="X130" s="11" t="s">
        <v>191</v>
      </c>
      <c r="Y130" s="11">
        <v>48</v>
      </c>
      <c r="Z130" s="11" t="s">
        <v>191</v>
      </c>
      <c r="AA130" s="11">
        <v>32</v>
      </c>
      <c r="AB130" s="11" t="s">
        <v>187</v>
      </c>
      <c r="AC130" s="11">
        <v>62</v>
      </c>
      <c r="AD130" s="11" t="s">
        <v>192</v>
      </c>
    </row>
    <row r="131" spans="1:30" x14ac:dyDescent="0.3">
      <c r="A131" s="11" t="s">
        <v>531</v>
      </c>
      <c r="B131" s="11">
        <v>10513</v>
      </c>
      <c r="C131" s="11">
        <v>2</v>
      </c>
      <c r="D131" s="11" t="s">
        <v>331</v>
      </c>
      <c r="E131" s="11" t="s">
        <v>194</v>
      </c>
      <c r="F131" s="11" t="s">
        <v>195</v>
      </c>
      <c r="G131" s="11">
        <v>32</v>
      </c>
      <c r="H131" s="11" t="s">
        <v>196</v>
      </c>
      <c r="I131" s="11">
        <v>31</v>
      </c>
      <c r="J131" s="11" t="s">
        <v>196</v>
      </c>
      <c r="K131" s="11">
        <v>26</v>
      </c>
      <c r="L131" s="11" t="s">
        <v>186</v>
      </c>
      <c r="M131" s="11">
        <v>0</v>
      </c>
      <c r="N131" s="11" t="s">
        <v>188</v>
      </c>
      <c r="O131" s="11">
        <v>1</v>
      </c>
      <c r="P131" s="11" t="s">
        <v>197</v>
      </c>
      <c r="Q131" s="11">
        <v>3</v>
      </c>
      <c r="R131" s="11" t="s">
        <v>190</v>
      </c>
      <c r="S131" s="11">
        <v>37</v>
      </c>
      <c r="T131" s="11" t="s">
        <v>187</v>
      </c>
      <c r="U131" s="11">
        <v>37</v>
      </c>
      <c r="V131" s="11" t="s">
        <v>187</v>
      </c>
      <c r="W131" s="11">
        <v>33</v>
      </c>
      <c r="X131" s="11" t="s">
        <v>187</v>
      </c>
      <c r="Y131" s="11">
        <v>36</v>
      </c>
      <c r="Z131" s="11" t="s">
        <v>187</v>
      </c>
      <c r="AA131" s="11">
        <v>32</v>
      </c>
      <c r="AB131" s="11" t="s">
        <v>187</v>
      </c>
      <c r="AC131" s="11">
        <v>36</v>
      </c>
      <c r="AD131" s="11" t="s">
        <v>187</v>
      </c>
    </row>
    <row r="132" spans="1:30" x14ac:dyDescent="0.3">
      <c r="A132" s="11" t="s">
        <v>531</v>
      </c>
      <c r="B132" s="11">
        <v>10514</v>
      </c>
      <c r="C132" s="11">
        <v>2</v>
      </c>
      <c r="D132" s="11" t="s">
        <v>332</v>
      </c>
      <c r="E132" s="11" t="s">
        <v>199</v>
      </c>
      <c r="F132" s="11" t="s">
        <v>200</v>
      </c>
      <c r="G132" s="11">
        <v>77</v>
      </c>
      <c r="H132" s="11" t="s">
        <v>201</v>
      </c>
      <c r="I132" s="11">
        <v>65</v>
      </c>
      <c r="J132" s="11" t="s">
        <v>202</v>
      </c>
      <c r="K132" s="11">
        <v>76</v>
      </c>
      <c r="L132" s="11" t="s">
        <v>201</v>
      </c>
      <c r="M132" s="11">
        <v>0</v>
      </c>
      <c r="N132" s="11" t="s">
        <v>188</v>
      </c>
      <c r="O132" s="11">
        <v>5</v>
      </c>
      <c r="P132" s="11" t="s">
        <v>189</v>
      </c>
      <c r="Q132" s="11">
        <v>0</v>
      </c>
      <c r="R132" s="11" t="s">
        <v>203</v>
      </c>
      <c r="S132" s="11">
        <v>85</v>
      </c>
      <c r="T132" s="11" t="s">
        <v>192</v>
      </c>
      <c r="U132" s="11">
        <v>79</v>
      </c>
      <c r="V132" s="11" t="s">
        <v>192</v>
      </c>
      <c r="W132" s="11">
        <v>81</v>
      </c>
      <c r="X132" s="11" t="s">
        <v>192</v>
      </c>
      <c r="Y132" s="11">
        <v>85</v>
      </c>
      <c r="Z132" s="11" t="s">
        <v>192</v>
      </c>
      <c r="AA132" s="11">
        <v>80</v>
      </c>
      <c r="AB132" s="11" t="s">
        <v>192</v>
      </c>
      <c r="AC132" s="11">
        <v>87</v>
      </c>
      <c r="AD132" s="11" t="s">
        <v>192</v>
      </c>
    </row>
    <row r="133" spans="1:30" x14ac:dyDescent="0.3">
      <c r="A133" s="11" t="s">
        <v>531</v>
      </c>
      <c r="B133" s="11">
        <v>10515</v>
      </c>
      <c r="C133" s="11">
        <v>1</v>
      </c>
      <c r="D133" s="11" t="s">
        <v>333</v>
      </c>
      <c r="E133" s="11" t="s">
        <v>205</v>
      </c>
      <c r="F133" s="11" t="s">
        <v>206</v>
      </c>
      <c r="G133" s="11">
        <v>81</v>
      </c>
      <c r="H133" s="11" t="s">
        <v>201</v>
      </c>
      <c r="I133" s="11">
        <v>86</v>
      </c>
      <c r="J133" s="11" t="s">
        <v>201</v>
      </c>
      <c r="K133" s="11">
        <v>76</v>
      </c>
      <c r="L133" s="11" t="s">
        <v>201</v>
      </c>
      <c r="M133" s="11">
        <v>0</v>
      </c>
      <c r="N133" s="11" t="s">
        <v>188</v>
      </c>
      <c r="O133" s="11">
        <v>1</v>
      </c>
      <c r="P133" s="11" t="s">
        <v>197</v>
      </c>
      <c r="Q133" s="11">
        <v>0</v>
      </c>
      <c r="R133" s="11" t="s">
        <v>203</v>
      </c>
      <c r="S133" s="11">
        <v>37</v>
      </c>
      <c r="T133" s="11" t="s">
        <v>187</v>
      </c>
      <c r="U133" s="11">
        <v>37</v>
      </c>
      <c r="V133" s="11" t="s">
        <v>187</v>
      </c>
      <c r="W133" s="11">
        <v>33</v>
      </c>
      <c r="X133" s="11" t="s">
        <v>187</v>
      </c>
      <c r="Y133" s="11">
        <v>36</v>
      </c>
      <c r="Z133" s="11" t="s">
        <v>187</v>
      </c>
      <c r="AA133" s="11">
        <v>32</v>
      </c>
      <c r="AB133" s="11" t="s">
        <v>187</v>
      </c>
      <c r="AC133" s="11">
        <v>36</v>
      </c>
      <c r="AD133" s="11" t="s">
        <v>187</v>
      </c>
    </row>
    <row r="134" spans="1:30" x14ac:dyDescent="0.3">
      <c r="A134" s="11" t="s">
        <v>531</v>
      </c>
      <c r="B134" s="11">
        <v>10516</v>
      </c>
      <c r="C134" s="11">
        <v>1</v>
      </c>
      <c r="D134" s="11" t="s">
        <v>334</v>
      </c>
      <c r="E134" s="11" t="s">
        <v>184</v>
      </c>
      <c r="F134" s="11" t="s">
        <v>185</v>
      </c>
      <c r="G134" s="11">
        <v>23</v>
      </c>
      <c r="H134" s="11" t="s">
        <v>186</v>
      </c>
      <c r="I134" s="11">
        <v>23</v>
      </c>
      <c r="J134" s="11" t="s">
        <v>186</v>
      </c>
      <c r="K134" s="11">
        <v>45</v>
      </c>
      <c r="L134" s="11" t="s">
        <v>187</v>
      </c>
      <c r="M134" s="11">
        <v>0</v>
      </c>
      <c r="N134" s="11" t="s">
        <v>188</v>
      </c>
      <c r="O134" s="11">
        <v>3</v>
      </c>
      <c r="P134" s="11" t="s">
        <v>189</v>
      </c>
      <c r="Q134" s="11">
        <v>3</v>
      </c>
      <c r="R134" s="11" t="s">
        <v>190</v>
      </c>
      <c r="S134" s="11">
        <v>37</v>
      </c>
      <c r="T134" s="11" t="s">
        <v>187</v>
      </c>
      <c r="U134" s="11">
        <v>58</v>
      </c>
      <c r="V134" s="11" t="s">
        <v>191</v>
      </c>
      <c r="W134" s="11">
        <v>45</v>
      </c>
      <c r="X134" s="11" t="s">
        <v>191</v>
      </c>
      <c r="Y134" s="11">
        <v>48</v>
      </c>
      <c r="Z134" s="11" t="s">
        <v>191</v>
      </c>
      <c r="AA134" s="11">
        <v>32</v>
      </c>
      <c r="AB134" s="11" t="s">
        <v>187</v>
      </c>
      <c r="AC134" s="11">
        <v>62</v>
      </c>
      <c r="AD134" s="11" t="s">
        <v>192</v>
      </c>
    </row>
    <row r="135" spans="1:30" x14ac:dyDescent="0.3">
      <c r="A135" s="11" t="s">
        <v>531</v>
      </c>
      <c r="B135" s="11">
        <v>10517</v>
      </c>
      <c r="C135" s="11">
        <v>1</v>
      </c>
      <c r="D135" s="11" t="s">
        <v>335</v>
      </c>
      <c r="E135" s="11" t="s">
        <v>194</v>
      </c>
      <c r="F135" s="11" t="s">
        <v>195</v>
      </c>
      <c r="G135" s="11">
        <v>32</v>
      </c>
      <c r="H135" s="11" t="s">
        <v>196</v>
      </c>
      <c r="I135" s="11">
        <v>31</v>
      </c>
      <c r="J135" s="11" t="s">
        <v>196</v>
      </c>
      <c r="K135" s="11">
        <v>26</v>
      </c>
      <c r="L135" s="11" t="s">
        <v>186</v>
      </c>
      <c r="M135" s="11">
        <v>0</v>
      </c>
      <c r="N135" s="11" t="s">
        <v>188</v>
      </c>
      <c r="O135" s="11">
        <v>1</v>
      </c>
      <c r="P135" s="11" t="s">
        <v>197</v>
      </c>
      <c r="Q135" s="11">
        <v>3</v>
      </c>
      <c r="R135" s="11" t="s">
        <v>190</v>
      </c>
      <c r="S135" s="11">
        <v>37</v>
      </c>
      <c r="T135" s="11" t="s">
        <v>187</v>
      </c>
      <c r="U135" s="11">
        <v>37</v>
      </c>
      <c r="V135" s="11" t="s">
        <v>187</v>
      </c>
      <c r="W135" s="11">
        <v>33</v>
      </c>
      <c r="X135" s="11" t="s">
        <v>187</v>
      </c>
      <c r="Y135" s="11">
        <v>36</v>
      </c>
      <c r="Z135" s="11" t="s">
        <v>187</v>
      </c>
      <c r="AA135" s="11">
        <v>32</v>
      </c>
      <c r="AB135" s="11" t="s">
        <v>187</v>
      </c>
      <c r="AC135" s="11">
        <v>36</v>
      </c>
      <c r="AD135" s="11" t="s">
        <v>187</v>
      </c>
    </row>
    <row r="136" spans="1:30" x14ac:dyDescent="0.3">
      <c r="A136" s="11" t="s">
        <v>531</v>
      </c>
      <c r="B136" s="11">
        <v>10518</v>
      </c>
      <c r="C136" s="11">
        <v>1</v>
      </c>
      <c r="D136" s="11" t="s">
        <v>336</v>
      </c>
      <c r="E136" s="11" t="s">
        <v>199</v>
      </c>
      <c r="F136" s="11" t="s">
        <v>200</v>
      </c>
      <c r="G136" s="11">
        <v>77</v>
      </c>
      <c r="H136" s="11" t="s">
        <v>201</v>
      </c>
      <c r="I136" s="11">
        <v>65</v>
      </c>
      <c r="J136" s="11" t="s">
        <v>202</v>
      </c>
      <c r="K136" s="11">
        <v>76</v>
      </c>
      <c r="L136" s="11" t="s">
        <v>201</v>
      </c>
      <c r="M136" s="11">
        <v>0</v>
      </c>
      <c r="N136" s="11" t="s">
        <v>188</v>
      </c>
      <c r="O136" s="11">
        <v>5</v>
      </c>
      <c r="P136" s="11" t="s">
        <v>189</v>
      </c>
      <c r="Q136" s="11">
        <v>0</v>
      </c>
      <c r="R136" s="11" t="s">
        <v>203</v>
      </c>
      <c r="S136" s="11">
        <v>85</v>
      </c>
      <c r="T136" s="11" t="s">
        <v>192</v>
      </c>
      <c r="U136" s="11">
        <v>79</v>
      </c>
      <c r="V136" s="11" t="s">
        <v>192</v>
      </c>
      <c r="W136" s="11">
        <v>81</v>
      </c>
      <c r="X136" s="11" t="s">
        <v>192</v>
      </c>
      <c r="Y136" s="11">
        <v>85</v>
      </c>
      <c r="Z136" s="11" t="s">
        <v>192</v>
      </c>
      <c r="AA136" s="11">
        <v>80</v>
      </c>
      <c r="AB136" s="11" t="s">
        <v>192</v>
      </c>
      <c r="AC136" s="11">
        <v>87</v>
      </c>
      <c r="AD136" s="11" t="s">
        <v>192</v>
      </c>
    </row>
    <row r="137" spans="1:30" x14ac:dyDescent="0.3">
      <c r="A137" s="11" t="s">
        <v>531</v>
      </c>
      <c r="B137" s="11">
        <v>10519</v>
      </c>
      <c r="C137" s="11">
        <v>1</v>
      </c>
      <c r="D137" s="11" t="s">
        <v>337</v>
      </c>
      <c r="E137" s="11" t="s">
        <v>205</v>
      </c>
      <c r="F137" s="11" t="s">
        <v>206</v>
      </c>
      <c r="G137" s="11">
        <v>81</v>
      </c>
      <c r="H137" s="11" t="s">
        <v>201</v>
      </c>
      <c r="I137" s="11">
        <v>86</v>
      </c>
      <c r="J137" s="11" t="s">
        <v>201</v>
      </c>
      <c r="K137" s="11">
        <v>76</v>
      </c>
      <c r="L137" s="11" t="s">
        <v>201</v>
      </c>
      <c r="M137" s="11">
        <v>0</v>
      </c>
      <c r="N137" s="11" t="s">
        <v>188</v>
      </c>
      <c r="O137" s="11">
        <v>1</v>
      </c>
      <c r="P137" s="11" t="s">
        <v>197</v>
      </c>
      <c r="Q137" s="11">
        <v>0</v>
      </c>
      <c r="R137" s="11" t="s">
        <v>203</v>
      </c>
      <c r="S137" s="11">
        <v>37</v>
      </c>
      <c r="T137" s="11" t="s">
        <v>187</v>
      </c>
      <c r="U137" s="11">
        <v>37</v>
      </c>
      <c r="V137" s="11" t="s">
        <v>187</v>
      </c>
      <c r="W137" s="11">
        <v>33</v>
      </c>
      <c r="X137" s="11" t="s">
        <v>187</v>
      </c>
      <c r="Y137" s="11">
        <v>36</v>
      </c>
      <c r="Z137" s="11" t="s">
        <v>187</v>
      </c>
      <c r="AA137" s="11">
        <v>32</v>
      </c>
      <c r="AB137" s="11" t="s">
        <v>187</v>
      </c>
      <c r="AC137" s="11">
        <v>36</v>
      </c>
      <c r="AD137" s="11" t="s">
        <v>187</v>
      </c>
    </row>
    <row r="138" spans="1:30" x14ac:dyDescent="0.3">
      <c r="A138" s="11" t="s">
        <v>531</v>
      </c>
      <c r="B138" s="11">
        <v>10520</v>
      </c>
      <c r="C138" s="11">
        <v>1</v>
      </c>
      <c r="D138" s="11" t="s">
        <v>338</v>
      </c>
      <c r="E138" s="11" t="s">
        <v>184</v>
      </c>
      <c r="F138" s="11" t="s">
        <v>185</v>
      </c>
      <c r="G138" s="11">
        <v>23</v>
      </c>
      <c r="H138" s="11" t="s">
        <v>186</v>
      </c>
      <c r="I138" s="11">
        <v>23</v>
      </c>
      <c r="J138" s="11" t="s">
        <v>186</v>
      </c>
      <c r="K138" s="11">
        <v>45</v>
      </c>
      <c r="L138" s="11" t="s">
        <v>187</v>
      </c>
      <c r="M138" s="11">
        <v>0</v>
      </c>
      <c r="N138" s="11" t="s">
        <v>188</v>
      </c>
      <c r="O138" s="11">
        <v>3</v>
      </c>
      <c r="P138" s="11" t="s">
        <v>189</v>
      </c>
      <c r="Q138" s="11">
        <v>3</v>
      </c>
      <c r="R138" s="11" t="s">
        <v>190</v>
      </c>
      <c r="S138" s="11">
        <v>37</v>
      </c>
      <c r="T138" s="11" t="s">
        <v>187</v>
      </c>
      <c r="U138" s="11">
        <v>58</v>
      </c>
      <c r="V138" s="11" t="s">
        <v>191</v>
      </c>
      <c r="W138" s="11">
        <v>45</v>
      </c>
      <c r="X138" s="11" t="s">
        <v>191</v>
      </c>
      <c r="Y138" s="11">
        <v>48</v>
      </c>
      <c r="Z138" s="11" t="s">
        <v>191</v>
      </c>
      <c r="AA138" s="11">
        <v>32</v>
      </c>
      <c r="AB138" s="11" t="s">
        <v>187</v>
      </c>
      <c r="AC138" s="11">
        <v>62</v>
      </c>
      <c r="AD138" s="11" t="s">
        <v>192</v>
      </c>
    </row>
    <row r="139" spans="1:30" x14ac:dyDescent="0.3">
      <c r="A139" s="11" t="s">
        <v>531</v>
      </c>
      <c r="B139" s="11">
        <v>10521</v>
      </c>
      <c r="C139" s="11">
        <v>1</v>
      </c>
      <c r="D139" s="11" t="s">
        <v>339</v>
      </c>
      <c r="E139" s="11" t="s">
        <v>194</v>
      </c>
      <c r="F139" s="11" t="s">
        <v>195</v>
      </c>
      <c r="G139" s="11">
        <v>32</v>
      </c>
      <c r="H139" s="11" t="s">
        <v>196</v>
      </c>
      <c r="I139" s="11">
        <v>31</v>
      </c>
      <c r="J139" s="11" t="s">
        <v>196</v>
      </c>
      <c r="K139" s="11">
        <v>26</v>
      </c>
      <c r="L139" s="11" t="s">
        <v>186</v>
      </c>
      <c r="M139" s="11">
        <v>0</v>
      </c>
      <c r="N139" s="11" t="s">
        <v>188</v>
      </c>
      <c r="O139" s="11">
        <v>1</v>
      </c>
      <c r="P139" s="11" t="s">
        <v>197</v>
      </c>
      <c r="Q139" s="11">
        <v>3</v>
      </c>
      <c r="R139" s="11" t="s">
        <v>190</v>
      </c>
      <c r="S139" s="11">
        <v>37</v>
      </c>
      <c r="T139" s="11" t="s">
        <v>187</v>
      </c>
      <c r="U139" s="11">
        <v>37</v>
      </c>
      <c r="V139" s="11" t="s">
        <v>187</v>
      </c>
      <c r="W139" s="11">
        <v>33</v>
      </c>
      <c r="X139" s="11" t="s">
        <v>187</v>
      </c>
      <c r="Y139" s="11">
        <v>36</v>
      </c>
      <c r="Z139" s="11" t="s">
        <v>187</v>
      </c>
      <c r="AA139" s="11">
        <v>32</v>
      </c>
      <c r="AB139" s="11" t="s">
        <v>187</v>
      </c>
      <c r="AC139" s="11">
        <v>36</v>
      </c>
      <c r="AD139" s="11" t="s">
        <v>187</v>
      </c>
    </row>
    <row r="140" spans="1:30" x14ac:dyDescent="0.3">
      <c r="A140" s="11" t="s">
        <v>531</v>
      </c>
      <c r="B140" s="11">
        <v>10522</v>
      </c>
      <c r="C140" s="11">
        <v>1</v>
      </c>
      <c r="D140" s="11" t="s">
        <v>340</v>
      </c>
      <c r="E140" s="11" t="s">
        <v>199</v>
      </c>
      <c r="F140" s="11" t="s">
        <v>200</v>
      </c>
      <c r="G140" s="11">
        <v>77</v>
      </c>
      <c r="H140" s="11" t="s">
        <v>201</v>
      </c>
      <c r="I140" s="11">
        <v>65</v>
      </c>
      <c r="J140" s="11" t="s">
        <v>202</v>
      </c>
      <c r="K140" s="11">
        <v>76</v>
      </c>
      <c r="L140" s="11" t="s">
        <v>201</v>
      </c>
      <c r="M140" s="11">
        <v>0</v>
      </c>
      <c r="N140" s="11" t="s">
        <v>188</v>
      </c>
      <c r="O140" s="11">
        <v>5</v>
      </c>
      <c r="P140" s="11" t="s">
        <v>189</v>
      </c>
      <c r="Q140" s="11">
        <v>0</v>
      </c>
      <c r="R140" s="11" t="s">
        <v>203</v>
      </c>
      <c r="S140" s="11">
        <v>85</v>
      </c>
      <c r="T140" s="11" t="s">
        <v>192</v>
      </c>
      <c r="U140" s="11">
        <v>79</v>
      </c>
      <c r="V140" s="11" t="s">
        <v>192</v>
      </c>
      <c r="W140" s="11">
        <v>81</v>
      </c>
      <c r="X140" s="11" t="s">
        <v>192</v>
      </c>
      <c r="Y140" s="11">
        <v>85</v>
      </c>
      <c r="Z140" s="11" t="s">
        <v>192</v>
      </c>
      <c r="AA140" s="11">
        <v>80</v>
      </c>
      <c r="AB140" s="11" t="s">
        <v>192</v>
      </c>
      <c r="AC140" s="11">
        <v>87</v>
      </c>
      <c r="AD140" s="11" t="s">
        <v>192</v>
      </c>
    </row>
    <row r="141" spans="1:30" x14ac:dyDescent="0.3">
      <c r="A141" s="11" t="s">
        <v>531</v>
      </c>
      <c r="B141" s="11">
        <v>10523</v>
      </c>
      <c r="C141" s="11">
        <v>1</v>
      </c>
      <c r="D141" s="11" t="s">
        <v>341</v>
      </c>
      <c r="E141" s="11" t="s">
        <v>205</v>
      </c>
      <c r="F141" s="11" t="s">
        <v>206</v>
      </c>
      <c r="G141" s="11">
        <v>81</v>
      </c>
      <c r="H141" s="11" t="s">
        <v>201</v>
      </c>
      <c r="I141" s="11">
        <v>86</v>
      </c>
      <c r="J141" s="11" t="s">
        <v>201</v>
      </c>
      <c r="K141" s="11">
        <v>76</v>
      </c>
      <c r="L141" s="11" t="s">
        <v>201</v>
      </c>
      <c r="M141" s="11">
        <v>0</v>
      </c>
      <c r="N141" s="11" t="s">
        <v>188</v>
      </c>
      <c r="O141" s="11">
        <v>1</v>
      </c>
      <c r="P141" s="11" t="s">
        <v>197</v>
      </c>
      <c r="Q141" s="11">
        <v>0</v>
      </c>
      <c r="R141" s="11" t="s">
        <v>203</v>
      </c>
      <c r="S141" s="11">
        <v>37</v>
      </c>
      <c r="T141" s="11" t="s">
        <v>187</v>
      </c>
      <c r="U141" s="11">
        <v>37</v>
      </c>
      <c r="V141" s="11" t="s">
        <v>187</v>
      </c>
      <c r="W141" s="11">
        <v>33</v>
      </c>
      <c r="X141" s="11" t="s">
        <v>187</v>
      </c>
      <c r="Y141" s="11">
        <v>36</v>
      </c>
      <c r="Z141" s="11" t="s">
        <v>187</v>
      </c>
      <c r="AA141" s="11">
        <v>32</v>
      </c>
      <c r="AB141" s="11" t="s">
        <v>187</v>
      </c>
      <c r="AC141" s="11">
        <v>36</v>
      </c>
      <c r="AD141" s="11" t="s">
        <v>187</v>
      </c>
    </row>
    <row r="142" spans="1:30" x14ac:dyDescent="0.3">
      <c r="A142" s="11" t="s">
        <v>531</v>
      </c>
      <c r="B142" s="11">
        <v>10524</v>
      </c>
      <c r="C142" s="11">
        <v>1</v>
      </c>
      <c r="D142" s="11" t="s">
        <v>342</v>
      </c>
      <c r="E142" s="11" t="s">
        <v>184</v>
      </c>
      <c r="F142" s="11" t="s">
        <v>185</v>
      </c>
      <c r="G142" s="11">
        <v>23</v>
      </c>
      <c r="H142" s="11" t="s">
        <v>186</v>
      </c>
      <c r="I142" s="11">
        <v>23</v>
      </c>
      <c r="J142" s="11" t="s">
        <v>186</v>
      </c>
      <c r="K142" s="11">
        <v>45</v>
      </c>
      <c r="L142" s="11" t="s">
        <v>187</v>
      </c>
      <c r="M142" s="11">
        <v>0</v>
      </c>
      <c r="N142" s="11" t="s">
        <v>188</v>
      </c>
      <c r="O142" s="11">
        <v>3</v>
      </c>
      <c r="P142" s="11" t="s">
        <v>189</v>
      </c>
      <c r="Q142" s="11">
        <v>3</v>
      </c>
      <c r="R142" s="11" t="s">
        <v>190</v>
      </c>
      <c r="S142" s="11">
        <v>37</v>
      </c>
      <c r="T142" s="11" t="s">
        <v>187</v>
      </c>
      <c r="U142" s="11">
        <v>58</v>
      </c>
      <c r="V142" s="11" t="s">
        <v>191</v>
      </c>
      <c r="W142" s="11">
        <v>45</v>
      </c>
      <c r="X142" s="11" t="s">
        <v>191</v>
      </c>
      <c r="Y142" s="11">
        <v>48</v>
      </c>
      <c r="Z142" s="11" t="s">
        <v>191</v>
      </c>
      <c r="AA142" s="11">
        <v>32</v>
      </c>
      <c r="AB142" s="11" t="s">
        <v>187</v>
      </c>
      <c r="AC142" s="11">
        <v>62</v>
      </c>
      <c r="AD142" s="11" t="s">
        <v>192</v>
      </c>
    </row>
    <row r="143" spans="1:30" x14ac:dyDescent="0.3">
      <c r="A143" s="11" t="s">
        <v>531</v>
      </c>
      <c r="B143" s="11">
        <v>10525</v>
      </c>
      <c r="C143" s="11">
        <v>1</v>
      </c>
      <c r="D143" s="11" t="s">
        <v>343</v>
      </c>
      <c r="E143" s="11" t="s">
        <v>194</v>
      </c>
      <c r="F143" s="11" t="s">
        <v>195</v>
      </c>
      <c r="G143" s="11">
        <v>32</v>
      </c>
      <c r="H143" s="11" t="s">
        <v>196</v>
      </c>
      <c r="I143" s="11">
        <v>31</v>
      </c>
      <c r="J143" s="11" t="s">
        <v>196</v>
      </c>
      <c r="K143" s="11">
        <v>26</v>
      </c>
      <c r="L143" s="11" t="s">
        <v>186</v>
      </c>
      <c r="M143" s="11">
        <v>0</v>
      </c>
      <c r="N143" s="11" t="s">
        <v>188</v>
      </c>
      <c r="O143" s="11">
        <v>1</v>
      </c>
      <c r="P143" s="11" t="s">
        <v>197</v>
      </c>
      <c r="Q143" s="11">
        <v>3</v>
      </c>
      <c r="R143" s="11" t="s">
        <v>190</v>
      </c>
      <c r="S143" s="11">
        <v>37</v>
      </c>
      <c r="T143" s="11" t="s">
        <v>187</v>
      </c>
      <c r="U143" s="11">
        <v>37</v>
      </c>
      <c r="V143" s="11" t="s">
        <v>187</v>
      </c>
      <c r="W143" s="11">
        <v>33</v>
      </c>
      <c r="X143" s="11" t="s">
        <v>187</v>
      </c>
      <c r="Y143" s="11">
        <v>36</v>
      </c>
      <c r="Z143" s="11" t="s">
        <v>187</v>
      </c>
      <c r="AA143" s="11">
        <v>32</v>
      </c>
      <c r="AB143" s="11" t="s">
        <v>187</v>
      </c>
      <c r="AC143" s="11">
        <v>36</v>
      </c>
      <c r="AD143" s="11" t="s">
        <v>187</v>
      </c>
    </row>
    <row r="144" spans="1:30" x14ac:dyDescent="0.3">
      <c r="A144" s="11" t="s">
        <v>531</v>
      </c>
      <c r="B144" s="11">
        <v>10526</v>
      </c>
      <c r="C144" s="11">
        <v>1</v>
      </c>
      <c r="D144" s="11" t="s">
        <v>344</v>
      </c>
      <c r="E144" s="11" t="s">
        <v>199</v>
      </c>
      <c r="F144" s="11" t="s">
        <v>200</v>
      </c>
      <c r="G144" s="11">
        <v>77</v>
      </c>
      <c r="H144" s="11" t="s">
        <v>201</v>
      </c>
      <c r="I144" s="11">
        <v>65</v>
      </c>
      <c r="J144" s="11" t="s">
        <v>202</v>
      </c>
      <c r="K144" s="11">
        <v>76</v>
      </c>
      <c r="L144" s="11" t="s">
        <v>201</v>
      </c>
      <c r="M144" s="11">
        <v>0</v>
      </c>
      <c r="N144" s="11" t="s">
        <v>188</v>
      </c>
      <c r="O144" s="11">
        <v>5</v>
      </c>
      <c r="P144" s="11" t="s">
        <v>189</v>
      </c>
      <c r="Q144" s="11">
        <v>0</v>
      </c>
      <c r="R144" s="11" t="s">
        <v>203</v>
      </c>
      <c r="S144" s="11">
        <v>85</v>
      </c>
      <c r="T144" s="11" t="s">
        <v>192</v>
      </c>
      <c r="U144" s="11">
        <v>79</v>
      </c>
      <c r="V144" s="11" t="s">
        <v>192</v>
      </c>
      <c r="W144" s="11">
        <v>81</v>
      </c>
      <c r="X144" s="11" t="s">
        <v>192</v>
      </c>
      <c r="Y144" s="11">
        <v>85</v>
      </c>
      <c r="Z144" s="11" t="s">
        <v>192</v>
      </c>
      <c r="AA144" s="11">
        <v>80</v>
      </c>
      <c r="AB144" s="11" t="s">
        <v>192</v>
      </c>
      <c r="AC144" s="11">
        <v>87</v>
      </c>
      <c r="AD144" s="11" t="s">
        <v>192</v>
      </c>
    </row>
    <row r="145" spans="1:30" x14ac:dyDescent="0.3">
      <c r="A145" s="11" t="s">
        <v>531</v>
      </c>
      <c r="B145" s="11">
        <v>10527</v>
      </c>
      <c r="C145" s="11">
        <v>1</v>
      </c>
      <c r="D145" s="11" t="s">
        <v>345</v>
      </c>
      <c r="E145" s="11" t="s">
        <v>205</v>
      </c>
      <c r="F145" s="11" t="s">
        <v>206</v>
      </c>
      <c r="G145" s="11">
        <v>81</v>
      </c>
      <c r="H145" s="11" t="s">
        <v>201</v>
      </c>
      <c r="I145" s="11">
        <v>86</v>
      </c>
      <c r="J145" s="11" t="s">
        <v>201</v>
      </c>
      <c r="K145" s="11">
        <v>76</v>
      </c>
      <c r="L145" s="11" t="s">
        <v>201</v>
      </c>
      <c r="M145" s="11">
        <v>0</v>
      </c>
      <c r="N145" s="11" t="s">
        <v>188</v>
      </c>
      <c r="O145" s="11">
        <v>1</v>
      </c>
      <c r="P145" s="11" t="s">
        <v>197</v>
      </c>
      <c r="Q145" s="11">
        <v>0</v>
      </c>
      <c r="R145" s="11" t="s">
        <v>203</v>
      </c>
      <c r="S145" s="11">
        <v>37</v>
      </c>
      <c r="T145" s="11" t="s">
        <v>187</v>
      </c>
      <c r="U145" s="11">
        <v>37</v>
      </c>
      <c r="V145" s="11" t="s">
        <v>187</v>
      </c>
      <c r="W145" s="11">
        <v>33</v>
      </c>
      <c r="X145" s="11" t="s">
        <v>187</v>
      </c>
      <c r="Y145" s="11">
        <v>36</v>
      </c>
      <c r="Z145" s="11" t="s">
        <v>187</v>
      </c>
      <c r="AA145" s="11">
        <v>32</v>
      </c>
      <c r="AB145" s="11" t="s">
        <v>187</v>
      </c>
      <c r="AC145" s="11">
        <v>36</v>
      </c>
      <c r="AD145" s="11" t="s">
        <v>187</v>
      </c>
    </row>
    <row r="146" spans="1:30" x14ac:dyDescent="0.3">
      <c r="A146" s="11" t="s">
        <v>531</v>
      </c>
      <c r="B146" s="11">
        <v>10528</v>
      </c>
      <c r="C146" s="11">
        <v>1</v>
      </c>
      <c r="D146" s="11" t="s">
        <v>346</v>
      </c>
      <c r="E146" s="11" t="s">
        <v>184</v>
      </c>
      <c r="F146" s="11" t="s">
        <v>185</v>
      </c>
      <c r="G146" s="11">
        <v>23</v>
      </c>
      <c r="H146" s="11" t="s">
        <v>186</v>
      </c>
      <c r="I146" s="11">
        <v>23</v>
      </c>
      <c r="J146" s="11" t="s">
        <v>186</v>
      </c>
      <c r="K146" s="11">
        <v>45</v>
      </c>
      <c r="L146" s="11" t="s">
        <v>187</v>
      </c>
      <c r="M146" s="11">
        <v>0</v>
      </c>
      <c r="N146" s="11" t="s">
        <v>188</v>
      </c>
      <c r="O146" s="11">
        <v>3</v>
      </c>
      <c r="P146" s="11" t="s">
        <v>189</v>
      </c>
      <c r="Q146" s="11">
        <v>3</v>
      </c>
      <c r="R146" s="11" t="s">
        <v>190</v>
      </c>
      <c r="S146" s="11">
        <v>37</v>
      </c>
      <c r="T146" s="11" t="s">
        <v>187</v>
      </c>
      <c r="U146" s="11">
        <v>58</v>
      </c>
      <c r="V146" s="11" t="s">
        <v>191</v>
      </c>
      <c r="W146" s="11">
        <v>45</v>
      </c>
      <c r="X146" s="11" t="s">
        <v>191</v>
      </c>
      <c r="Y146" s="11">
        <v>48</v>
      </c>
      <c r="Z146" s="11" t="s">
        <v>191</v>
      </c>
      <c r="AA146" s="11">
        <v>32</v>
      </c>
      <c r="AB146" s="11" t="s">
        <v>187</v>
      </c>
      <c r="AC146" s="11">
        <v>62</v>
      </c>
      <c r="AD146" s="11" t="s">
        <v>192</v>
      </c>
    </row>
    <row r="147" spans="1:30" x14ac:dyDescent="0.3">
      <c r="A147" s="11" t="s">
        <v>531</v>
      </c>
      <c r="B147" s="11">
        <v>10529</v>
      </c>
      <c r="C147" s="11">
        <v>1</v>
      </c>
      <c r="D147" s="11" t="s">
        <v>347</v>
      </c>
      <c r="E147" s="11" t="s">
        <v>194</v>
      </c>
      <c r="F147" s="11" t="s">
        <v>195</v>
      </c>
      <c r="G147" s="11">
        <v>32</v>
      </c>
      <c r="H147" s="11" t="s">
        <v>196</v>
      </c>
      <c r="I147" s="11">
        <v>31</v>
      </c>
      <c r="J147" s="11" t="s">
        <v>196</v>
      </c>
      <c r="K147" s="11">
        <v>26</v>
      </c>
      <c r="L147" s="11" t="s">
        <v>186</v>
      </c>
      <c r="M147" s="11">
        <v>0</v>
      </c>
      <c r="N147" s="11" t="s">
        <v>188</v>
      </c>
      <c r="O147" s="11">
        <v>1</v>
      </c>
      <c r="P147" s="11" t="s">
        <v>197</v>
      </c>
      <c r="Q147" s="11">
        <v>3</v>
      </c>
      <c r="R147" s="11" t="s">
        <v>190</v>
      </c>
      <c r="S147" s="11">
        <v>37</v>
      </c>
      <c r="T147" s="11" t="s">
        <v>187</v>
      </c>
      <c r="U147" s="11">
        <v>37</v>
      </c>
      <c r="V147" s="11" t="s">
        <v>187</v>
      </c>
      <c r="W147" s="11">
        <v>33</v>
      </c>
      <c r="X147" s="11" t="s">
        <v>187</v>
      </c>
      <c r="Y147" s="11">
        <v>36</v>
      </c>
      <c r="Z147" s="11" t="s">
        <v>187</v>
      </c>
      <c r="AA147" s="11">
        <v>32</v>
      </c>
      <c r="AB147" s="11" t="s">
        <v>187</v>
      </c>
      <c r="AC147" s="11">
        <v>36</v>
      </c>
      <c r="AD147" s="11" t="s">
        <v>187</v>
      </c>
    </row>
    <row r="148" spans="1:30" x14ac:dyDescent="0.3">
      <c r="A148" s="11" t="s">
        <v>531</v>
      </c>
      <c r="B148" s="11">
        <v>10530</v>
      </c>
      <c r="C148" s="11">
        <v>2</v>
      </c>
      <c r="D148" s="11" t="s">
        <v>348</v>
      </c>
      <c r="E148" s="11" t="s">
        <v>199</v>
      </c>
      <c r="F148" s="11" t="s">
        <v>200</v>
      </c>
      <c r="G148" s="11">
        <v>77</v>
      </c>
      <c r="H148" s="11" t="s">
        <v>201</v>
      </c>
      <c r="I148" s="11">
        <v>65</v>
      </c>
      <c r="J148" s="11" t="s">
        <v>202</v>
      </c>
      <c r="K148" s="11">
        <v>76</v>
      </c>
      <c r="L148" s="11" t="s">
        <v>201</v>
      </c>
      <c r="M148" s="11">
        <v>0</v>
      </c>
      <c r="N148" s="11" t="s">
        <v>188</v>
      </c>
      <c r="O148" s="11">
        <v>5</v>
      </c>
      <c r="P148" s="11" t="s">
        <v>189</v>
      </c>
      <c r="Q148" s="11">
        <v>0</v>
      </c>
      <c r="R148" s="11" t="s">
        <v>203</v>
      </c>
      <c r="S148" s="11">
        <v>85</v>
      </c>
      <c r="T148" s="11" t="s">
        <v>192</v>
      </c>
      <c r="U148" s="11">
        <v>79</v>
      </c>
      <c r="V148" s="11" t="s">
        <v>192</v>
      </c>
      <c r="W148" s="11">
        <v>81</v>
      </c>
      <c r="X148" s="11" t="s">
        <v>192</v>
      </c>
      <c r="Y148" s="11">
        <v>85</v>
      </c>
      <c r="Z148" s="11" t="s">
        <v>192</v>
      </c>
      <c r="AA148" s="11">
        <v>80</v>
      </c>
      <c r="AB148" s="11" t="s">
        <v>192</v>
      </c>
      <c r="AC148" s="11">
        <v>87</v>
      </c>
      <c r="AD148" s="11" t="s">
        <v>192</v>
      </c>
    </row>
    <row r="149" spans="1:30" x14ac:dyDescent="0.3">
      <c r="A149" s="11" t="s">
        <v>531</v>
      </c>
      <c r="B149" s="11">
        <v>10601</v>
      </c>
      <c r="C149" s="11">
        <v>2</v>
      </c>
      <c r="D149" s="11" t="s">
        <v>349</v>
      </c>
      <c r="E149" s="11" t="s">
        <v>205</v>
      </c>
      <c r="F149" s="11" t="s">
        <v>206</v>
      </c>
      <c r="G149" s="11">
        <v>81</v>
      </c>
      <c r="H149" s="11" t="s">
        <v>201</v>
      </c>
      <c r="I149" s="11">
        <v>86</v>
      </c>
      <c r="J149" s="11" t="s">
        <v>201</v>
      </c>
      <c r="K149" s="11">
        <v>76</v>
      </c>
      <c r="L149" s="11" t="s">
        <v>201</v>
      </c>
      <c r="M149" s="11">
        <v>0</v>
      </c>
      <c r="N149" s="11" t="s">
        <v>188</v>
      </c>
      <c r="O149" s="11">
        <v>1</v>
      </c>
      <c r="P149" s="11" t="s">
        <v>197</v>
      </c>
      <c r="Q149" s="11">
        <v>0</v>
      </c>
      <c r="R149" s="11" t="s">
        <v>203</v>
      </c>
      <c r="S149" s="11">
        <v>37</v>
      </c>
      <c r="T149" s="11" t="s">
        <v>187</v>
      </c>
      <c r="U149" s="11">
        <v>37</v>
      </c>
      <c r="V149" s="11" t="s">
        <v>187</v>
      </c>
      <c r="W149" s="11">
        <v>33</v>
      </c>
      <c r="X149" s="11" t="s">
        <v>187</v>
      </c>
      <c r="Y149" s="11">
        <v>36</v>
      </c>
      <c r="Z149" s="11" t="s">
        <v>187</v>
      </c>
      <c r="AA149" s="11">
        <v>32</v>
      </c>
      <c r="AB149" s="11" t="s">
        <v>187</v>
      </c>
      <c r="AC149" s="11">
        <v>36</v>
      </c>
      <c r="AD149" s="11" t="s">
        <v>187</v>
      </c>
    </row>
    <row r="150" spans="1:30" x14ac:dyDescent="0.3">
      <c r="A150" s="11" t="s">
        <v>531</v>
      </c>
      <c r="B150" s="11">
        <v>10602</v>
      </c>
      <c r="C150" s="11">
        <v>2</v>
      </c>
      <c r="D150" s="11" t="s">
        <v>350</v>
      </c>
      <c r="E150" s="11" t="s">
        <v>184</v>
      </c>
      <c r="F150" s="11" t="s">
        <v>185</v>
      </c>
      <c r="G150" s="11">
        <v>23</v>
      </c>
      <c r="H150" s="11" t="s">
        <v>186</v>
      </c>
      <c r="I150" s="11">
        <v>23</v>
      </c>
      <c r="J150" s="11" t="s">
        <v>186</v>
      </c>
      <c r="K150" s="11">
        <v>45</v>
      </c>
      <c r="L150" s="11" t="s">
        <v>187</v>
      </c>
      <c r="M150" s="11">
        <v>0</v>
      </c>
      <c r="N150" s="11" t="s">
        <v>188</v>
      </c>
      <c r="O150" s="11">
        <v>3</v>
      </c>
      <c r="P150" s="11" t="s">
        <v>189</v>
      </c>
      <c r="Q150" s="11">
        <v>3</v>
      </c>
      <c r="R150" s="11" t="s">
        <v>190</v>
      </c>
      <c r="S150" s="11">
        <v>37</v>
      </c>
      <c r="T150" s="11" t="s">
        <v>187</v>
      </c>
      <c r="U150" s="11">
        <v>58</v>
      </c>
      <c r="V150" s="11" t="s">
        <v>191</v>
      </c>
      <c r="W150" s="11">
        <v>45</v>
      </c>
      <c r="X150" s="11" t="s">
        <v>191</v>
      </c>
      <c r="Y150" s="11">
        <v>48</v>
      </c>
      <c r="Z150" s="11" t="s">
        <v>191</v>
      </c>
      <c r="AA150" s="11">
        <v>32</v>
      </c>
      <c r="AB150" s="11" t="s">
        <v>187</v>
      </c>
      <c r="AC150" s="11">
        <v>62</v>
      </c>
      <c r="AD150" s="11" t="s">
        <v>192</v>
      </c>
    </row>
    <row r="151" spans="1:30" x14ac:dyDescent="0.3">
      <c r="A151" s="11" t="s">
        <v>531</v>
      </c>
      <c r="B151" s="11">
        <v>10603</v>
      </c>
      <c r="C151" s="11">
        <v>2</v>
      </c>
      <c r="D151" s="11" t="s">
        <v>306</v>
      </c>
      <c r="E151" s="11" t="s">
        <v>194</v>
      </c>
      <c r="F151" s="11" t="s">
        <v>195</v>
      </c>
      <c r="G151" s="11">
        <v>32</v>
      </c>
      <c r="H151" s="11" t="s">
        <v>196</v>
      </c>
      <c r="I151" s="11">
        <v>31</v>
      </c>
      <c r="J151" s="11" t="s">
        <v>196</v>
      </c>
      <c r="K151" s="11">
        <v>26</v>
      </c>
      <c r="L151" s="11" t="s">
        <v>186</v>
      </c>
      <c r="M151" s="11">
        <v>0</v>
      </c>
      <c r="N151" s="11" t="s">
        <v>188</v>
      </c>
      <c r="O151" s="11">
        <v>1</v>
      </c>
      <c r="P151" s="11" t="s">
        <v>197</v>
      </c>
      <c r="Q151" s="11">
        <v>3</v>
      </c>
      <c r="R151" s="11" t="s">
        <v>190</v>
      </c>
      <c r="S151" s="11">
        <v>37</v>
      </c>
      <c r="T151" s="11" t="s">
        <v>187</v>
      </c>
      <c r="U151" s="11">
        <v>37</v>
      </c>
      <c r="V151" s="11" t="s">
        <v>187</v>
      </c>
      <c r="W151" s="11">
        <v>33</v>
      </c>
      <c r="X151" s="11" t="s">
        <v>187</v>
      </c>
      <c r="Y151" s="11">
        <v>36</v>
      </c>
      <c r="Z151" s="11" t="s">
        <v>187</v>
      </c>
      <c r="AA151" s="11">
        <v>32</v>
      </c>
      <c r="AB151" s="11" t="s">
        <v>187</v>
      </c>
      <c r="AC151" s="11">
        <v>36</v>
      </c>
      <c r="AD151" s="11" t="s">
        <v>187</v>
      </c>
    </row>
    <row r="152" spans="1:30" x14ac:dyDescent="0.3">
      <c r="A152" s="11" t="s">
        <v>531</v>
      </c>
      <c r="B152" s="11">
        <v>10604</v>
      </c>
      <c r="C152" s="11">
        <v>2</v>
      </c>
      <c r="D152" s="11" t="s">
        <v>351</v>
      </c>
      <c r="E152" s="11" t="s">
        <v>199</v>
      </c>
      <c r="F152" s="11" t="s">
        <v>200</v>
      </c>
      <c r="G152" s="11">
        <v>77</v>
      </c>
      <c r="H152" s="11" t="s">
        <v>201</v>
      </c>
      <c r="I152" s="11">
        <v>65</v>
      </c>
      <c r="J152" s="11" t="s">
        <v>202</v>
      </c>
      <c r="K152" s="11">
        <v>76</v>
      </c>
      <c r="L152" s="11" t="s">
        <v>201</v>
      </c>
      <c r="M152" s="11">
        <v>0</v>
      </c>
      <c r="N152" s="11" t="s">
        <v>188</v>
      </c>
      <c r="O152" s="11">
        <v>5</v>
      </c>
      <c r="P152" s="11" t="s">
        <v>189</v>
      </c>
      <c r="Q152" s="11">
        <v>0</v>
      </c>
      <c r="R152" s="11" t="s">
        <v>203</v>
      </c>
      <c r="S152" s="11">
        <v>85</v>
      </c>
      <c r="T152" s="11" t="s">
        <v>192</v>
      </c>
      <c r="U152" s="11">
        <v>79</v>
      </c>
      <c r="V152" s="11" t="s">
        <v>192</v>
      </c>
      <c r="W152" s="11">
        <v>81</v>
      </c>
      <c r="X152" s="11" t="s">
        <v>192</v>
      </c>
      <c r="Y152" s="11">
        <v>85</v>
      </c>
      <c r="Z152" s="11" t="s">
        <v>192</v>
      </c>
      <c r="AA152" s="11">
        <v>80</v>
      </c>
      <c r="AB152" s="11" t="s">
        <v>192</v>
      </c>
      <c r="AC152" s="11">
        <v>87</v>
      </c>
      <c r="AD152" s="11" t="s">
        <v>192</v>
      </c>
    </row>
    <row r="153" spans="1:30" x14ac:dyDescent="0.3">
      <c r="A153" s="11" t="s">
        <v>531</v>
      </c>
      <c r="B153" s="11">
        <v>10605</v>
      </c>
      <c r="C153" s="11">
        <v>2</v>
      </c>
      <c r="D153" s="11" t="s">
        <v>352</v>
      </c>
      <c r="E153" s="11" t="s">
        <v>205</v>
      </c>
      <c r="F153" s="11" t="s">
        <v>206</v>
      </c>
      <c r="G153" s="11">
        <v>81</v>
      </c>
      <c r="H153" s="11" t="s">
        <v>201</v>
      </c>
      <c r="I153" s="11">
        <v>86</v>
      </c>
      <c r="J153" s="11" t="s">
        <v>201</v>
      </c>
      <c r="K153" s="11">
        <v>76</v>
      </c>
      <c r="L153" s="11" t="s">
        <v>201</v>
      </c>
      <c r="M153" s="11">
        <v>0</v>
      </c>
      <c r="N153" s="11" t="s">
        <v>188</v>
      </c>
      <c r="O153" s="11">
        <v>1</v>
      </c>
      <c r="P153" s="11" t="s">
        <v>197</v>
      </c>
      <c r="Q153" s="11">
        <v>0</v>
      </c>
      <c r="R153" s="11" t="s">
        <v>203</v>
      </c>
      <c r="S153" s="11">
        <v>37</v>
      </c>
      <c r="T153" s="11" t="s">
        <v>187</v>
      </c>
      <c r="U153" s="11">
        <v>37</v>
      </c>
      <c r="V153" s="11" t="s">
        <v>187</v>
      </c>
      <c r="W153" s="11">
        <v>33</v>
      </c>
      <c r="X153" s="11" t="s">
        <v>187</v>
      </c>
      <c r="Y153" s="11">
        <v>36</v>
      </c>
      <c r="Z153" s="11" t="s">
        <v>187</v>
      </c>
      <c r="AA153" s="11">
        <v>32</v>
      </c>
      <c r="AB153" s="11" t="s">
        <v>187</v>
      </c>
      <c r="AC153" s="11">
        <v>36</v>
      </c>
      <c r="AD153" s="11" t="s">
        <v>187</v>
      </c>
    </row>
    <row r="154" spans="1:30" x14ac:dyDescent="0.3">
      <c r="A154" s="11" t="s">
        <v>531</v>
      </c>
      <c r="B154" s="11">
        <v>10606</v>
      </c>
      <c r="C154" s="11">
        <v>2</v>
      </c>
      <c r="D154" s="11" t="s">
        <v>353</v>
      </c>
      <c r="E154" s="11" t="s">
        <v>184</v>
      </c>
      <c r="F154" s="11" t="s">
        <v>185</v>
      </c>
      <c r="G154" s="11">
        <v>23</v>
      </c>
      <c r="H154" s="11" t="s">
        <v>186</v>
      </c>
      <c r="I154" s="11">
        <v>23</v>
      </c>
      <c r="J154" s="11" t="s">
        <v>186</v>
      </c>
      <c r="K154" s="11">
        <v>45</v>
      </c>
      <c r="L154" s="11" t="s">
        <v>187</v>
      </c>
      <c r="M154" s="11">
        <v>0</v>
      </c>
      <c r="N154" s="11" t="s">
        <v>188</v>
      </c>
      <c r="O154" s="11">
        <v>3</v>
      </c>
      <c r="P154" s="11" t="s">
        <v>189</v>
      </c>
      <c r="Q154" s="11">
        <v>3</v>
      </c>
      <c r="R154" s="11" t="s">
        <v>190</v>
      </c>
      <c r="S154" s="11">
        <v>37</v>
      </c>
      <c r="T154" s="11" t="s">
        <v>187</v>
      </c>
      <c r="U154" s="11">
        <v>58</v>
      </c>
      <c r="V154" s="11" t="s">
        <v>191</v>
      </c>
      <c r="W154" s="11">
        <v>45</v>
      </c>
      <c r="X154" s="11" t="s">
        <v>191</v>
      </c>
      <c r="Y154" s="11">
        <v>48</v>
      </c>
      <c r="Z154" s="11" t="s">
        <v>191</v>
      </c>
      <c r="AA154" s="11">
        <v>32</v>
      </c>
      <c r="AB154" s="11" t="s">
        <v>187</v>
      </c>
      <c r="AC154" s="11">
        <v>62</v>
      </c>
      <c r="AD154" s="11" t="s">
        <v>192</v>
      </c>
    </row>
    <row r="155" spans="1:30" x14ac:dyDescent="0.3">
      <c r="A155" s="11" t="s">
        <v>531</v>
      </c>
      <c r="B155" s="11">
        <v>10607</v>
      </c>
      <c r="C155" s="11">
        <v>2</v>
      </c>
      <c r="D155" s="11" t="s">
        <v>354</v>
      </c>
      <c r="E155" s="11" t="s">
        <v>194</v>
      </c>
      <c r="F155" s="11" t="s">
        <v>195</v>
      </c>
      <c r="G155" s="11">
        <v>32</v>
      </c>
      <c r="H155" s="11" t="s">
        <v>196</v>
      </c>
      <c r="I155" s="11">
        <v>31</v>
      </c>
      <c r="J155" s="11" t="s">
        <v>196</v>
      </c>
      <c r="K155" s="11">
        <v>26</v>
      </c>
      <c r="L155" s="11" t="s">
        <v>186</v>
      </c>
      <c r="M155" s="11">
        <v>0</v>
      </c>
      <c r="N155" s="11" t="s">
        <v>188</v>
      </c>
      <c r="O155" s="11">
        <v>1</v>
      </c>
      <c r="P155" s="11" t="s">
        <v>197</v>
      </c>
      <c r="Q155" s="11">
        <v>3</v>
      </c>
      <c r="R155" s="11" t="s">
        <v>190</v>
      </c>
      <c r="S155" s="11">
        <v>37</v>
      </c>
      <c r="T155" s="11" t="s">
        <v>187</v>
      </c>
      <c r="U155" s="11">
        <v>37</v>
      </c>
      <c r="V155" s="11" t="s">
        <v>187</v>
      </c>
      <c r="W155" s="11">
        <v>33</v>
      </c>
      <c r="X155" s="11" t="s">
        <v>187</v>
      </c>
      <c r="Y155" s="11">
        <v>36</v>
      </c>
      <c r="Z155" s="11" t="s">
        <v>187</v>
      </c>
      <c r="AA155" s="11">
        <v>32</v>
      </c>
      <c r="AB155" s="11" t="s">
        <v>187</v>
      </c>
      <c r="AC155" s="11">
        <v>36</v>
      </c>
      <c r="AD155" s="11" t="s">
        <v>187</v>
      </c>
    </row>
    <row r="156" spans="1:30" x14ac:dyDescent="0.3">
      <c r="A156" s="11" t="s">
        <v>531</v>
      </c>
      <c r="B156" s="11">
        <v>10608</v>
      </c>
      <c r="C156" s="11">
        <v>2</v>
      </c>
      <c r="D156" s="11" t="s">
        <v>355</v>
      </c>
      <c r="E156" s="11" t="s">
        <v>199</v>
      </c>
      <c r="F156" s="11" t="s">
        <v>200</v>
      </c>
      <c r="G156" s="11">
        <v>77</v>
      </c>
      <c r="H156" s="11" t="s">
        <v>201</v>
      </c>
      <c r="I156" s="11">
        <v>65</v>
      </c>
      <c r="J156" s="11" t="s">
        <v>202</v>
      </c>
      <c r="K156" s="11">
        <v>76</v>
      </c>
      <c r="L156" s="11" t="s">
        <v>201</v>
      </c>
      <c r="M156" s="11">
        <v>0</v>
      </c>
      <c r="N156" s="11" t="s">
        <v>188</v>
      </c>
      <c r="O156" s="11">
        <v>5</v>
      </c>
      <c r="P156" s="11" t="s">
        <v>189</v>
      </c>
      <c r="Q156" s="11">
        <v>0</v>
      </c>
      <c r="R156" s="11" t="s">
        <v>203</v>
      </c>
      <c r="S156" s="11">
        <v>85</v>
      </c>
      <c r="T156" s="11" t="s">
        <v>192</v>
      </c>
      <c r="U156" s="11">
        <v>79</v>
      </c>
      <c r="V156" s="11" t="s">
        <v>192</v>
      </c>
      <c r="W156" s="11">
        <v>81</v>
      </c>
      <c r="X156" s="11" t="s">
        <v>192</v>
      </c>
      <c r="Y156" s="11">
        <v>85</v>
      </c>
      <c r="Z156" s="11" t="s">
        <v>192</v>
      </c>
      <c r="AA156" s="11">
        <v>80</v>
      </c>
      <c r="AB156" s="11" t="s">
        <v>192</v>
      </c>
      <c r="AC156" s="11">
        <v>87</v>
      </c>
      <c r="AD156" s="11" t="s">
        <v>192</v>
      </c>
    </row>
    <row r="157" spans="1:30" x14ac:dyDescent="0.3">
      <c r="A157" s="11" t="s">
        <v>531</v>
      </c>
      <c r="B157" s="11">
        <v>10609</v>
      </c>
      <c r="C157" s="11">
        <v>2</v>
      </c>
      <c r="D157" s="11" t="s">
        <v>356</v>
      </c>
      <c r="E157" s="11" t="s">
        <v>205</v>
      </c>
      <c r="F157" s="11" t="s">
        <v>206</v>
      </c>
      <c r="G157" s="11">
        <v>81</v>
      </c>
      <c r="H157" s="11" t="s">
        <v>201</v>
      </c>
      <c r="I157" s="11">
        <v>86</v>
      </c>
      <c r="J157" s="11" t="s">
        <v>201</v>
      </c>
      <c r="K157" s="11">
        <v>76</v>
      </c>
      <c r="L157" s="11" t="s">
        <v>201</v>
      </c>
      <c r="M157" s="11">
        <v>0</v>
      </c>
      <c r="N157" s="11" t="s">
        <v>188</v>
      </c>
      <c r="O157" s="11">
        <v>1</v>
      </c>
      <c r="P157" s="11" t="s">
        <v>197</v>
      </c>
      <c r="Q157" s="11">
        <v>0</v>
      </c>
      <c r="R157" s="11" t="s">
        <v>203</v>
      </c>
      <c r="S157" s="11">
        <v>37</v>
      </c>
      <c r="T157" s="11" t="s">
        <v>187</v>
      </c>
      <c r="U157" s="11">
        <v>37</v>
      </c>
      <c r="V157" s="11" t="s">
        <v>187</v>
      </c>
      <c r="W157" s="11">
        <v>33</v>
      </c>
      <c r="X157" s="11" t="s">
        <v>187</v>
      </c>
      <c r="Y157" s="11">
        <v>36</v>
      </c>
      <c r="Z157" s="11" t="s">
        <v>187</v>
      </c>
      <c r="AA157" s="11">
        <v>32</v>
      </c>
      <c r="AB157" s="11" t="s">
        <v>187</v>
      </c>
      <c r="AC157" s="11">
        <v>36</v>
      </c>
      <c r="AD157" s="11" t="s">
        <v>187</v>
      </c>
    </row>
    <row r="158" spans="1:30" x14ac:dyDescent="0.3">
      <c r="A158" s="11" t="s">
        <v>531</v>
      </c>
      <c r="B158" s="11">
        <v>10610</v>
      </c>
      <c r="C158" s="11">
        <v>2</v>
      </c>
      <c r="D158" s="11" t="s">
        <v>301</v>
      </c>
      <c r="E158" s="11" t="s">
        <v>184</v>
      </c>
      <c r="F158" s="11" t="s">
        <v>185</v>
      </c>
      <c r="G158" s="11">
        <v>23</v>
      </c>
      <c r="H158" s="11" t="s">
        <v>186</v>
      </c>
      <c r="I158" s="11">
        <v>23</v>
      </c>
      <c r="J158" s="11" t="s">
        <v>186</v>
      </c>
      <c r="K158" s="11">
        <v>45</v>
      </c>
      <c r="L158" s="11" t="s">
        <v>187</v>
      </c>
      <c r="M158" s="11">
        <v>0</v>
      </c>
      <c r="N158" s="11" t="s">
        <v>188</v>
      </c>
      <c r="O158" s="11">
        <v>3</v>
      </c>
      <c r="P158" s="11" t="s">
        <v>189</v>
      </c>
      <c r="Q158" s="11">
        <v>3</v>
      </c>
      <c r="R158" s="11" t="s">
        <v>190</v>
      </c>
      <c r="S158" s="11">
        <v>37</v>
      </c>
      <c r="T158" s="11" t="s">
        <v>187</v>
      </c>
      <c r="U158" s="11">
        <v>58</v>
      </c>
      <c r="V158" s="11" t="s">
        <v>191</v>
      </c>
      <c r="W158" s="11">
        <v>45</v>
      </c>
      <c r="X158" s="11" t="s">
        <v>191</v>
      </c>
      <c r="Y158" s="11">
        <v>48</v>
      </c>
      <c r="Z158" s="11" t="s">
        <v>191</v>
      </c>
      <c r="AA158" s="11">
        <v>32</v>
      </c>
      <c r="AB158" s="11" t="s">
        <v>187</v>
      </c>
      <c r="AC158" s="11">
        <v>62</v>
      </c>
      <c r="AD158" s="11" t="s">
        <v>192</v>
      </c>
    </row>
    <row r="159" spans="1:30" x14ac:dyDescent="0.3">
      <c r="A159" s="11" t="s">
        <v>531</v>
      </c>
      <c r="B159" s="11">
        <v>10611</v>
      </c>
      <c r="C159" s="11">
        <v>2</v>
      </c>
      <c r="D159" s="11" t="s">
        <v>357</v>
      </c>
      <c r="E159" s="11" t="s">
        <v>194</v>
      </c>
      <c r="F159" s="11" t="s">
        <v>195</v>
      </c>
      <c r="G159" s="11">
        <v>32</v>
      </c>
      <c r="H159" s="11" t="s">
        <v>196</v>
      </c>
      <c r="I159" s="11">
        <v>31</v>
      </c>
      <c r="J159" s="11" t="s">
        <v>196</v>
      </c>
      <c r="K159" s="11">
        <v>26</v>
      </c>
      <c r="L159" s="11" t="s">
        <v>186</v>
      </c>
      <c r="M159" s="11">
        <v>0</v>
      </c>
      <c r="N159" s="11" t="s">
        <v>188</v>
      </c>
      <c r="O159" s="11">
        <v>1</v>
      </c>
      <c r="P159" s="11" t="s">
        <v>197</v>
      </c>
      <c r="Q159" s="11">
        <v>3</v>
      </c>
      <c r="R159" s="11" t="s">
        <v>190</v>
      </c>
      <c r="S159" s="11">
        <v>37</v>
      </c>
      <c r="T159" s="11" t="s">
        <v>187</v>
      </c>
      <c r="U159" s="11">
        <v>37</v>
      </c>
      <c r="V159" s="11" t="s">
        <v>187</v>
      </c>
      <c r="W159" s="11">
        <v>33</v>
      </c>
      <c r="X159" s="11" t="s">
        <v>187</v>
      </c>
      <c r="Y159" s="11">
        <v>36</v>
      </c>
      <c r="Z159" s="11" t="s">
        <v>187</v>
      </c>
      <c r="AA159" s="11">
        <v>32</v>
      </c>
      <c r="AB159" s="11" t="s">
        <v>187</v>
      </c>
      <c r="AC159" s="11">
        <v>36</v>
      </c>
      <c r="AD159" s="11" t="s">
        <v>187</v>
      </c>
    </row>
    <row r="160" spans="1:30" x14ac:dyDescent="0.3">
      <c r="A160" s="11" t="s">
        <v>531</v>
      </c>
      <c r="B160" s="11">
        <v>10612</v>
      </c>
      <c r="C160" s="11">
        <v>2</v>
      </c>
      <c r="D160" s="11" t="s">
        <v>358</v>
      </c>
      <c r="E160" s="11" t="s">
        <v>199</v>
      </c>
      <c r="F160" s="11" t="s">
        <v>200</v>
      </c>
      <c r="G160" s="11">
        <v>77</v>
      </c>
      <c r="H160" s="11" t="s">
        <v>201</v>
      </c>
      <c r="I160" s="11">
        <v>65</v>
      </c>
      <c r="J160" s="11" t="s">
        <v>202</v>
      </c>
      <c r="K160" s="11">
        <v>76</v>
      </c>
      <c r="L160" s="11" t="s">
        <v>201</v>
      </c>
      <c r="M160" s="11">
        <v>0</v>
      </c>
      <c r="N160" s="11" t="s">
        <v>188</v>
      </c>
      <c r="O160" s="11">
        <v>5</v>
      </c>
      <c r="P160" s="11" t="s">
        <v>189</v>
      </c>
      <c r="Q160" s="11">
        <v>0</v>
      </c>
      <c r="R160" s="11" t="s">
        <v>203</v>
      </c>
      <c r="S160" s="11">
        <v>85</v>
      </c>
      <c r="T160" s="11" t="s">
        <v>192</v>
      </c>
      <c r="U160" s="11">
        <v>79</v>
      </c>
      <c r="V160" s="11" t="s">
        <v>192</v>
      </c>
      <c r="W160" s="11">
        <v>81</v>
      </c>
      <c r="X160" s="11" t="s">
        <v>192</v>
      </c>
      <c r="Y160" s="11">
        <v>85</v>
      </c>
      <c r="Z160" s="11" t="s">
        <v>192</v>
      </c>
      <c r="AA160" s="11">
        <v>80</v>
      </c>
      <c r="AB160" s="11" t="s">
        <v>192</v>
      </c>
      <c r="AC160" s="11">
        <v>87</v>
      </c>
      <c r="AD160" s="11" t="s">
        <v>192</v>
      </c>
    </row>
    <row r="161" spans="1:30" x14ac:dyDescent="0.3">
      <c r="A161" s="11" t="s">
        <v>531</v>
      </c>
      <c r="B161" s="11">
        <v>10613</v>
      </c>
      <c r="C161" s="11">
        <v>2</v>
      </c>
      <c r="D161" s="11" t="s">
        <v>359</v>
      </c>
      <c r="E161" s="11" t="s">
        <v>205</v>
      </c>
      <c r="F161" s="11" t="s">
        <v>206</v>
      </c>
      <c r="G161" s="11">
        <v>81</v>
      </c>
      <c r="H161" s="11" t="s">
        <v>201</v>
      </c>
      <c r="I161" s="11">
        <v>86</v>
      </c>
      <c r="J161" s="11" t="s">
        <v>201</v>
      </c>
      <c r="K161" s="11">
        <v>76</v>
      </c>
      <c r="L161" s="11" t="s">
        <v>201</v>
      </c>
      <c r="M161" s="11">
        <v>0</v>
      </c>
      <c r="N161" s="11" t="s">
        <v>188</v>
      </c>
      <c r="O161" s="11">
        <v>1</v>
      </c>
      <c r="P161" s="11" t="s">
        <v>197</v>
      </c>
      <c r="Q161" s="11">
        <v>0</v>
      </c>
      <c r="R161" s="11" t="s">
        <v>203</v>
      </c>
      <c r="S161" s="11">
        <v>37</v>
      </c>
      <c r="T161" s="11" t="s">
        <v>187</v>
      </c>
      <c r="U161" s="11">
        <v>37</v>
      </c>
      <c r="V161" s="11" t="s">
        <v>187</v>
      </c>
      <c r="W161" s="11">
        <v>33</v>
      </c>
      <c r="X161" s="11" t="s">
        <v>187</v>
      </c>
      <c r="Y161" s="11">
        <v>36</v>
      </c>
      <c r="Z161" s="11" t="s">
        <v>187</v>
      </c>
      <c r="AA161" s="11">
        <v>32</v>
      </c>
      <c r="AB161" s="11" t="s">
        <v>187</v>
      </c>
      <c r="AC161" s="11">
        <v>36</v>
      </c>
      <c r="AD161" s="11" t="s">
        <v>187</v>
      </c>
    </row>
    <row r="162" spans="1:30" x14ac:dyDescent="0.3">
      <c r="A162" s="11" t="s">
        <v>531</v>
      </c>
      <c r="B162" s="11">
        <v>10614</v>
      </c>
      <c r="C162" s="11">
        <v>2</v>
      </c>
      <c r="D162" s="11" t="s">
        <v>360</v>
      </c>
      <c r="E162" s="11" t="s">
        <v>184</v>
      </c>
      <c r="F162" s="11" t="s">
        <v>185</v>
      </c>
      <c r="G162" s="11">
        <v>23</v>
      </c>
      <c r="H162" s="11" t="s">
        <v>186</v>
      </c>
      <c r="I162" s="11">
        <v>23</v>
      </c>
      <c r="J162" s="11" t="s">
        <v>186</v>
      </c>
      <c r="K162" s="11">
        <v>45</v>
      </c>
      <c r="L162" s="11" t="s">
        <v>187</v>
      </c>
      <c r="M162" s="11">
        <v>0</v>
      </c>
      <c r="N162" s="11" t="s">
        <v>188</v>
      </c>
      <c r="O162" s="11">
        <v>3</v>
      </c>
      <c r="P162" s="11" t="s">
        <v>189</v>
      </c>
      <c r="Q162" s="11">
        <v>3</v>
      </c>
      <c r="R162" s="11" t="s">
        <v>190</v>
      </c>
      <c r="S162" s="11">
        <v>37</v>
      </c>
      <c r="T162" s="11" t="s">
        <v>187</v>
      </c>
      <c r="U162" s="11">
        <v>58</v>
      </c>
      <c r="V162" s="11" t="s">
        <v>191</v>
      </c>
      <c r="W162" s="11">
        <v>45</v>
      </c>
      <c r="X162" s="11" t="s">
        <v>191</v>
      </c>
      <c r="Y162" s="11">
        <v>48</v>
      </c>
      <c r="Z162" s="11" t="s">
        <v>191</v>
      </c>
      <c r="AA162" s="11">
        <v>32</v>
      </c>
      <c r="AB162" s="11" t="s">
        <v>187</v>
      </c>
      <c r="AC162" s="11">
        <v>62</v>
      </c>
      <c r="AD162" s="11" t="s">
        <v>192</v>
      </c>
    </row>
    <row r="163" spans="1:30" x14ac:dyDescent="0.3">
      <c r="A163" s="11" t="s">
        <v>531</v>
      </c>
      <c r="B163" s="11">
        <v>10615</v>
      </c>
      <c r="C163" s="11">
        <v>1</v>
      </c>
      <c r="D163" s="11" t="s">
        <v>361</v>
      </c>
      <c r="E163" s="11" t="s">
        <v>194</v>
      </c>
      <c r="F163" s="11" t="s">
        <v>195</v>
      </c>
      <c r="G163" s="11">
        <v>32</v>
      </c>
      <c r="H163" s="11" t="s">
        <v>196</v>
      </c>
      <c r="I163" s="11">
        <v>31</v>
      </c>
      <c r="J163" s="11" t="s">
        <v>196</v>
      </c>
      <c r="K163" s="11">
        <v>26</v>
      </c>
      <c r="L163" s="11" t="s">
        <v>186</v>
      </c>
      <c r="M163" s="11">
        <v>0</v>
      </c>
      <c r="N163" s="11" t="s">
        <v>188</v>
      </c>
      <c r="O163" s="11">
        <v>1</v>
      </c>
      <c r="P163" s="11" t="s">
        <v>197</v>
      </c>
      <c r="Q163" s="11">
        <v>3</v>
      </c>
      <c r="R163" s="11" t="s">
        <v>190</v>
      </c>
      <c r="S163" s="11">
        <v>37</v>
      </c>
      <c r="T163" s="11" t="s">
        <v>187</v>
      </c>
      <c r="U163" s="11">
        <v>37</v>
      </c>
      <c r="V163" s="11" t="s">
        <v>187</v>
      </c>
      <c r="W163" s="11">
        <v>33</v>
      </c>
      <c r="X163" s="11" t="s">
        <v>187</v>
      </c>
      <c r="Y163" s="11">
        <v>36</v>
      </c>
      <c r="Z163" s="11" t="s">
        <v>187</v>
      </c>
      <c r="AA163" s="11">
        <v>32</v>
      </c>
      <c r="AB163" s="11" t="s">
        <v>187</v>
      </c>
      <c r="AC163" s="11">
        <v>36</v>
      </c>
      <c r="AD163" s="11" t="s">
        <v>187</v>
      </c>
    </row>
    <row r="164" spans="1:30" x14ac:dyDescent="0.3">
      <c r="A164" s="11" t="s">
        <v>531</v>
      </c>
      <c r="B164" s="11">
        <v>10616</v>
      </c>
      <c r="C164" s="11">
        <v>1</v>
      </c>
      <c r="D164" s="11" t="s">
        <v>362</v>
      </c>
      <c r="E164" s="11" t="s">
        <v>199</v>
      </c>
      <c r="F164" s="11" t="s">
        <v>200</v>
      </c>
      <c r="G164" s="11">
        <v>77</v>
      </c>
      <c r="H164" s="11" t="s">
        <v>201</v>
      </c>
      <c r="I164" s="11">
        <v>65</v>
      </c>
      <c r="J164" s="11" t="s">
        <v>202</v>
      </c>
      <c r="K164" s="11">
        <v>76</v>
      </c>
      <c r="L164" s="11" t="s">
        <v>201</v>
      </c>
      <c r="M164" s="11">
        <v>0</v>
      </c>
      <c r="N164" s="11" t="s">
        <v>188</v>
      </c>
      <c r="O164" s="11">
        <v>5</v>
      </c>
      <c r="P164" s="11" t="s">
        <v>189</v>
      </c>
      <c r="Q164" s="11">
        <v>0</v>
      </c>
      <c r="R164" s="11" t="s">
        <v>203</v>
      </c>
      <c r="S164" s="11">
        <v>85</v>
      </c>
      <c r="T164" s="11" t="s">
        <v>192</v>
      </c>
      <c r="U164" s="11">
        <v>79</v>
      </c>
      <c r="V164" s="11" t="s">
        <v>192</v>
      </c>
      <c r="W164" s="11">
        <v>81</v>
      </c>
      <c r="X164" s="11" t="s">
        <v>192</v>
      </c>
      <c r="Y164" s="11">
        <v>85</v>
      </c>
      <c r="Z164" s="11" t="s">
        <v>192</v>
      </c>
      <c r="AA164" s="11">
        <v>80</v>
      </c>
      <c r="AB164" s="11" t="s">
        <v>192</v>
      </c>
      <c r="AC164" s="11">
        <v>87</v>
      </c>
      <c r="AD164" s="11" t="s">
        <v>192</v>
      </c>
    </row>
    <row r="165" spans="1:30" x14ac:dyDescent="0.3">
      <c r="A165" s="11" t="s">
        <v>531</v>
      </c>
      <c r="B165" s="11">
        <v>10617</v>
      </c>
      <c r="C165" s="11">
        <v>1</v>
      </c>
      <c r="D165" s="11" t="s">
        <v>363</v>
      </c>
      <c r="E165" s="11" t="s">
        <v>205</v>
      </c>
      <c r="F165" s="11" t="s">
        <v>206</v>
      </c>
      <c r="G165" s="11">
        <v>81</v>
      </c>
      <c r="H165" s="11" t="s">
        <v>201</v>
      </c>
      <c r="I165" s="11">
        <v>86</v>
      </c>
      <c r="J165" s="11" t="s">
        <v>201</v>
      </c>
      <c r="K165" s="11">
        <v>76</v>
      </c>
      <c r="L165" s="11" t="s">
        <v>201</v>
      </c>
      <c r="M165" s="11">
        <v>0</v>
      </c>
      <c r="N165" s="11" t="s">
        <v>188</v>
      </c>
      <c r="O165" s="11">
        <v>1</v>
      </c>
      <c r="P165" s="11" t="s">
        <v>197</v>
      </c>
      <c r="Q165" s="11">
        <v>0</v>
      </c>
      <c r="R165" s="11" t="s">
        <v>203</v>
      </c>
      <c r="S165" s="11">
        <v>37</v>
      </c>
      <c r="T165" s="11" t="s">
        <v>187</v>
      </c>
      <c r="U165" s="11">
        <v>37</v>
      </c>
      <c r="V165" s="11" t="s">
        <v>187</v>
      </c>
      <c r="W165" s="11">
        <v>33</v>
      </c>
      <c r="X165" s="11" t="s">
        <v>187</v>
      </c>
      <c r="Y165" s="11">
        <v>36</v>
      </c>
      <c r="Z165" s="11" t="s">
        <v>187</v>
      </c>
      <c r="AA165" s="11">
        <v>32</v>
      </c>
      <c r="AB165" s="11" t="s">
        <v>187</v>
      </c>
      <c r="AC165" s="11">
        <v>36</v>
      </c>
      <c r="AD165" s="11" t="s">
        <v>187</v>
      </c>
    </row>
    <row r="166" spans="1:30" x14ac:dyDescent="0.3">
      <c r="A166" s="11" t="s">
        <v>531</v>
      </c>
      <c r="B166" s="11">
        <v>10618</v>
      </c>
      <c r="C166" s="11">
        <v>1</v>
      </c>
      <c r="D166" s="11" t="s">
        <v>364</v>
      </c>
      <c r="E166" s="11" t="s">
        <v>184</v>
      </c>
      <c r="F166" s="11" t="s">
        <v>185</v>
      </c>
      <c r="G166" s="11">
        <v>23</v>
      </c>
      <c r="H166" s="11" t="s">
        <v>186</v>
      </c>
      <c r="I166" s="11">
        <v>23</v>
      </c>
      <c r="J166" s="11" t="s">
        <v>186</v>
      </c>
      <c r="K166" s="11">
        <v>45</v>
      </c>
      <c r="L166" s="11" t="s">
        <v>187</v>
      </c>
      <c r="M166" s="11">
        <v>0</v>
      </c>
      <c r="N166" s="11" t="s">
        <v>188</v>
      </c>
      <c r="O166" s="11">
        <v>3</v>
      </c>
      <c r="P166" s="11" t="s">
        <v>189</v>
      </c>
      <c r="Q166" s="11">
        <v>3</v>
      </c>
      <c r="R166" s="11" t="s">
        <v>190</v>
      </c>
      <c r="S166" s="11">
        <v>37</v>
      </c>
      <c r="T166" s="11" t="s">
        <v>187</v>
      </c>
      <c r="U166" s="11">
        <v>58</v>
      </c>
      <c r="V166" s="11" t="s">
        <v>191</v>
      </c>
      <c r="W166" s="11">
        <v>45</v>
      </c>
      <c r="X166" s="11" t="s">
        <v>191</v>
      </c>
      <c r="Y166" s="11">
        <v>48</v>
      </c>
      <c r="Z166" s="11" t="s">
        <v>191</v>
      </c>
      <c r="AA166" s="11">
        <v>32</v>
      </c>
      <c r="AB166" s="11" t="s">
        <v>187</v>
      </c>
      <c r="AC166" s="11">
        <v>62</v>
      </c>
      <c r="AD166" s="11" t="s">
        <v>192</v>
      </c>
    </row>
    <row r="167" spans="1:30" x14ac:dyDescent="0.3">
      <c r="A167" s="11" t="s">
        <v>531</v>
      </c>
      <c r="B167" s="11">
        <v>10619</v>
      </c>
      <c r="C167" s="11">
        <v>1</v>
      </c>
      <c r="D167" s="11" t="s">
        <v>365</v>
      </c>
      <c r="E167" s="11" t="s">
        <v>194</v>
      </c>
      <c r="F167" s="11" t="s">
        <v>195</v>
      </c>
      <c r="G167" s="11">
        <v>32</v>
      </c>
      <c r="H167" s="11" t="s">
        <v>196</v>
      </c>
      <c r="I167" s="11">
        <v>31</v>
      </c>
      <c r="J167" s="11" t="s">
        <v>196</v>
      </c>
      <c r="K167" s="11">
        <v>26</v>
      </c>
      <c r="L167" s="11" t="s">
        <v>186</v>
      </c>
      <c r="M167" s="11">
        <v>0</v>
      </c>
      <c r="N167" s="11" t="s">
        <v>188</v>
      </c>
      <c r="O167" s="11">
        <v>1</v>
      </c>
      <c r="P167" s="11" t="s">
        <v>197</v>
      </c>
      <c r="Q167" s="11">
        <v>3</v>
      </c>
      <c r="R167" s="11" t="s">
        <v>190</v>
      </c>
      <c r="S167" s="11">
        <v>37</v>
      </c>
      <c r="T167" s="11" t="s">
        <v>187</v>
      </c>
      <c r="U167" s="11">
        <v>37</v>
      </c>
      <c r="V167" s="11" t="s">
        <v>187</v>
      </c>
      <c r="W167" s="11">
        <v>33</v>
      </c>
      <c r="X167" s="11" t="s">
        <v>187</v>
      </c>
      <c r="Y167" s="11">
        <v>36</v>
      </c>
      <c r="Z167" s="11" t="s">
        <v>187</v>
      </c>
      <c r="AA167" s="11">
        <v>32</v>
      </c>
      <c r="AB167" s="11" t="s">
        <v>187</v>
      </c>
      <c r="AC167" s="11">
        <v>36</v>
      </c>
      <c r="AD167" s="11" t="s">
        <v>187</v>
      </c>
    </row>
    <row r="168" spans="1:30" x14ac:dyDescent="0.3">
      <c r="A168" s="11" t="s">
        <v>531</v>
      </c>
      <c r="B168" s="11">
        <v>10620</v>
      </c>
      <c r="C168" s="11">
        <v>1</v>
      </c>
      <c r="D168" s="11" t="s">
        <v>366</v>
      </c>
      <c r="E168" s="11" t="s">
        <v>199</v>
      </c>
      <c r="F168" s="11" t="s">
        <v>200</v>
      </c>
      <c r="G168" s="11">
        <v>77</v>
      </c>
      <c r="H168" s="11" t="s">
        <v>201</v>
      </c>
      <c r="I168" s="11">
        <v>65</v>
      </c>
      <c r="J168" s="11" t="s">
        <v>202</v>
      </c>
      <c r="K168" s="11">
        <v>76</v>
      </c>
      <c r="L168" s="11" t="s">
        <v>201</v>
      </c>
      <c r="M168" s="11">
        <v>0</v>
      </c>
      <c r="N168" s="11" t="s">
        <v>188</v>
      </c>
      <c r="O168" s="11">
        <v>5</v>
      </c>
      <c r="P168" s="11" t="s">
        <v>189</v>
      </c>
      <c r="Q168" s="11">
        <v>0</v>
      </c>
      <c r="R168" s="11" t="s">
        <v>203</v>
      </c>
      <c r="S168" s="11">
        <v>85</v>
      </c>
      <c r="T168" s="11" t="s">
        <v>192</v>
      </c>
      <c r="U168" s="11">
        <v>79</v>
      </c>
      <c r="V168" s="11" t="s">
        <v>192</v>
      </c>
      <c r="W168" s="11">
        <v>81</v>
      </c>
      <c r="X168" s="11" t="s">
        <v>192</v>
      </c>
      <c r="Y168" s="11">
        <v>85</v>
      </c>
      <c r="Z168" s="11" t="s">
        <v>192</v>
      </c>
      <c r="AA168" s="11">
        <v>80</v>
      </c>
      <c r="AB168" s="11" t="s">
        <v>192</v>
      </c>
      <c r="AC168" s="11">
        <v>87</v>
      </c>
      <c r="AD168" s="11" t="s">
        <v>192</v>
      </c>
    </row>
    <row r="169" spans="1:30" x14ac:dyDescent="0.3">
      <c r="A169" s="11" t="s">
        <v>531</v>
      </c>
      <c r="B169" s="11">
        <v>10621</v>
      </c>
      <c r="C169" s="11">
        <v>1</v>
      </c>
      <c r="D169" s="11" t="s">
        <v>367</v>
      </c>
      <c r="E169" s="11" t="s">
        <v>205</v>
      </c>
      <c r="F169" s="11" t="s">
        <v>206</v>
      </c>
      <c r="G169" s="11">
        <v>81</v>
      </c>
      <c r="H169" s="11" t="s">
        <v>201</v>
      </c>
      <c r="I169" s="11">
        <v>86</v>
      </c>
      <c r="J169" s="11" t="s">
        <v>201</v>
      </c>
      <c r="K169" s="11">
        <v>76</v>
      </c>
      <c r="L169" s="11" t="s">
        <v>201</v>
      </c>
      <c r="M169" s="11">
        <v>0</v>
      </c>
      <c r="N169" s="11" t="s">
        <v>188</v>
      </c>
      <c r="O169" s="11">
        <v>1</v>
      </c>
      <c r="P169" s="11" t="s">
        <v>197</v>
      </c>
      <c r="Q169" s="11">
        <v>0</v>
      </c>
      <c r="R169" s="11" t="s">
        <v>203</v>
      </c>
      <c r="S169" s="11">
        <v>37</v>
      </c>
      <c r="T169" s="11" t="s">
        <v>187</v>
      </c>
      <c r="U169" s="11">
        <v>37</v>
      </c>
      <c r="V169" s="11" t="s">
        <v>187</v>
      </c>
      <c r="W169" s="11">
        <v>33</v>
      </c>
      <c r="X169" s="11" t="s">
        <v>187</v>
      </c>
      <c r="Y169" s="11">
        <v>36</v>
      </c>
      <c r="Z169" s="11" t="s">
        <v>187</v>
      </c>
      <c r="AA169" s="11">
        <v>32</v>
      </c>
      <c r="AB169" s="11" t="s">
        <v>187</v>
      </c>
      <c r="AC169" s="11">
        <v>36</v>
      </c>
      <c r="AD169" s="11" t="s">
        <v>187</v>
      </c>
    </row>
    <row r="170" spans="1:30" x14ac:dyDescent="0.3">
      <c r="A170" s="11" t="s">
        <v>531</v>
      </c>
      <c r="B170" s="11">
        <v>10622</v>
      </c>
      <c r="C170" s="11">
        <v>1</v>
      </c>
      <c r="D170" s="11" t="s">
        <v>368</v>
      </c>
      <c r="E170" s="11" t="s">
        <v>184</v>
      </c>
      <c r="F170" s="11" t="s">
        <v>185</v>
      </c>
      <c r="G170" s="11">
        <v>23</v>
      </c>
      <c r="H170" s="11" t="s">
        <v>186</v>
      </c>
      <c r="I170" s="11">
        <v>23</v>
      </c>
      <c r="J170" s="11" t="s">
        <v>186</v>
      </c>
      <c r="K170" s="11">
        <v>45</v>
      </c>
      <c r="L170" s="11" t="s">
        <v>187</v>
      </c>
      <c r="M170" s="11">
        <v>0</v>
      </c>
      <c r="N170" s="11" t="s">
        <v>188</v>
      </c>
      <c r="O170" s="11">
        <v>3</v>
      </c>
      <c r="P170" s="11" t="s">
        <v>189</v>
      </c>
      <c r="Q170" s="11">
        <v>3</v>
      </c>
      <c r="R170" s="11" t="s">
        <v>190</v>
      </c>
      <c r="S170" s="11">
        <v>37</v>
      </c>
      <c r="T170" s="11" t="s">
        <v>187</v>
      </c>
      <c r="U170" s="11">
        <v>58</v>
      </c>
      <c r="V170" s="11" t="s">
        <v>191</v>
      </c>
      <c r="W170" s="11">
        <v>45</v>
      </c>
      <c r="X170" s="11" t="s">
        <v>191</v>
      </c>
      <c r="Y170" s="11">
        <v>48</v>
      </c>
      <c r="Z170" s="11" t="s">
        <v>191</v>
      </c>
      <c r="AA170" s="11">
        <v>32</v>
      </c>
      <c r="AB170" s="11" t="s">
        <v>187</v>
      </c>
      <c r="AC170" s="11">
        <v>62</v>
      </c>
      <c r="AD170" s="11" t="s">
        <v>192</v>
      </c>
    </row>
    <row r="171" spans="1:30" x14ac:dyDescent="0.3">
      <c r="A171" s="11" t="s">
        <v>531</v>
      </c>
      <c r="B171" s="11">
        <v>10623</v>
      </c>
      <c r="C171" s="11">
        <v>1</v>
      </c>
      <c r="D171" s="11" t="s">
        <v>369</v>
      </c>
      <c r="E171" s="11" t="s">
        <v>194</v>
      </c>
      <c r="F171" s="11" t="s">
        <v>195</v>
      </c>
      <c r="G171" s="11">
        <v>32</v>
      </c>
      <c r="H171" s="11" t="s">
        <v>196</v>
      </c>
      <c r="I171" s="11">
        <v>31</v>
      </c>
      <c r="J171" s="11" t="s">
        <v>196</v>
      </c>
      <c r="K171" s="11">
        <v>26</v>
      </c>
      <c r="L171" s="11" t="s">
        <v>186</v>
      </c>
      <c r="M171" s="11">
        <v>0</v>
      </c>
      <c r="N171" s="11" t="s">
        <v>188</v>
      </c>
      <c r="O171" s="11">
        <v>1</v>
      </c>
      <c r="P171" s="11" t="s">
        <v>197</v>
      </c>
      <c r="Q171" s="11">
        <v>3</v>
      </c>
      <c r="R171" s="11" t="s">
        <v>190</v>
      </c>
      <c r="S171" s="11">
        <v>37</v>
      </c>
      <c r="T171" s="11" t="s">
        <v>187</v>
      </c>
      <c r="U171" s="11">
        <v>37</v>
      </c>
      <c r="V171" s="11" t="s">
        <v>187</v>
      </c>
      <c r="W171" s="11">
        <v>33</v>
      </c>
      <c r="X171" s="11" t="s">
        <v>187</v>
      </c>
      <c r="Y171" s="11">
        <v>36</v>
      </c>
      <c r="Z171" s="11" t="s">
        <v>187</v>
      </c>
      <c r="AA171" s="11">
        <v>32</v>
      </c>
      <c r="AB171" s="11" t="s">
        <v>187</v>
      </c>
      <c r="AC171" s="11">
        <v>36</v>
      </c>
      <c r="AD171" s="11" t="s">
        <v>187</v>
      </c>
    </row>
    <row r="172" spans="1:30" x14ac:dyDescent="0.3">
      <c r="A172" s="11" t="s">
        <v>531</v>
      </c>
      <c r="B172" s="11">
        <v>10624</v>
      </c>
      <c r="C172" s="11">
        <v>1</v>
      </c>
      <c r="D172" s="11" t="s">
        <v>370</v>
      </c>
      <c r="E172" s="11" t="s">
        <v>199</v>
      </c>
      <c r="F172" s="11" t="s">
        <v>200</v>
      </c>
      <c r="G172" s="11">
        <v>77</v>
      </c>
      <c r="H172" s="11" t="s">
        <v>201</v>
      </c>
      <c r="I172" s="11">
        <v>65</v>
      </c>
      <c r="J172" s="11" t="s">
        <v>202</v>
      </c>
      <c r="K172" s="11">
        <v>76</v>
      </c>
      <c r="L172" s="11" t="s">
        <v>201</v>
      </c>
      <c r="M172" s="11">
        <v>0</v>
      </c>
      <c r="N172" s="11" t="s">
        <v>188</v>
      </c>
      <c r="O172" s="11">
        <v>5</v>
      </c>
      <c r="P172" s="11" t="s">
        <v>189</v>
      </c>
      <c r="Q172" s="11">
        <v>0</v>
      </c>
      <c r="R172" s="11" t="s">
        <v>203</v>
      </c>
      <c r="S172" s="11">
        <v>85</v>
      </c>
      <c r="T172" s="11" t="s">
        <v>192</v>
      </c>
      <c r="U172" s="11">
        <v>79</v>
      </c>
      <c r="V172" s="11" t="s">
        <v>192</v>
      </c>
      <c r="W172" s="11">
        <v>81</v>
      </c>
      <c r="X172" s="11" t="s">
        <v>192</v>
      </c>
      <c r="Y172" s="11">
        <v>85</v>
      </c>
      <c r="Z172" s="11" t="s">
        <v>192</v>
      </c>
      <c r="AA172" s="11">
        <v>80</v>
      </c>
      <c r="AB172" s="11" t="s">
        <v>192</v>
      </c>
      <c r="AC172" s="11">
        <v>87</v>
      </c>
      <c r="AD172" s="11" t="s">
        <v>192</v>
      </c>
    </row>
    <row r="173" spans="1:30" x14ac:dyDescent="0.3">
      <c r="A173" s="11" t="s">
        <v>531</v>
      </c>
      <c r="B173" s="11">
        <v>10625</v>
      </c>
      <c r="C173" s="11">
        <v>1</v>
      </c>
      <c r="D173" s="11" t="s">
        <v>371</v>
      </c>
      <c r="E173" s="11" t="s">
        <v>205</v>
      </c>
      <c r="F173" s="11" t="s">
        <v>206</v>
      </c>
      <c r="G173" s="11">
        <v>81</v>
      </c>
      <c r="H173" s="11" t="s">
        <v>201</v>
      </c>
      <c r="I173" s="11">
        <v>86</v>
      </c>
      <c r="J173" s="11" t="s">
        <v>201</v>
      </c>
      <c r="K173" s="11">
        <v>76</v>
      </c>
      <c r="L173" s="11" t="s">
        <v>201</v>
      </c>
      <c r="M173" s="11">
        <v>0</v>
      </c>
      <c r="N173" s="11" t="s">
        <v>188</v>
      </c>
      <c r="O173" s="11">
        <v>1</v>
      </c>
      <c r="P173" s="11" t="s">
        <v>197</v>
      </c>
      <c r="Q173" s="11">
        <v>0</v>
      </c>
      <c r="R173" s="11" t="s">
        <v>203</v>
      </c>
      <c r="S173" s="11">
        <v>37</v>
      </c>
      <c r="T173" s="11" t="s">
        <v>187</v>
      </c>
      <c r="U173" s="11">
        <v>37</v>
      </c>
      <c r="V173" s="11" t="s">
        <v>187</v>
      </c>
      <c r="W173" s="11">
        <v>33</v>
      </c>
      <c r="X173" s="11" t="s">
        <v>187</v>
      </c>
      <c r="Y173" s="11">
        <v>36</v>
      </c>
      <c r="Z173" s="11" t="s">
        <v>187</v>
      </c>
      <c r="AA173" s="11">
        <v>32</v>
      </c>
      <c r="AB173" s="11" t="s">
        <v>187</v>
      </c>
      <c r="AC173" s="11">
        <v>36</v>
      </c>
      <c r="AD173" s="11" t="s">
        <v>187</v>
      </c>
    </row>
    <row r="174" spans="1:30" x14ac:dyDescent="0.3">
      <c r="A174" s="11" t="s">
        <v>531</v>
      </c>
      <c r="B174" s="11">
        <v>10626</v>
      </c>
      <c r="C174" s="11">
        <v>1</v>
      </c>
      <c r="D174" s="11" t="s">
        <v>372</v>
      </c>
      <c r="E174" s="11" t="s">
        <v>184</v>
      </c>
      <c r="F174" s="11" t="s">
        <v>185</v>
      </c>
      <c r="G174" s="11">
        <v>23</v>
      </c>
      <c r="H174" s="11" t="s">
        <v>186</v>
      </c>
      <c r="I174" s="11">
        <v>23</v>
      </c>
      <c r="J174" s="11" t="s">
        <v>186</v>
      </c>
      <c r="K174" s="11">
        <v>45</v>
      </c>
      <c r="L174" s="11" t="s">
        <v>187</v>
      </c>
      <c r="M174" s="11">
        <v>0</v>
      </c>
      <c r="N174" s="11" t="s">
        <v>188</v>
      </c>
      <c r="O174" s="11">
        <v>3</v>
      </c>
      <c r="P174" s="11" t="s">
        <v>189</v>
      </c>
      <c r="Q174" s="11">
        <v>3</v>
      </c>
      <c r="R174" s="11" t="s">
        <v>190</v>
      </c>
      <c r="S174" s="11">
        <v>37</v>
      </c>
      <c r="T174" s="11" t="s">
        <v>187</v>
      </c>
      <c r="U174" s="11">
        <v>58</v>
      </c>
      <c r="V174" s="11" t="s">
        <v>191</v>
      </c>
      <c r="W174" s="11">
        <v>45</v>
      </c>
      <c r="X174" s="11" t="s">
        <v>191</v>
      </c>
      <c r="Y174" s="11">
        <v>48</v>
      </c>
      <c r="Z174" s="11" t="s">
        <v>191</v>
      </c>
      <c r="AA174" s="11">
        <v>32</v>
      </c>
      <c r="AB174" s="11" t="s">
        <v>187</v>
      </c>
      <c r="AC174" s="11">
        <v>62</v>
      </c>
      <c r="AD174" s="11" t="s">
        <v>192</v>
      </c>
    </row>
    <row r="175" spans="1:30" x14ac:dyDescent="0.3">
      <c r="A175" s="11" t="s">
        <v>531</v>
      </c>
      <c r="B175" s="11">
        <v>10627</v>
      </c>
      <c r="C175" s="11">
        <v>1</v>
      </c>
      <c r="D175" s="11" t="s">
        <v>373</v>
      </c>
      <c r="E175" s="11" t="s">
        <v>194</v>
      </c>
      <c r="F175" s="11" t="s">
        <v>195</v>
      </c>
      <c r="G175" s="11">
        <v>32</v>
      </c>
      <c r="H175" s="11" t="s">
        <v>196</v>
      </c>
      <c r="I175" s="11">
        <v>31</v>
      </c>
      <c r="J175" s="11" t="s">
        <v>196</v>
      </c>
      <c r="K175" s="11">
        <v>26</v>
      </c>
      <c r="L175" s="11" t="s">
        <v>186</v>
      </c>
      <c r="M175" s="11">
        <v>0</v>
      </c>
      <c r="N175" s="11" t="s">
        <v>188</v>
      </c>
      <c r="O175" s="11">
        <v>1</v>
      </c>
      <c r="P175" s="11" t="s">
        <v>197</v>
      </c>
      <c r="Q175" s="11">
        <v>3</v>
      </c>
      <c r="R175" s="11" t="s">
        <v>190</v>
      </c>
      <c r="S175" s="11">
        <v>37</v>
      </c>
      <c r="T175" s="11" t="s">
        <v>187</v>
      </c>
      <c r="U175" s="11">
        <v>37</v>
      </c>
      <c r="V175" s="11" t="s">
        <v>187</v>
      </c>
      <c r="W175" s="11">
        <v>33</v>
      </c>
      <c r="X175" s="11" t="s">
        <v>187</v>
      </c>
      <c r="Y175" s="11">
        <v>36</v>
      </c>
      <c r="Z175" s="11" t="s">
        <v>187</v>
      </c>
      <c r="AA175" s="11">
        <v>32</v>
      </c>
      <c r="AB175" s="11" t="s">
        <v>187</v>
      </c>
      <c r="AC175" s="11">
        <v>36</v>
      </c>
      <c r="AD175" s="11" t="s">
        <v>187</v>
      </c>
    </row>
    <row r="176" spans="1:30" x14ac:dyDescent="0.3">
      <c r="A176" s="11" t="s">
        <v>531</v>
      </c>
      <c r="B176" s="11">
        <v>10628</v>
      </c>
      <c r="C176" s="11">
        <v>1</v>
      </c>
      <c r="D176" s="11" t="s">
        <v>374</v>
      </c>
      <c r="E176" s="11" t="s">
        <v>199</v>
      </c>
      <c r="F176" s="11" t="s">
        <v>200</v>
      </c>
      <c r="G176" s="11">
        <v>77</v>
      </c>
      <c r="H176" s="11" t="s">
        <v>201</v>
      </c>
      <c r="I176" s="11">
        <v>65</v>
      </c>
      <c r="J176" s="11" t="s">
        <v>202</v>
      </c>
      <c r="K176" s="11">
        <v>76</v>
      </c>
      <c r="L176" s="11" t="s">
        <v>201</v>
      </c>
      <c r="M176" s="11">
        <v>0</v>
      </c>
      <c r="N176" s="11" t="s">
        <v>188</v>
      </c>
      <c r="O176" s="11">
        <v>5</v>
      </c>
      <c r="P176" s="11" t="s">
        <v>189</v>
      </c>
      <c r="Q176" s="11">
        <v>0</v>
      </c>
      <c r="R176" s="11" t="s">
        <v>203</v>
      </c>
      <c r="S176" s="11">
        <v>85</v>
      </c>
      <c r="T176" s="11" t="s">
        <v>192</v>
      </c>
      <c r="U176" s="11">
        <v>79</v>
      </c>
      <c r="V176" s="11" t="s">
        <v>192</v>
      </c>
      <c r="W176" s="11">
        <v>81</v>
      </c>
      <c r="X176" s="11" t="s">
        <v>192</v>
      </c>
      <c r="Y176" s="11">
        <v>85</v>
      </c>
      <c r="Z176" s="11" t="s">
        <v>192</v>
      </c>
      <c r="AA176" s="11">
        <v>80</v>
      </c>
      <c r="AB176" s="11" t="s">
        <v>192</v>
      </c>
      <c r="AC176" s="11">
        <v>87</v>
      </c>
      <c r="AD176" s="11" t="s">
        <v>192</v>
      </c>
    </row>
    <row r="177" spans="1:30" x14ac:dyDescent="0.3">
      <c r="A177" s="11" t="s">
        <v>531</v>
      </c>
      <c r="B177" s="11">
        <v>10629</v>
      </c>
      <c r="C177" s="11">
        <v>1</v>
      </c>
      <c r="D177" s="11" t="s">
        <v>375</v>
      </c>
      <c r="E177" s="11" t="s">
        <v>205</v>
      </c>
      <c r="F177" s="11" t="s">
        <v>206</v>
      </c>
      <c r="G177" s="11">
        <v>81</v>
      </c>
      <c r="H177" s="11" t="s">
        <v>201</v>
      </c>
      <c r="I177" s="11">
        <v>86</v>
      </c>
      <c r="J177" s="11" t="s">
        <v>201</v>
      </c>
      <c r="K177" s="11">
        <v>76</v>
      </c>
      <c r="L177" s="11" t="s">
        <v>201</v>
      </c>
      <c r="M177" s="11">
        <v>0</v>
      </c>
      <c r="N177" s="11" t="s">
        <v>188</v>
      </c>
      <c r="O177" s="11">
        <v>1</v>
      </c>
      <c r="P177" s="11" t="s">
        <v>197</v>
      </c>
      <c r="Q177" s="11">
        <v>0</v>
      </c>
      <c r="R177" s="11" t="s">
        <v>203</v>
      </c>
      <c r="S177" s="11">
        <v>37</v>
      </c>
      <c r="T177" s="11" t="s">
        <v>187</v>
      </c>
      <c r="U177" s="11">
        <v>37</v>
      </c>
      <c r="V177" s="11" t="s">
        <v>187</v>
      </c>
      <c r="W177" s="11">
        <v>33</v>
      </c>
      <c r="X177" s="11" t="s">
        <v>187</v>
      </c>
      <c r="Y177" s="11">
        <v>36</v>
      </c>
      <c r="Z177" s="11" t="s">
        <v>187</v>
      </c>
      <c r="AA177" s="11">
        <v>32</v>
      </c>
      <c r="AB177" s="11" t="s">
        <v>187</v>
      </c>
      <c r="AC177" s="11">
        <v>36</v>
      </c>
      <c r="AD177" s="11" t="s">
        <v>187</v>
      </c>
    </row>
    <row r="178" spans="1:30" x14ac:dyDescent="0.3">
      <c r="A178" s="11" t="s">
        <v>531</v>
      </c>
      <c r="B178" s="11">
        <v>10701</v>
      </c>
      <c r="C178" s="11">
        <v>2</v>
      </c>
      <c r="D178" s="11" t="s">
        <v>376</v>
      </c>
      <c r="E178" s="11" t="s">
        <v>184</v>
      </c>
      <c r="F178" s="11" t="s">
        <v>185</v>
      </c>
      <c r="G178" s="11">
        <v>23</v>
      </c>
      <c r="H178" s="11" t="s">
        <v>186</v>
      </c>
      <c r="I178" s="11">
        <v>23</v>
      </c>
      <c r="J178" s="11" t="s">
        <v>186</v>
      </c>
      <c r="K178" s="11">
        <v>45</v>
      </c>
      <c r="L178" s="11" t="s">
        <v>187</v>
      </c>
      <c r="M178" s="11">
        <v>0</v>
      </c>
      <c r="N178" s="11" t="s">
        <v>188</v>
      </c>
      <c r="O178" s="11">
        <v>3</v>
      </c>
      <c r="P178" s="11" t="s">
        <v>189</v>
      </c>
      <c r="Q178" s="11">
        <v>3</v>
      </c>
      <c r="R178" s="11" t="s">
        <v>190</v>
      </c>
      <c r="S178" s="11">
        <v>37</v>
      </c>
      <c r="T178" s="11" t="s">
        <v>187</v>
      </c>
      <c r="U178" s="11">
        <v>58</v>
      </c>
      <c r="V178" s="11" t="s">
        <v>191</v>
      </c>
      <c r="W178" s="11">
        <v>45</v>
      </c>
      <c r="X178" s="11" t="s">
        <v>191</v>
      </c>
      <c r="Y178" s="11">
        <v>48</v>
      </c>
      <c r="Z178" s="11" t="s">
        <v>191</v>
      </c>
      <c r="AA178" s="11">
        <v>32</v>
      </c>
      <c r="AB178" s="11" t="s">
        <v>187</v>
      </c>
      <c r="AC178" s="11">
        <v>62</v>
      </c>
      <c r="AD178" s="11" t="s">
        <v>192</v>
      </c>
    </row>
    <row r="179" spans="1:30" x14ac:dyDescent="0.3">
      <c r="A179" s="11" t="s">
        <v>531</v>
      </c>
      <c r="B179" s="11">
        <v>10702</v>
      </c>
      <c r="C179" s="11">
        <v>2</v>
      </c>
      <c r="D179" s="11" t="s">
        <v>377</v>
      </c>
      <c r="E179" s="11" t="s">
        <v>194</v>
      </c>
      <c r="F179" s="11" t="s">
        <v>195</v>
      </c>
      <c r="G179" s="11">
        <v>32</v>
      </c>
      <c r="H179" s="11" t="s">
        <v>196</v>
      </c>
      <c r="I179" s="11">
        <v>31</v>
      </c>
      <c r="J179" s="11" t="s">
        <v>196</v>
      </c>
      <c r="K179" s="11">
        <v>26</v>
      </c>
      <c r="L179" s="11" t="s">
        <v>186</v>
      </c>
      <c r="M179" s="11">
        <v>0</v>
      </c>
      <c r="N179" s="11" t="s">
        <v>188</v>
      </c>
      <c r="O179" s="11">
        <v>1</v>
      </c>
      <c r="P179" s="11" t="s">
        <v>197</v>
      </c>
      <c r="Q179" s="11">
        <v>3</v>
      </c>
      <c r="R179" s="11" t="s">
        <v>190</v>
      </c>
      <c r="S179" s="11">
        <v>37</v>
      </c>
      <c r="T179" s="11" t="s">
        <v>187</v>
      </c>
      <c r="U179" s="11">
        <v>37</v>
      </c>
      <c r="V179" s="11" t="s">
        <v>187</v>
      </c>
      <c r="W179" s="11">
        <v>33</v>
      </c>
      <c r="X179" s="11" t="s">
        <v>187</v>
      </c>
      <c r="Y179" s="11">
        <v>36</v>
      </c>
      <c r="Z179" s="11" t="s">
        <v>187</v>
      </c>
      <c r="AA179" s="11">
        <v>32</v>
      </c>
      <c r="AB179" s="11" t="s">
        <v>187</v>
      </c>
      <c r="AC179" s="11">
        <v>36</v>
      </c>
      <c r="AD179" s="11" t="s">
        <v>187</v>
      </c>
    </row>
    <row r="180" spans="1:30" x14ac:dyDescent="0.3">
      <c r="A180" s="11" t="s">
        <v>531</v>
      </c>
      <c r="B180" s="11">
        <v>10703</v>
      </c>
      <c r="C180" s="11">
        <v>2</v>
      </c>
      <c r="D180" s="11" t="s">
        <v>378</v>
      </c>
      <c r="E180" s="11" t="s">
        <v>199</v>
      </c>
      <c r="F180" s="11" t="s">
        <v>200</v>
      </c>
      <c r="G180" s="11">
        <v>77</v>
      </c>
      <c r="H180" s="11" t="s">
        <v>201</v>
      </c>
      <c r="I180" s="11">
        <v>65</v>
      </c>
      <c r="J180" s="11" t="s">
        <v>202</v>
      </c>
      <c r="K180" s="11">
        <v>76</v>
      </c>
      <c r="L180" s="11" t="s">
        <v>201</v>
      </c>
      <c r="M180" s="11">
        <v>0</v>
      </c>
      <c r="N180" s="11" t="s">
        <v>188</v>
      </c>
      <c r="O180" s="11">
        <v>5</v>
      </c>
      <c r="P180" s="11" t="s">
        <v>189</v>
      </c>
      <c r="Q180" s="11">
        <v>0</v>
      </c>
      <c r="R180" s="11" t="s">
        <v>203</v>
      </c>
      <c r="S180" s="11">
        <v>85</v>
      </c>
      <c r="T180" s="11" t="s">
        <v>192</v>
      </c>
      <c r="U180" s="11">
        <v>79</v>
      </c>
      <c r="V180" s="11" t="s">
        <v>192</v>
      </c>
      <c r="W180" s="11">
        <v>81</v>
      </c>
      <c r="X180" s="11" t="s">
        <v>192</v>
      </c>
      <c r="Y180" s="11">
        <v>85</v>
      </c>
      <c r="Z180" s="11" t="s">
        <v>192</v>
      </c>
      <c r="AA180" s="11">
        <v>80</v>
      </c>
      <c r="AB180" s="11" t="s">
        <v>192</v>
      </c>
      <c r="AC180" s="11">
        <v>87</v>
      </c>
      <c r="AD180" s="11" t="s">
        <v>192</v>
      </c>
    </row>
    <row r="181" spans="1:30" x14ac:dyDescent="0.3">
      <c r="A181" s="11" t="s">
        <v>531</v>
      </c>
      <c r="B181" s="11">
        <v>10704</v>
      </c>
      <c r="C181" s="11">
        <v>2</v>
      </c>
      <c r="D181" s="11" t="s">
        <v>379</v>
      </c>
      <c r="E181" s="11" t="s">
        <v>205</v>
      </c>
      <c r="F181" s="11" t="s">
        <v>206</v>
      </c>
      <c r="G181" s="11">
        <v>81</v>
      </c>
      <c r="H181" s="11" t="s">
        <v>201</v>
      </c>
      <c r="I181" s="11">
        <v>86</v>
      </c>
      <c r="J181" s="11" t="s">
        <v>201</v>
      </c>
      <c r="K181" s="11">
        <v>76</v>
      </c>
      <c r="L181" s="11" t="s">
        <v>201</v>
      </c>
      <c r="M181" s="11">
        <v>0</v>
      </c>
      <c r="N181" s="11" t="s">
        <v>188</v>
      </c>
      <c r="O181" s="11">
        <v>1</v>
      </c>
      <c r="P181" s="11" t="s">
        <v>197</v>
      </c>
      <c r="Q181" s="11">
        <v>0</v>
      </c>
      <c r="R181" s="11" t="s">
        <v>203</v>
      </c>
      <c r="S181" s="11">
        <v>37</v>
      </c>
      <c r="T181" s="11" t="s">
        <v>187</v>
      </c>
      <c r="U181" s="11">
        <v>37</v>
      </c>
      <c r="V181" s="11" t="s">
        <v>187</v>
      </c>
      <c r="W181" s="11">
        <v>33</v>
      </c>
      <c r="X181" s="11" t="s">
        <v>187</v>
      </c>
      <c r="Y181" s="11">
        <v>36</v>
      </c>
      <c r="Z181" s="11" t="s">
        <v>187</v>
      </c>
      <c r="AA181" s="11">
        <v>32</v>
      </c>
      <c r="AB181" s="11" t="s">
        <v>187</v>
      </c>
      <c r="AC181" s="11">
        <v>36</v>
      </c>
      <c r="AD181" s="11" t="s">
        <v>187</v>
      </c>
    </row>
    <row r="182" spans="1:30" x14ac:dyDescent="0.3">
      <c r="A182" s="11" t="s">
        <v>531</v>
      </c>
      <c r="B182" s="11">
        <v>10705</v>
      </c>
      <c r="C182" s="11">
        <v>2</v>
      </c>
      <c r="D182" s="11" t="s">
        <v>380</v>
      </c>
      <c r="E182" s="11" t="s">
        <v>184</v>
      </c>
      <c r="F182" s="11" t="s">
        <v>185</v>
      </c>
      <c r="G182" s="11">
        <v>23</v>
      </c>
      <c r="H182" s="11" t="s">
        <v>186</v>
      </c>
      <c r="I182" s="11">
        <v>23</v>
      </c>
      <c r="J182" s="11" t="s">
        <v>186</v>
      </c>
      <c r="K182" s="11">
        <v>45</v>
      </c>
      <c r="L182" s="11" t="s">
        <v>187</v>
      </c>
      <c r="M182" s="11">
        <v>0</v>
      </c>
      <c r="N182" s="11" t="s">
        <v>188</v>
      </c>
      <c r="O182" s="11">
        <v>3</v>
      </c>
      <c r="P182" s="11" t="s">
        <v>189</v>
      </c>
      <c r="Q182" s="11">
        <v>3</v>
      </c>
      <c r="R182" s="11" t="s">
        <v>190</v>
      </c>
      <c r="S182" s="11">
        <v>37</v>
      </c>
      <c r="T182" s="11" t="s">
        <v>187</v>
      </c>
      <c r="U182" s="11">
        <v>58</v>
      </c>
      <c r="V182" s="11" t="s">
        <v>191</v>
      </c>
      <c r="W182" s="11">
        <v>45</v>
      </c>
      <c r="X182" s="11" t="s">
        <v>191</v>
      </c>
      <c r="Y182" s="11">
        <v>48</v>
      </c>
      <c r="Z182" s="11" t="s">
        <v>191</v>
      </c>
      <c r="AA182" s="11">
        <v>32</v>
      </c>
      <c r="AB182" s="11" t="s">
        <v>187</v>
      </c>
      <c r="AC182" s="11">
        <v>62</v>
      </c>
      <c r="AD182" s="11" t="s">
        <v>192</v>
      </c>
    </row>
    <row r="183" spans="1:30" x14ac:dyDescent="0.3">
      <c r="A183" s="11" t="s">
        <v>531</v>
      </c>
      <c r="B183" s="11">
        <v>10706</v>
      </c>
      <c r="C183" s="11">
        <v>2</v>
      </c>
      <c r="D183" s="11" t="s">
        <v>381</v>
      </c>
      <c r="E183" s="11" t="s">
        <v>194</v>
      </c>
      <c r="F183" s="11" t="s">
        <v>195</v>
      </c>
      <c r="G183" s="11">
        <v>32</v>
      </c>
      <c r="H183" s="11" t="s">
        <v>196</v>
      </c>
      <c r="I183" s="11">
        <v>31</v>
      </c>
      <c r="J183" s="11" t="s">
        <v>196</v>
      </c>
      <c r="K183" s="11">
        <v>26</v>
      </c>
      <c r="L183" s="11" t="s">
        <v>186</v>
      </c>
      <c r="M183" s="11">
        <v>0</v>
      </c>
      <c r="N183" s="11" t="s">
        <v>188</v>
      </c>
      <c r="O183" s="11">
        <v>1</v>
      </c>
      <c r="P183" s="11" t="s">
        <v>197</v>
      </c>
      <c r="Q183" s="11">
        <v>3</v>
      </c>
      <c r="R183" s="11" t="s">
        <v>190</v>
      </c>
      <c r="S183" s="11">
        <v>37</v>
      </c>
      <c r="T183" s="11" t="s">
        <v>187</v>
      </c>
      <c r="U183" s="11">
        <v>37</v>
      </c>
      <c r="V183" s="11" t="s">
        <v>187</v>
      </c>
      <c r="W183" s="11">
        <v>33</v>
      </c>
      <c r="X183" s="11" t="s">
        <v>187</v>
      </c>
      <c r="Y183" s="11">
        <v>36</v>
      </c>
      <c r="Z183" s="11" t="s">
        <v>187</v>
      </c>
      <c r="AA183" s="11">
        <v>32</v>
      </c>
      <c r="AB183" s="11" t="s">
        <v>187</v>
      </c>
      <c r="AC183" s="11">
        <v>36</v>
      </c>
      <c r="AD183" s="11" t="s">
        <v>187</v>
      </c>
    </row>
    <row r="184" spans="1:30" x14ac:dyDescent="0.3">
      <c r="A184" s="11" t="s">
        <v>531</v>
      </c>
      <c r="B184" s="11">
        <v>10707</v>
      </c>
      <c r="C184" s="11">
        <v>2</v>
      </c>
      <c r="D184" s="11" t="s">
        <v>382</v>
      </c>
      <c r="E184" s="11" t="s">
        <v>199</v>
      </c>
      <c r="F184" s="11" t="s">
        <v>200</v>
      </c>
      <c r="G184" s="11">
        <v>77</v>
      </c>
      <c r="H184" s="11" t="s">
        <v>201</v>
      </c>
      <c r="I184" s="11">
        <v>65</v>
      </c>
      <c r="J184" s="11" t="s">
        <v>202</v>
      </c>
      <c r="K184" s="11">
        <v>76</v>
      </c>
      <c r="L184" s="11" t="s">
        <v>201</v>
      </c>
      <c r="M184" s="11">
        <v>0</v>
      </c>
      <c r="N184" s="11" t="s">
        <v>188</v>
      </c>
      <c r="O184" s="11">
        <v>5</v>
      </c>
      <c r="P184" s="11" t="s">
        <v>189</v>
      </c>
      <c r="Q184" s="11">
        <v>0</v>
      </c>
      <c r="R184" s="11" t="s">
        <v>203</v>
      </c>
      <c r="S184" s="11">
        <v>85</v>
      </c>
      <c r="T184" s="11" t="s">
        <v>192</v>
      </c>
      <c r="U184" s="11">
        <v>79</v>
      </c>
      <c r="V184" s="11" t="s">
        <v>192</v>
      </c>
      <c r="W184" s="11">
        <v>81</v>
      </c>
      <c r="X184" s="11" t="s">
        <v>192</v>
      </c>
      <c r="Y184" s="11">
        <v>85</v>
      </c>
      <c r="Z184" s="11" t="s">
        <v>192</v>
      </c>
      <c r="AA184" s="11">
        <v>80</v>
      </c>
      <c r="AB184" s="11" t="s">
        <v>192</v>
      </c>
      <c r="AC184" s="11">
        <v>87</v>
      </c>
      <c r="AD184" s="11" t="s">
        <v>192</v>
      </c>
    </row>
    <row r="185" spans="1:30" x14ac:dyDescent="0.3">
      <c r="A185" s="11" t="s">
        <v>531</v>
      </c>
      <c r="B185" s="11">
        <v>10708</v>
      </c>
      <c r="C185" s="11">
        <v>2</v>
      </c>
      <c r="D185" s="11" t="s">
        <v>383</v>
      </c>
      <c r="E185" s="11" t="s">
        <v>205</v>
      </c>
      <c r="F185" s="11" t="s">
        <v>206</v>
      </c>
      <c r="G185" s="11">
        <v>81</v>
      </c>
      <c r="H185" s="11" t="s">
        <v>201</v>
      </c>
      <c r="I185" s="11">
        <v>86</v>
      </c>
      <c r="J185" s="11" t="s">
        <v>201</v>
      </c>
      <c r="K185" s="11">
        <v>76</v>
      </c>
      <c r="L185" s="11" t="s">
        <v>201</v>
      </c>
      <c r="M185" s="11">
        <v>0</v>
      </c>
      <c r="N185" s="11" t="s">
        <v>188</v>
      </c>
      <c r="O185" s="11">
        <v>1</v>
      </c>
      <c r="P185" s="11" t="s">
        <v>197</v>
      </c>
      <c r="Q185" s="11">
        <v>0</v>
      </c>
      <c r="R185" s="11" t="s">
        <v>203</v>
      </c>
      <c r="S185" s="11">
        <v>37</v>
      </c>
      <c r="T185" s="11" t="s">
        <v>187</v>
      </c>
      <c r="U185" s="11">
        <v>37</v>
      </c>
      <c r="V185" s="11" t="s">
        <v>187</v>
      </c>
      <c r="W185" s="11">
        <v>33</v>
      </c>
      <c r="X185" s="11" t="s">
        <v>187</v>
      </c>
      <c r="Y185" s="11">
        <v>36</v>
      </c>
      <c r="Z185" s="11" t="s">
        <v>187</v>
      </c>
      <c r="AA185" s="11">
        <v>32</v>
      </c>
      <c r="AB185" s="11" t="s">
        <v>187</v>
      </c>
      <c r="AC185" s="11">
        <v>36</v>
      </c>
      <c r="AD185" s="11" t="s">
        <v>187</v>
      </c>
    </row>
    <row r="186" spans="1:30" x14ac:dyDescent="0.3">
      <c r="A186" s="11" t="s">
        <v>531</v>
      </c>
      <c r="B186" s="11">
        <v>10709</v>
      </c>
      <c r="C186" s="11">
        <v>2</v>
      </c>
      <c r="D186" s="11" t="s">
        <v>384</v>
      </c>
      <c r="E186" s="11" t="s">
        <v>184</v>
      </c>
      <c r="F186" s="11" t="s">
        <v>185</v>
      </c>
      <c r="G186" s="11">
        <v>23</v>
      </c>
      <c r="H186" s="11" t="s">
        <v>186</v>
      </c>
      <c r="I186" s="11">
        <v>23</v>
      </c>
      <c r="J186" s="11" t="s">
        <v>186</v>
      </c>
      <c r="K186" s="11">
        <v>45</v>
      </c>
      <c r="L186" s="11" t="s">
        <v>187</v>
      </c>
      <c r="M186" s="11">
        <v>0</v>
      </c>
      <c r="N186" s="11" t="s">
        <v>188</v>
      </c>
      <c r="O186" s="11">
        <v>3</v>
      </c>
      <c r="P186" s="11" t="s">
        <v>189</v>
      </c>
      <c r="Q186" s="11">
        <v>3</v>
      </c>
      <c r="R186" s="11" t="s">
        <v>190</v>
      </c>
      <c r="S186" s="11">
        <v>37</v>
      </c>
      <c r="T186" s="11" t="s">
        <v>187</v>
      </c>
      <c r="U186" s="11">
        <v>58</v>
      </c>
      <c r="V186" s="11" t="s">
        <v>191</v>
      </c>
      <c r="W186" s="11">
        <v>45</v>
      </c>
      <c r="X186" s="11" t="s">
        <v>191</v>
      </c>
      <c r="Y186" s="11">
        <v>48</v>
      </c>
      <c r="Z186" s="11" t="s">
        <v>191</v>
      </c>
      <c r="AA186" s="11">
        <v>32</v>
      </c>
      <c r="AB186" s="11" t="s">
        <v>187</v>
      </c>
      <c r="AC186" s="11">
        <v>62</v>
      </c>
      <c r="AD186" s="11" t="s">
        <v>192</v>
      </c>
    </row>
    <row r="187" spans="1:30" x14ac:dyDescent="0.3">
      <c r="A187" s="11" t="s">
        <v>531</v>
      </c>
      <c r="B187" s="11">
        <v>10710</v>
      </c>
      <c r="C187" s="11">
        <v>2</v>
      </c>
      <c r="D187" s="11" t="s">
        <v>385</v>
      </c>
      <c r="E187" s="11" t="s">
        <v>194</v>
      </c>
      <c r="F187" s="11" t="s">
        <v>195</v>
      </c>
      <c r="G187" s="11">
        <v>32</v>
      </c>
      <c r="H187" s="11" t="s">
        <v>196</v>
      </c>
      <c r="I187" s="11">
        <v>31</v>
      </c>
      <c r="J187" s="11" t="s">
        <v>196</v>
      </c>
      <c r="K187" s="11">
        <v>26</v>
      </c>
      <c r="L187" s="11" t="s">
        <v>186</v>
      </c>
      <c r="M187" s="11">
        <v>0</v>
      </c>
      <c r="N187" s="11" t="s">
        <v>188</v>
      </c>
      <c r="O187" s="11">
        <v>1</v>
      </c>
      <c r="P187" s="11" t="s">
        <v>197</v>
      </c>
      <c r="Q187" s="11">
        <v>3</v>
      </c>
      <c r="R187" s="11" t="s">
        <v>190</v>
      </c>
      <c r="S187" s="11">
        <v>37</v>
      </c>
      <c r="T187" s="11" t="s">
        <v>187</v>
      </c>
      <c r="U187" s="11">
        <v>37</v>
      </c>
      <c r="V187" s="11" t="s">
        <v>187</v>
      </c>
      <c r="W187" s="11">
        <v>33</v>
      </c>
      <c r="X187" s="11" t="s">
        <v>187</v>
      </c>
      <c r="Y187" s="11">
        <v>36</v>
      </c>
      <c r="Z187" s="11" t="s">
        <v>187</v>
      </c>
      <c r="AA187" s="11">
        <v>32</v>
      </c>
      <c r="AB187" s="11" t="s">
        <v>187</v>
      </c>
      <c r="AC187" s="11">
        <v>36</v>
      </c>
      <c r="AD187" s="11" t="s">
        <v>187</v>
      </c>
    </row>
    <row r="188" spans="1:30" x14ac:dyDescent="0.3">
      <c r="A188" s="11" t="s">
        <v>531</v>
      </c>
      <c r="B188" s="11">
        <v>10711</v>
      </c>
      <c r="C188" s="11">
        <v>2</v>
      </c>
      <c r="D188" s="11" t="s">
        <v>386</v>
      </c>
      <c r="E188" s="11" t="s">
        <v>199</v>
      </c>
      <c r="F188" s="11" t="s">
        <v>200</v>
      </c>
      <c r="G188" s="11">
        <v>77</v>
      </c>
      <c r="H188" s="11" t="s">
        <v>201</v>
      </c>
      <c r="I188" s="11">
        <v>65</v>
      </c>
      <c r="J188" s="11" t="s">
        <v>202</v>
      </c>
      <c r="K188" s="11">
        <v>76</v>
      </c>
      <c r="L188" s="11" t="s">
        <v>201</v>
      </c>
      <c r="M188" s="11">
        <v>0</v>
      </c>
      <c r="N188" s="11" t="s">
        <v>188</v>
      </c>
      <c r="O188" s="11">
        <v>5</v>
      </c>
      <c r="P188" s="11" t="s">
        <v>189</v>
      </c>
      <c r="Q188" s="11">
        <v>0</v>
      </c>
      <c r="R188" s="11" t="s">
        <v>203</v>
      </c>
      <c r="S188" s="11">
        <v>85</v>
      </c>
      <c r="T188" s="11" t="s">
        <v>192</v>
      </c>
      <c r="U188" s="11">
        <v>79</v>
      </c>
      <c r="V188" s="11" t="s">
        <v>192</v>
      </c>
      <c r="W188" s="11">
        <v>81</v>
      </c>
      <c r="X188" s="11" t="s">
        <v>192</v>
      </c>
      <c r="Y188" s="11">
        <v>85</v>
      </c>
      <c r="Z188" s="11" t="s">
        <v>192</v>
      </c>
      <c r="AA188" s="11">
        <v>80</v>
      </c>
      <c r="AB188" s="11" t="s">
        <v>192</v>
      </c>
      <c r="AC188" s="11">
        <v>87</v>
      </c>
      <c r="AD188" s="11" t="s">
        <v>192</v>
      </c>
    </row>
    <row r="189" spans="1:30" x14ac:dyDescent="0.3">
      <c r="A189" s="11" t="s">
        <v>531</v>
      </c>
      <c r="B189" s="11">
        <v>10712</v>
      </c>
      <c r="C189" s="11">
        <v>2</v>
      </c>
      <c r="D189" s="11" t="s">
        <v>387</v>
      </c>
      <c r="E189" s="11" t="s">
        <v>205</v>
      </c>
      <c r="F189" s="11" t="s">
        <v>206</v>
      </c>
      <c r="G189" s="11">
        <v>81</v>
      </c>
      <c r="H189" s="11" t="s">
        <v>201</v>
      </c>
      <c r="I189" s="11">
        <v>86</v>
      </c>
      <c r="J189" s="11" t="s">
        <v>201</v>
      </c>
      <c r="K189" s="11">
        <v>76</v>
      </c>
      <c r="L189" s="11" t="s">
        <v>201</v>
      </c>
      <c r="M189" s="11">
        <v>0</v>
      </c>
      <c r="N189" s="11" t="s">
        <v>188</v>
      </c>
      <c r="O189" s="11">
        <v>1</v>
      </c>
      <c r="P189" s="11" t="s">
        <v>197</v>
      </c>
      <c r="Q189" s="11">
        <v>0</v>
      </c>
      <c r="R189" s="11" t="s">
        <v>203</v>
      </c>
      <c r="S189" s="11">
        <v>37</v>
      </c>
      <c r="T189" s="11" t="s">
        <v>187</v>
      </c>
      <c r="U189" s="11">
        <v>37</v>
      </c>
      <c r="V189" s="11" t="s">
        <v>187</v>
      </c>
      <c r="W189" s="11">
        <v>33</v>
      </c>
      <c r="X189" s="11" t="s">
        <v>187</v>
      </c>
      <c r="Y189" s="11">
        <v>36</v>
      </c>
      <c r="Z189" s="11" t="s">
        <v>187</v>
      </c>
      <c r="AA189" s="11">
        <v>32</v>
      </c>
      <c r="AB189" s="11" t="s">
        <v>187</v>
      </c>
      <c r="AC189" s="11">
        <v>36</v>
      </c>
      <c r="AD189" s="11" t="s">
        <v>187</v>
      </c>
    </row>
    <row r="190" spans="1:30" x14ac:dyDescent="0.3">
      <c r="A190" s="11" t="s">
        <v>531</v>
      </c>
      <c r="B190" s="11">
        <v>10713</v>
      </c>
      <c r="C190" s="11">
        <v>2</v>
      </c>
      <c r="D190" s="11" t="s">
        <v>388</v>
      </c>
      <c r="E190" s="11" t="s">
        <v>184</v>
      </c>
      <c r="F190" s="11" t="s">
        <v>185</v>
      </c>
      <c r="G190" s="11">
        <v>23</v>
      </c>
      <c r="H190" s="11" t="s">
        <v>186</v>
      </c>
      <c r="I190" s="11">
        <v>23</v>
      </c>
      <c r="J190" s="11" t="s">
        <v>186</v>
      </c>
      <c r="K190" s="11">
        <v>45</v>
      </c>
      <c r="L190" s="11" t="s">
        <v>187</v>
      </c>
      <c r="M190" s="11">
        <v>0</v>
      </c>
      <c r="N190" s="11" t="s">
        <v>188</v>
      </c>
      <c r="O190" s="11">
        <v>3</v>
      </c>
      <c r="P190" s="11" t="s">
        <v>189</v>
      </c>
      <c r="Q190" s="11">
        <v>3</v>
      </c>
      <c r="R190" s="11" t="s">
        <v>190</v>
      </c>
      <c r="S190" s="11">
        <v>37</v>
      </c>
      <c r="T190" s="11" t="s">
        <v>187</v>
      </c>
      <c r="U190" s="11">
        <v>58</v>
      </c>
      <c r="V190" s="11" t="s">
        <v>191</v>
      </c>
      <c r="W190" s="11">
        <v>45</v>
      </c>
      <c r="X190" s="11" t="s">
        <v>191</v>
      </c>
      <c r="Y190" s="11">
        <v>48</v>
      </c>
      <c r="Z190" s="11" t="s">
        <v>191</v>
      </c>
      <c r="AA190" s="11">
        <v>32</v>
      </c>
      <c r="AB190" s="11" t="s">
        <v>187</v>
      </c>
      <c r="AC190" s="11">
        <v>62</v>
      </c>
      <c r="AD190" s="11" t="s">
        <v>192</v>
      </c>
    </row>
    <row r="191" spans="1:30" x14ac:dyDescent="0.3">
      <c r="A191" s="11" t="s">
        <v>531</v>
      </c>
      <c r="B191" s="11">
        <v>10714</v>
      </c>
      <c r="C191" s="11">
        <v>2</v>
      </c>
      <c r="D191" s="11" t="s">
        <v>389</v>
      </c>
      <c r="E191" s="11" t="s">
        <v>194</v>
      </c>
      <c r="F191" s="11" t="s">
        <v>195</v>
      </c>
      <c r="G191" s="11">
        <v>32</v>
      </c>
      <c r="H191" s="11" t="s">
        <v>196</v>
      </c>
      <c r="I191" s="11">
        <v>31</v>
      </c>
      <c r="J191" s="11" t="s">
        <v>196</v>
      </c>
      <c r="K191" s="11">
        <v>26</v>
      </c>
      <c r="L191" s="11" t="s">
        <v>186</v>
      </c>
      <c r="M191" s="11">
        <v>0</v>
      </c>
      <c r="N191" s="11" t="s">
        <v>188</v>
      </c>
      <c r="O191" s="11">
        <v>1</v>
      </c>
      <c r="P191" s="11" t="s">
        <v>197</v>
      </c>
      <c r="Q191" s="11">
        <v>3</v>
      </c>
      <c r="R191" s="11" t="s">
        <v>190</v>
      </c>
      <c r="S191" s="11">
        <v>37</v>
      </c>
      <c r="T191" s="11" t="s">
        <v>187</v>
      </c>
      <c r="U191" s="11">
        <v>37</v>
      </c>
      <c r="V191" s="11" t="s">
        <v>187</v>
      </c>
      <c r="W191" s="11">
        <v>33</v>
      </c>
      <c r="X191" s="11" t="s">
        <v>187</v>
      </c>
      <c r="Y191" s="11">
        <v>36</v>
      </c>
      <c r="Z191" s="11" t="s">
        <v>187</v>
      </c>
      <c r="AA191" s="11">
        <v>32</v>
      </c>
      <c r="AB191" s="11" t="s">
        <v>187</v>
      </c>
      <c r="AC191" s="11">
        <v>36</v>
      </c>
      <c r="AD191" s="11" t="s">
        <v>187</v>
      </c>
    </row>
    <row r="192" spans="1:30" x14ac:dyDescent="0.3">
      <c r="A192" s="11" t="s">
        <v>531</v>
      </c>
      <c r="B192" s="11">
        <v>10715</v>
      </c>
      <c r="C192" s="11">
        <v>1</v>
      </c>
      <c r="D192" s="11" t="s">
        <v>390</v>
      </c>
      <c r="E192" s="11" t="s">
        <v>199</v>
      </c>
      <c r="F192" s="11" t="s">
        <v>200</v>
      </c>
      <c r="G192" s="11">
        <v>77</v>
      </c>
      <c r="H192" s="11" t="s">
        <v>201</v>
      </c>
      <c r="I192" s="11">
        <v>65</v>
      </c>
      <c r="J192" s="11" t="s">
        <v>202</v>
      </c>
      <c r="K192" s="11">
        <v>76</v>
      </c>
      <c r="L192" s="11" t="s">
        <v>201</v>
      </c>
      <c r="M192" s="11">
        <v>0</v>
      </c>
      <c r="N192" s="11" t="s">
        <v>188</v>
      </c>
      <c r="O192" s="11">
        <v>5</v>
      </c>
      <c r="P192" s="11" t="s">
        <v>189</v>
      </c>
      <c r="Q192" s="11">
        <v>0</v>
      </c>
      <c r="R192" s="11" t="s">
        <v>203</v>
      </c>
      <c r="S192" s="11">
        <v>85</v>
      </c>
      <c r="T192" s="11" t="s">
        <v>192</v>
      </c>
      <c r="U192" s="11">
        <v>79</v>
      </c>
      <c r="V192" s="11" t="s">
        <v>192</v>
      </c>
      <c r="W192" s="11">
        <v>81</v>
      </c>
      <c r="X192" s="11" t="s">
        <v>192</v>
      </c>
      <c r="Y192" s="11">
        <v>85</v>
      </c>
      <c r="Z192" s="11" t="s">
        <v>192</v>
      </c>
      <c r="AA192" s="11">
        <v>80</v>
      </c>
      <c r="AB192" s="11" t="s">
        <v>192</v>
      </c>
      <c r="AC192" s="11">
        <v>87</v>
      </c>
      <c r="AD192" s="11" t="s">
        <v>192</v>
      </c>
    </row>
    <row r="193" spans="1:30" x14ac:dyDescent="0.3">
      <c r="A193" s="11" t="s">
        <v>531</v>
      </c>
      <c r="B193" s="11">
        <v>10716</v>
      </c>
      <c r="C193" s="11">
        <v>1</v>
      </c>
      <c r="D193" s="11" t="s">
        <v>391</v>
      </c>
      <c r="E193" s="11" t="s">
        <v>205</v>
      </c>
      <c r="F193" s="11" t="s">
        <v>206</v>
      </c>
      <c r="G193" s="11">
        <v>81</v>
      </c>
      <c r="H193" s="11" t="s">
        <v>201</v>
      </c>
      <c r="I193" s="11">
        <v>86</v>
      </c>
      <c r="J193" s="11" t="s">
        <v>201</v>
      </c>
      <c r="K193" s="11">
        <v>76</v>
      </c>
      <c r="L193" s="11" t="s">
        <v>201</v>
      </c>
      <c r="M193" s="11">
        <v>0</v>
      </c>
      <c r="N193" s="11" t="s">
        <v>188</v>
      </c>
      <c r="O193" s="11">
        <v>1</v>
      </c>
      <c r="P193" s="11" t="s">
        <v>197</v>
      </c>
      <c r="Q193" s="11">
        <v>0</v>
      </c>
      <c r="R193" s="11" t="s">
        <v>203</v>
      </c>
      <c r="S193" s="11">
        <v>37</v>
      </c>
      <c r="T193" s="11" t="s">
        <v>187</v>
      </c>
      <c r="U193" s="11">
        <v>37</v>
      </c>
      <c r="V193" s="11" t="s">
        <v>187</v>
      </c>
      <c r="W193" s="11">
        <v>33</v>
      </c>
      <c r="X193" s="11" t="s">
        <v>187</v>
      </c>
      <c r="Y193" s="11">
        <v>36</v>
      </c>
      <c r="Z193" s="11" t="s">
        <v>187</v>
      </c>
      <c r="AA193" s="11">
        <v>32</v>
      </c>
      <c r="AB193" s="11" t="s">
        <v>187</v>
      </c>
      <c r="AC193" s="11">
        <v>36</v>
      </c>
      <c r="AD193" s="11" t="s">
        <v>187</v>
      </c>
    </row>
    <row r="194" spans="1:30" x14ac:dyDescent="0.3">
      <c r="A194" s="11" t="s">
        <v>531</v>
      </c>
      <c r="B194" s="11">
        <v>10717</v>
      </c>
      <c r="C194" s="11">
        <v>1</v>
      </c>
      <c r="D194" s="11" t="s">
        <v>392</v>
      </c>
      <c r="E194" s="11" t="s">
        <v>184</v>
      </c>
      <c r="F194" s="11" t="s">
        <v>185</v>
      </c>
      <c r="G194" s="11">
        <v>23</v>
      </c>
      <c r="H194" s="11" t="s">
        <v>186</v>
      </c>
      <c r="I194" s="11">
        <v>23</v>
      </c>
      <c r="J194" s="11" t="s">
        <v>186</v>
      </c>
      <c r="K194" s="11">
        <v>45</v>
      </c>
      <c r="L194" s="11" t="s">
        <v>187</v>
      </c>
      <c r="M194" s="11">
        <v>0</v>
      </c>
      <c r="N194" s="11" t="s">
        <v>188</v>
      </c>
      <c r="O194" s="11">
        <v>3</v>
      </c>
      <c r="P194" s="11" t="s">
        <v>189</v>
      </c>
      <c r="Q194" s="11">
        <v>3</v>
      </c>
      <c r="R194" s="11" t="s">
        <v>190</v>
      </c>
      <c r="S194" s="11">
        <v>37</v>
      </c>
      <c r="T194" s="11" t="s">
        <v>187</v>
      </c>
      <c r="U194" s="11">
        <v>58</v>
      </c>
      <c r="V194" s="11" t="s">
        <v>191</v>
      </c>
      <c r="W194" s="11">
        <v>45</v>
      </c>
      <c r="X194" s="11" t="s">
        <v>191</v>
      </c>
      <c r="Y194" s="11">
        <v>48</v>
      </c>
      <c r="Z194" s="11" t="s">
        <v>191</v>
      </c>
      <c r="AA194" s="11">
        <v>32</v>
      </c>
      <c r="AB194" s="11" t="s">
        <v>187</v>
      </c>
      <c r="AC194" s="11">
        <v>62</v>
      </c>
      <c r="AD194" s="11" t="s">
        <v>192</v>
      </c>
    </row>
    <row r="195" spans="1:30" x14ac:dyDescent="0.3">
      <c r="A195" s="11" t="s">
        <v>531</v>
      </c>
      <c r="B195" s="11">
        <v>10718</v>
      </c>
      <c r="C195" s="11">
        <v>1</v>
      </c>
      <c r="D195" s="11" t="s">
        <v>393</v>
      </c>
      <c r="E195" s="11" t="s">
        <v>194</v>
      </c>
      <c r="F195" s="11" t="s">
        <v>195</v>
      </c>
      <c r="G195" s="11">
        <v>32</v>
      </c>
      <c r="H195" s="11" t="s">
        <v>196</v>
      </c>
      <c r="I195" s="11">
        <v>31</v>
      </c>
      <c r="J195" s="11" t="s">
        <v>196</v>
      </c>
      <c r="K195" s="11">
        <v>26</v>
      </c>
      <c r="L195" s="11" t="s">
        <v>186</v>
      </c>
      <c r="M195" s="11">
        <v>0</v>
      </c>
      <c r="N195" s="11" t="s">
        <v>188</v>
      </c>
      <c r="O195" s="11">
        <v>1</v>
      </c>
      <c r="P195" s="11" t="s">
        <v>197</v>
      </c>
      <c r="Q195" s="11">
        <v>3</v>
      </c>
      <c r="R195" s="11" t="s">
        <v>190</v>
      </c>
      <c r="S195" s="11">
        <v>37</v>
      </c>
      <c r="T195" s="11" t="s">
        <v>187</v>
      </c>
      <c r="U195" s="11">
        <v>37</v>
      </c>
      <c r="V195" s="11" t="s">
        <v>187</v>
      </c>
      <c r="W195" s="11">
        <v>33</v>
      </c>
      <c r="X195" s="11" t="s">
        <v>187</v>
      </c>
      <c r="Y195" s="11">
        <v>36</v>
      </c>
      <c r="Z195" s="11" t="s">
        <v>187</v>
      </c>
      <c r="AA195" s="11">
        <v>32</v>
      </c>
      <c r="AB195" s="11" t="s">
        <v>187</v>
      </c>
      <c r="AC195" s="11">
        <v>36</v>
      </c>
      <c r="AD195" s="11" t="s">
        <v>187</v>
      </c>
    </row>
    <row r="196" spans="1:30" x14ac:dyDescent="0.3">
      <c r="A196" s="11" t="s">
        <v>531</v>
      </c>
      <c r="B196" s="11">
        <v>10719</v>
      </c>
      <c r="C196" s="11">
        <v>1</v>
      </c>
      <c r="D196" s="11" t="s">
        <v>394</v>
      </c>
      <c r="E196" s="11" t="s">
        <v>199</v>
      </c>
      <c r="F196" s="11" t="s">
        <v>200</v>
      </c>
      <c r="G196" s="11">
        <v>77</v>
      </c>
      <c r="H196" s="11" t="s">
        <v>201</v>
      </c>
      <c r="I196" s="11">
        <v>65</v>
      </c>
      <c r="J196" s="11" t="s">
        <v>202</v>
      </c>
      <c r="K196" s="11">
        <v>76</v>
      </c>
      <c r="L196" s="11" t="s">
        <v>201</v>
      </c>
      <c r="M196" s="11">
        <v>0</v>
      </c>
      <c r="N196" s="11" t="s">
        <v>188</v>
      </c>
      <c r="O196" s="11">
        <v>5</v>
      </c>
      <c r="P196" s="11" t="s">
        <v>189</v>
      </c>
      <c r="Q196" s="11">
        <v>0</v>
      </c>
      <c r="R196" s="11" t="s">
        <v>203</v>
      </c>
      <c r="S196" s="11">
        <v>85</v>
      </c>
      <c r="T196" s="11" t="s">
        <v>192</v>
      </c>
      <c r="U196" s="11">
        <v>79</v>
      </c>
      <c r="V196" s="11" t="s">
        <v>192</v>
      </c>
      <c r="W196" s="11">
        <v>81</v>
      </c>
      <c r="X196" s="11" t="s">
        <v>192</v>
      </c>
      <c r="Y196" s="11">
        <v>85</v>
      </c>
      <c r="Z196" s="11" t="s">
        <v>192</v>
      </c>
      <c r="AA196" s="11">
        <v>80</v>
      </c>
      <c r="AB196" s="11" t="s">
        <v>192</v>
      </c>
      <c r="AC196" s="11">
        <v>87</v>
      </c>
      <c r="AD196" s="11" t="s">
        <v>192</v>
      </c>
    </row>
    <row r="197" spans="1:30" x14ac:dyDescent="0.3">
      <c r="A197" s="11" t="s">
        <v>531</v>
      </c>
      <c r="B197" s="11">
        <v>10720</v>
      </c>
      <c r="C197" s="11">
        <v>1</v>
      </c>
      <c r="D197" s="11" t="s">
        <v>395</v>
      </c>
      <c r="E197" s="11" t="s">
        <v>205</v>
      </c>
      <c r="F197" s="11" t="s">
        <v>206</v>
      </c>
      <c r="G197" s="11">
        <v>81</v>
      </c>
      <c r="H197" s="11" t="s">
        <v>201</v>
      </c>
      <c r="I197" s="11">
        <v>86</v>
      </c>
      <c r="J197" s="11" t="s">
        <v>201</v>
      </c>
      <c r="K197" s="11">
        <v>76</v>
      </c>
      <c r="L197" s="11" t="s">
        <v>201</v>
      </c>
      <c r="M197" s="11">
        <v>0</v>
      </c>
      <c r="N197" s="11" t="s">
        <v>188</v>
      </c>
      <c r="O197" s="11">
        <v>1</v>
      </c>
      <c r="P197" s="11" t="s">
        <v>197</v>
      </c>
      <c r="Q197" s="11">
        <v>0</v>
      </c>
      <c r="R197" s="11" t="s">
        <v>203</v>
      </c>
      <c r="S197" s="11">
        <v>37</v>
      </c>
      <c r="T197" s="11" t="s">
        <v>187</v>
      </c>
      <c r="U197" s="11">
        <v>37</v>
      </c>
      <c r="V197" s="11" t="s">
        <v>187</v>
      </c>
      <c r="W197" s="11">
        <v>33</v>
      </c>
      <c r="X197" s="11" t="s">
        <v>187</v>
      </c>
      <c r="Y197" s="11">
        <v>36</v>
      </c>
      <c r="Z197" s="11" t="s">
        <v>187</v>
      </c>
      <c r="AA197" s="11">
        <v>32</v>
      </c>
      <c r="AB197" s="11" t="s">
        <v>187</v>
      </c>
      <c r="AC197" s="11">
        <v>36</v>
      </c>
      <c r="AD197" s="11" t="s">
        <v>187</v>
      </c>
    </row>
    <row r="198" spans="1:30" x14ac:dyDescent="0.3">
      <c r="A198" s="11" t="s">
        <v>531</v>
      </c>
      <c r="B198" s="11">
        <v>10721</v>
      </c>
      <c r="C198" s="11">
        <v>1</v>
      </c>
      <c r="D198" s="11" t="s">
        <v>396</v>
      </c>
      <c r="E198" s="11" t="s">
        <v>184</v>
      </c>
      <c r="F198" s="11" t="s">
        <v>185</v>
      </c>
      <c r="G198" s="11">
        <v>23</v>
      </c>
      <c r="H198" s="11" t="s">
        <v>186</v>
      </c>
      <c r="I198" s="11">
        <v>23</v>
      </c>
      <c r="J198" s="11" t="s">
        <v>186</v>
      </c>
      <c r="K198" s="11">
        <v>45</v>
      </c>
      <c r="L198" s="11" t="s">
        <v>187</v>
      </c>
      <c r="M198" s="11">
        <v>0</v>
      </c>
      <c r="N198" s="11" t="s">
        <v>188</v>
      </c>
      <c r="O198" s="11">
        <v>3</v>
      </c>
      <c r="P198" s="11" t="s">
        <v>189</v>
      </c>
      <c r="Q198" s="11">
        <v>3</v>
      </c>
      <c r="R198" s="11" t="s">
        <v>190</v>
      </c>
      <c r="S198" s="11">
        <v>37</v>
      </c>
      <c r="T198" s="11" t="s">
        <v>187</v>
      </c>
      <c r="U198" s="11">
        <v>58</v>
      </c>
      <c r="V198" s="11" t="s">
        <v>191</v>
      </c>
      <c r="W198" s="11">
        <v>45</v>
      </c>
      <c r="X198" s="11" t="s">
        <v>191</v>
      </c>
      <c r="Y198" s="11">
        <v>48</v>
      </c>
      <c r="Z198" s="11" t="s">
        <v>191</v>
      </c>
      <c r="AA198" s="11">
        <v>32</v>
      </c>
      <c r="AB198" s="11" t="s">
        <v>187</v>
      </c>
      <c r="AC198" s="11">
        <v>62</v>
      </c>
      <c r="AD198" s="11" t="s">
        <v>192</v>
      </c>
    </row>
    <row r="199" spans="1:30" x14ac:dyDescent="0.3">
      <c r="A199" s="11" t="s">
        <v>531</v>
      </c>
      <c r="B199" s="11">
        <v>10722</v>
      </c>
      <c r="C199" s="11">
        <v>1</v>
      </c>
      <c r="D199" s="11" t="s">
        <v>397</v>
      </c>
      <c r="E199" s="11" t="s">
        <v>194</v>
      </c>
      <c r="F199" s="11" t="s">
        <v>195</v>
      </c>
      <c r="G199" s="11">
        <v>32</v>
      </c>
      <c r="H199" s="11" t="s">
        <v>196</v>
      </c>
      <c r="I199" s="11">
        <v>31</v>
      </c>
      <c r="J199" s="11" t="s">
        <v>196</v>
      </c>
      <c r="K199" s="11">
        <v>26</v>
      </c>
      <c r="L199" s="11" t="s">
        <v>186</v>
      </c>
      <c r="M199" s="11">
        <v>0</v>
      </c>
      <c r="N199" s="11" t="s">
        <v>188</v>
      </c>
      <c r="O199" s="11">
        <v>1</v>
      </c>
      <c r="P199" s="11" t="s">
        <v>197</v>
      </c>
      <c r="Q199" s="11">
        <v>3</v>
      </c>
      <c r="R199" s="11" t="s">
        <v>190</v>
      </c>
      <c r="S199" s="11">
        <v>37</v>
      </c>
      <c r="T199" s="11" t="s">
        <v>187</v>
      </c>
      <c r="U199" s="11">
        <v>37</v>
      </c>
      <c r="V199" s="11" t="s">
        <v>187</v>
      </c>
      <c r="W199" s="11">
        <v>33</v>
      </c>
      <c r="X199" s="11" t="s">
        <v>187</v>
      </c>
      <c r="Y199" s="11">
        <v>36</v>
      </c>
      <c r="Z199" s="11" t="s">
        <v>187</v>
      </c>
      <c r="AA199" s="11">
        <v>32</v>
      </c>
      <c r="AB199" s="11" t="s">
        <v>187</v>
      </c>
      <c r="AC199" s="11">
        <v>36</v>
      </c>
      <c r="AD199" s="11" t="s">
        <v>187</v>
      </c>
    </row>
    <row r="200" spans="1:30" x14ac:dyDescent="0.3">
      <c r="A200" s="11" t="s">
        <v>531</v>
      </c>
      <c r="B200" s="11">
        <v>10723</v>
      </c>
      <c r="C200" s="11">
        <v>1</v>
      </c>
      <c r="D200" s="11" t="s">
        <v>398</v>
      </c>
      <c r="E200" s="11" t="s">
        <v>199</v>
      </c>
      <c r="F200" s="11" t="s">
        <v>200</v>
      </c>
      <c r="G200" s="11">
        <v>77</v>
      </c>
      <c r="H200" s="11" t="s">
        <v>201</v>
      </c>
      <c r="I200" s="11">
        <v>65</v>
      </c>
      <c r="J200" s="11" t="s">
        <v>202</v>
      </c>
      <c r="K200" s="11">
        <v>76</v>
      </c>
      <c r="L200" s="11" t="s">
        <v>201</v>
      </c>
      <c r="M200" s="11">
        <v>0</v>
      </c>
      <c r="N200" s="11" t="s">
        <v>188</v>
      </c>
      <c r="O200" s="11">
        <v>5</v>
      </c>
      <c r="P200" s="11" t="s">
        <v>189</v>
      </c>
      <c r="Q200" s="11">
        <v>0</v>
      </c>
      <c r="R200" s="11" t="s">
        <v>203</v>
      </c>
      <c r="S200" s="11">
        <v>85</v>
      </c>
      <c r="T200" s="11" t="s">
        <v>192</v>
      </c>
      <c r="U200" s="11">
        <v>79</v>
      </c>
      <c r="V200" s="11" t="s">
        <v>192</v>
      </c>
      <c r="W200" s="11">
        <v>81</v>
      </c>
      <c r="X200" s="11" t="s">
        <v>192</v>
      </c>
      <c r="Y200" s="11">
        <v>85</v>
      </c>
      <c r="Z200" s="11" t="s">
        <v>192</v>
      </c>
      <c r="AA200" s="11">
        <v>80</v>
      </c>
      <c r="AB200" s="11" t="s">
        <v>192</v>
      </c>
      <c r="AC200" s="11">
        <v>87</v>
      </c>
      <c r="AD200" s="11" t="s">
        <v>192</v>
      </c>
    </row>
    <row r="201" spans="1:30" x14ac:dyDescent="0.3">
      <c r="A201" s="11" t="s">
        <v>531</v>
      </c>
      <c r="B201" s="11">
        <v>10724</v>
      </c>
      <c r="C201" s="11">
        <v>1</v>
      </c>
      <c r="D201" s="11" t="s">
        <v>399</v>
      </c>
      <c r="E201" s="11" t="s">
        <v>205</v>
      </c>
      <c r="F201" s="11" t="s">
        <v>206</v>
      </c>
      <c r="G201" s="11">
        <v>81</v>
      </c>
      <c r="H201" s="11" t="s">
        <v>201</v>
      </c>
      <c r="I201" s="11">
        <v>86</v>
      </c>
      <c r="J201" s="11" t="s">
        <v>201</v>
      </c>
      <c r="K201" s="11">
        <v>76</v>
      </c>
      <c r="L201" s="11" t="s">
        <v>201</v>
      </c>
      <c r="M201" s="11">
        <v>0</v>
      </c>
      <c r="N201" s="11" t="s">
        <v>188</v>
      </c>
      <c r="O201" s="11">
        <v>1</v>
      </c>
      <c r="P201" s="11" t="s">
        <v>197</v>
      </c>
      <c r="Q201" s="11">
        <v>0</v>
      </c>
      <c r="R201" s="11" t="s">
        <v>203</v>
      </c>
      <c r="S201" s="11">
        <v>37</v>
      </c>
      <c r="T201" s="11" t="s">
        <v>187</v>
      </c>
      <c r="U201" s="11">
        <v>37</v>
      </c>
      <c r="V201" s="11" t="s">
        <v>187</v>
      </c>
      <c r="W201" s="11">
        <v>33</v>
      </c>
      <c r="X201" s="11" t="s">
        <v>187</v>
      </c>
      <c r="Y201" s="11">
        <v>36</v>
      </c>
      <c r="Z201" s="11" t="s">
        <v>187</v>
      </c>
      <c r="AA201" s="11">
        <v>32</v>
      </c>
      <c r="AB201" s="11" t="s">
        <v>187</v>
      </c>
      <c r="AC201" s="11">
        <v>36</v>
      </c>
      <c r="AD201" s="11" t="s">
        <v>187</v>
      </c>
    </row>
    <row r="202" spans="1:30" x14ac:dyDescent="0.3">
      <c r="A202" s="11" t="s">
        <v>531</v>
      </c>
      <c r="B202" s="11">
        <v>10725</v>
      </c>
      <c r="C202" s="11">
        <v>1</v>
      </c>
      <c r="D202" s="11" t="s">
        <v>400</v>
      </c>
      <c r="E202" s="11" t="s">
        <v>184</v>
      </c>
      <c r="F202" s="11" t="s">
        <v>185</v>
      </c>
      <c r="G202" s="11">
        <v>23</v>
      </c>
      <c r="H202" s="11" t="s">
        <v>186</v>
      </c>
      <c r="I202" s="11">
        <v>23</v>
      </c>
      <c r="J202" s="11" t="s">
        <v>186</v>
      </c>
      <c r="K202" s="11">
        <v>45</v>
      </c>
      <c r="L202" s="11" t="s">
        <v>187</v>
      </c>
      <c r="M202" s="11">
        <v>0</v>
      </c>
      <c r="N202" s="11" t="s">
        <v>188</v>
      </c>
      <c r="O202" s="11">
        <v>3</v>
      </c>
      <c r="P202" s="11" t="s">
        <v>189</v>
      </c>
      <c r="Q202" s="11">
        <v>3</v>
      </c>
      <c r="R202" s="11" t="s">
        <v>190</v>
      </c>
      <c r="S202" s="11">
        <v>37</v>
      </c>
      <c r="T202" s="11" t="s">
        <v>187</v>
      </c>
      <c r="U202" s="11">
        <v>58</v>
      </c>
      <c r="V202" s="11" t="s">
        <v>191</v>
      </c>
      <c r="W202" s="11">
        <v>45</v>
      </c>
      <c r="X202" s="11" t="s">
        <v>191</v>
      </c>
      <c r="Y202" s="11">
        <v>48</v>
      </c>
      <c r="Z202" s="11" t="s">
        <v>191</v>
      </c>
      <c r="AA202" s="11">
        <v>32</v>
      </c>
      <c r="AB202" s="11" t="s">
        <v>187</v>
      </c>
      <c r="AC202" s="11">
        <v>62</v>
      </c>
      <c r="AD202" s="11" t="s">
        <v>192</v>
      </c>
    </row>
    <row r="203" spans="1:30" x14ac:dyDescent="0.3">
      <c r="A203" s="11" t="s">
        <v>531</v>
      </c>
      <c r="B203" s="11">
        <v>10726</v>
      </c>
      <c r="C203" s="11">
        <v>1</v>
      </c>
      <c r="D203" s="11" t="s">
        <v>401</v>
      </c>
      <c r="E203" s="11" t="s">
        <v>194</v>
      </c>
      <c r="F203" s="11" t="s">
        <v>195</v>
      </c>
      <c r="G203" s="11">
        <v>32</v>
      </c>
      <c r="H203" s="11" t="s">
        <v>196</v>
      </c>
      <c r="I203" s="11">
        <v>31</v>
      </c>
      <c r="J203" s="11" t="s">
        <v>196</v>
      </c>
      <c r="K203" s="11">
        <v>26</v>
      </c>
      <c r="L203" s="11" t="s">
        <v>186</v>
      </c>
      <c r="M203" s="11">
        <v>0</v>
      </c>
      <c r="N203" s="11" t="s">
        <v>188</v>
      </c>
      <c r="O203" s="11">
        <v>1</v>
      </c>
      <c r="P203" s="11" t="s">
        <v>197</v>
      </c>
      <c r="Q203" s="11">
        <v>3</v>
      </c>
      <c r="R203" s="11" t="s">
        <v>190</v>
      </c>
      <c r="S203" s="11">
        <v>37</v>
      </c>
      <c r="T203" s="11" t="s">
        <v>187</v>
      </c>
      <c r="U203" s="11">
        <v>37</v>
      </c>
      <c r="V203" s="11" t="s">
        <v>187</v>
      </c>
      <c r="W203" s="11">
        <v>33</v>
      </c>
      <c r="X203" s="11" t="s">
        <v>187</v>
      </c>
      <c r="Y203" s="11">
        <v>36</v>
      </c>
      <c r="Z203" s="11" t="s">
        <v>187</v>
      </c>
      <c r="AA203" s="11">
        <v>32</v>
      </c>
      <c r="AB203" s="11" t="s">
        <v>187</v>
      </c>
      <c r="AC203" s="11">
        <v>36</v>
      </c>
      <c r="AD203" s="11" t="s">
        <v>187</v>
      </c>
    </row>
    <row r="204" spans="1:30" x14ac:dyDescent="0.3">
      <c r="A204" s="11" t="s">
        <v>531</v>
      </c>
      <c r="B204" s="11">
        <v>10727</v>
      </c>
      <c r="C204" s="11">
        <v>1</v>
      </c>
      <c r="D204" s="11" t="s">
        <v>402</v>
      </c>
      <c r="E204" s="11" t="s">
        <v>199</v>
      </c>
      <c r="F204" s="11" t="s">
        <v>200</v>
      </c>
      <c r="G204" s="11">
        <v>77</v>
      </c>
      <c r="H204" s="11" t="s">
        <v>201</v>
      </c>
      <c r="I204" s="11">
        <v>65</v>
      </c>
      <c r="J204" s="11" t="s">
        <v>202</v>
      </c>
      <c r="K204" s="11">
        <v>76</v>
      </c>
      <c r="L204" s="11" t="s">
        <v>201</v>
      </c>
      <c r="M204" s="11">
        <v>0</v>
      </c>
      <c r="N204" s="11" t="s">
        <v>188</v>
      </c>
      <c r="O204" s="11">
        <v>5</v>
      </c>
      <c r="P204" s="11" t="s">
        <v>189</v>
      </c>
      <c r="Q204" s="11">
        <v>0</v>
      </c>
      <c r="R204" s="11" t="s">
        <v>203</v>
      </c>
      <c r="S204" s="11">
        <v>85</v>
      </c>
      <c r="T204" s="11" t="s">
        <v>192</v>
      </c>
      <c r="U204" s="11">
        <v>79</v>
      </c>
      <c r="V204" s="11" t="s">
        <v>192</v>
      </c>
      <c r="W204" s="11">
        <v>81</v>
      </c>
      <c r="X204" s="11" t="s">
        <v>192</v>
      </c>
      <c r="Y204" s="11">
        <v>85</v>
      </c>
      <c r="Z204" s="11" t="s">
        <v>192</v>
      </c>
      <c r="AA204" s="11">
        <v>80</v>
      </c>
      <c r="AB204" s="11" t="s">
        <v>192</v>
      </c>
      <c r="AC204" s="11">
        <v>87</v>
      </c>
      <c r="AD204" s="11" t="s">
        <v>192</v>
      </c>
    </row>
    <row r="205" spans="1:30" x14ac:dyDescent="0.3">
      <c r="A205" s="11" t="s">
        <v>531</v>
      </c>
      <c r="B205" s="11">
        <v>10728</v>
      </c>
      <c r="C205" s="11">
        <v>1</v>
      </c>
      <c r="D205" s="11" t="s">
        <v>403</v>
      </c>
      <c r="E205" s="11" t="s">
        <v>205</v>
      </c>
      <c r="F205" s="11" t="s">
        <v>206</v>
      </c>
      <c r="G205" s="11">
        <v>81</v>
      </c>
      <c r="H205" s="11" t="s">
        <v>201</v>
      </c>
      <c r="I205" s="11">
        <v>86</v>
      </c>
      <c r="J205" s="11" t="s">
        <v>201</v>
      </c>
      <c r="K205" s="11">
        <v>76</v>
      </c>
      <c r="L205" s="11" t="s">
        <v>201</v>
      </c>
      <c r="M205" s="11">
        <v>0</v>
      </c>
      <c r="N205" s="11" t="s">
        <v>188</v>
      </c>
      <c r="O205" s="11">
        <v>1</v>
      </c>
      <c r="P205" s="11" t="s">
        <v>197</v>
      </c>
      <c r="Q205" s="11">
        <v>0</v>
      </c>
      <c r="R205" s="11" t="s">
        <v>203</v>
      </c>
      <c r="S205" s="11">
        <v>37</v>
      </c>
      <c r="T205" s="11" t="s">
        <v>187</v>
      </c>
      <c r="U205" s="11">
        <v>37</v>
      </c>
      <c r="V205" s="11" t="s">
        <v>187</v>
      </c>
      <c r="W205" s="11">
        <v>33</v>
      </c>
      <c r="X205" s="11" t="s">
        <v>187</v>
      </c>
      <c r="Y205" s="11">
        <v>36</v>
      </c>
      <c r="Z205" s="11" t="s">
        <v>187</v>
      </c>
      <c r="AA205" s="11">
        <v>32</v>
      </c>
      <c r="AB205" s="11" t="s">
        <v>187</v>
      </c>
      <c r="AC205" s="11">
        <v>36</v>
      </c>
      <c r="AD205" s="11" t="s">
        <v>187</v>
      </c>
    </row>
    <row r="206" spans="1:30" x14ac:dyDescent="0.3">
      <c r="A206" s="11" t="s">
        <v>531</v>
      </c>
      <c r="B206" s="11">
        <v>10729</v>
      </c>
      <c r="C206" s="11">
        <v>1</v>
      </c>
      <c r="D206" s="11" t="s">
        <v>404</v>
      </c>
      <c r="E206" s="11" t="s">
        <v>184</v>
      </c>
      <c r="F206" s="11" t="s">
        <v>185</v>
      </c>
      <c r="G206" s="11">
        <v>23</v>
      </c>
      <c r="H206" s="11" t="s">
        <v>186</v>
      </c>
      <c r="I206" s="11">
        <v>23</v>
      </c>
      <c r="J206" s="11" t="s">
        <v>186</v>
      </c>
      <c r="K206" s="11">
        <v>45</v>
      </c>
      <c r="L206" s="11" t="s">
        <v>187</v>
      </c>
      <c r="M206" s="11">
        <v>0</v>
      </c>
      <c r="N206" s="11" t="s">
        <v>188</v>
      </c>
      <c r="O206" s="11">
        <v>3</v>
      </c>
      <c r="P206" s="11" t="s">
        <v>189</v>
      </c>
      <c r="Q206" s="11">
        <v>3</v>
      </c>
      <c r="R206" s="11" t="s">
        <v>190</v>
      </c>
      <c r="S206" s="11">
        <v>37</v>
      </c>
      <c r="T206" s="11" t="s">
        <v>187</v>
      </c>
      <c r="U206" s="11">
        <v>58</v>
      </c>
      <c r="V206" s="11" t="s">
        <v>191</v>
      </c>
      <c r="W206" s="11">
        <v>45</v>
      </c>
      <c r="X206" s="11" t="s">
        <v>191</v>
      </c>
      <c r="Y206" s="11">
        <v>48</v>
      </c>
      <c r="Z206" s="11" t="s">
        <v>191</v>
      </c>
      <c r="AA206" s="11">
        <v>32</v>
      </c>
      <c r="AB206" s="11" t="s">
        <v>187</v>
      </c>
      <c r="AC206" s="11">
        <v>62</v>
      </c>
      <c r="AD206" s="11" t="s">
        <v>192</v>
      </c>
    </row>
    <row r="207" spans="1:30" x14ac:dyDescent="0.3">
      <c r="A207" s="11" t="s">
        <v>531</v>
      </c>
      <c r="B207" s="11">
        <v>10730</v>
      </c>
      <c r="C207" s="11">
        <v>1</v>
      </c>
      <c r="D207" s="11" t="s">
        <v>405</v>
      </c>
      <c r="E207" s="11" t="s">
        <v>194</v>
      </c>
      <c r="F207" s="11" t="s">
        <v>195</v>
      </c>
      <c r="G207" s="11">
        <v>32</v>
      </c>
      <c r="H207" s="11" t="s">
        <v>196</v>
      </c>
      <c r="I207" s="11">
        <v>31</v>
      </c>
      <c r="J207" s="11" t="s">
        <v>196</v>
      </c>
      <c r="K207" s="11">
        <v>26</v>
      </c>
      <c r="L207" s="11" t="s">
        <v>186</v>
      </c>
      <c r="M207" s="11">
        <v>0</v>
      </c>
      <c r="N207" s="11" t="s">
        <v>188</v>
      </c>
      <c r="O207" s="11">
        <v>1</v>
      </c>
      <c r="P207" s="11" t="s">
        <v>197</v>
      </c>
      <c r="Q207" s="11">
        <v>3</v>
      </c>
      <c r="R207" s="11" t="s">
        <v>190</v>
      </c>
      <c r="S207" s="11">
        <v>37</v>
      </c>
      <c r="T207" s="11" t="s">
        <v>187</v>
      </c>
      <c r="U207" s="11">
        <v>37</v>
      </c>
      <c r="V207" s="11" t="s">
        <v>187</v>
      </c>
      <c r="W207" s="11">
        <v>33</v>
      </c>
      <c r="X207" s="11" t="s">
        <v>187</v>
      </c>
      <c r="Y207" s="11">
        <v>36</v>
      </c>
      <c r="Z207" s="11" t="s">
        <v>187</v>
      </c>
      <c r="AA207" s="11">
        <v>32</v>
      </c>
      <c r="AB207" s="11" t="s">
        <v>187</v>
      </c>
      <c r="AC207" s="11">
        <v>36</v>
      </c>
      <c r="AD207" s="11" t="s">
        <v>187</v>
      </c>
    </row>
    <row r="208" spans="1:30" x14ac:dyDescent="0.3">
      <c r="A208" s="11" t="s">
        <v>531</v>
      </c>
      <c r="B208" s="11">
        <v>10801</v>
      </c>
      <c r="C208" s="11">
        <v>2</v>
      </c>
      <c r="D208" s="11" t="s">
        <v>406</v>
      </c>
      <c r="E208" s="11" t="s">
        <v>199</v>
      </c>
      <c r="F208" s="11" t="s">
        <v>200</v>
      </c>
      <c r="G208" s="11">
        <v>77</v>
      </c>
      <c r="H208" s="11" t="s">
        <v>201</v>
      </c>
      <c r="I208" s="11">
        <v>65</v>
      </c>
      <c r="J208" s="11" t="s">
        <v>202</v>
      </c>
      <c r="K208" s="11">
        <v>76</v>
      </c>
      <c r="L208" s="11" t="s">
        <v>201</v>
      </c>
      <c r="M208" s="11">
        <v>0</v>
      </c>
      <c r="N208" s="11" t="s">
        <v>188</v>
      </c>
      <c r="O208" s="11">
        <v>5</v>
      </c>
      <c r="P208" s="11" t="s">
        <v>189</v>
      </c>
      <c r="Q208" s="11">
        <v>0</v>
      </c>
      <c r="R208" s="11" t="s">
        <v>203</v>
      </c>
      <c r="S208" s="11">
        <v>85</v>
      </c>
      <c r="T208" s="11" t="s">
        <v>192</v>
      </c>
      <c r="U208" s="11">
        <v>79</v>
      </c>
      <c r="V208" s="11" t="s">
        <v>192</v>
      </c>
      <c r="W208" s="11">
        <v>81</v>
      </c>
      <c r="X208" s="11" t="s">
        <v>192</v>
      </c>
      <c r="Y208" s="11">
        <v>85</v>
      </c>
      <c r="Z208" s="11" t="s">
        <v>192</v>
      </c>
      <c r="AA208" s="11">
        <v>80</v>
      </c>
      <c r="AB208" s="11" t="s">
        <v>192</v>
      </c>
      <c r="AC208" s="11">
        <v>87</v>
      </c>
      <c r="AD208" s="11" t="s">
        <v>192</v>
      </c>
    </row>
    <row r="209" spans="1:30" x14ac:dyDescent="0.3">
      <c r="A209" s="11" t="s">
        <v>531</v>
      </c>
      <c r="B209" s="11">
        <v>10802</v>
      </c>
      <c r="C209" s="11">
        <v>2</v>
      </c>
      <c r="D209" s="11" t="s">
        <v>407</v>
      </c>
      <c r="E209" s="11" t="s">
        <v>205</v>
      </c>
      <c r="F209" s="11" t="s">
        <v>206</v>
      </c>
      <c r="G209" s="11">
        <v>81</v>
      </c>
      <c r="H209" s="11" t="s">
        <v>201</v>
      </c>
      <c r="I209" s="11">
        <v>86</v>
      </c>
      <c r="J209" s="11" t="s">
        <v>201</v>
      </c>
      <c r="K209" s="11">
        <v>76</v>
      </c>
      <c r="L209" s="11" t="s">
        <v>201</v>
      </c>
      <c r="M209" s="11">
        <v>0</v>
      </c>
      <c r="N209" s="11" t="s">
        <v>188</v>
      </c>
      <c r="O209" s="11">
        <v>1</v>
      </c>
      <c r="P209" s="11" t="s">
        <v>197</v>
      </c>
      <c r="Q209" s="11">
        <v>0</v>
      </c>
      <c r="R209" s="11" t="s">
        <v>203</v>
      </c>
      <c r="S209" s="11">
        <v>37</v>
      </c>
      <c r="T209" s="11" t="s">
        <v>187</v>
      </c>
      <c r="U209" s="11">
        <v>37</v>
      </c>
      <c r="V209" s="11" t="s">
        <v>187</v>
      </c>
      <c r="W209" s="11">
        <v>33</v>
      </c>
      <c r="X209" s="11" t="s">
        <v>187</v>
      </c>
      <c r="Y209" s="11">
        <v>36</v>
      </c>
      <c r="Z209" s="11" t="s">
        <v>187</v>
      </c>
      <c r="AA209" s="11">
        <v>32</v>
      </c>
      <c r="AB209" s="11" t="s">
        <v>187</v>
      </c>
      <c r="AC209" s="11">
        <v>36</v>
      </c>
      <c r="AD209" s="11" t="s">
        <v>187</v>
      </c>
    </row>
    <row r="210" spans="1:30" x14ac:dyDescent="0.3">
      <c r="A210" s="11" t="s">
        <v>531</v>
      </c>
      <c r="B210" s="11">
        <v>10803</v>
      </c>
      <c r="C210" s="11">
        <v>2</v>
      </c>
      <c r="D210" s="11" t="s">
        <v>408</v>
      </c>
      <c r="E210" s="11" t="s">
        <v>184</v>
      </c>
      <c r="F210" s="11" t="s">
        <v>185</v>
      </c>
      <c r="G210" s="11">
        <v>23</v>
      </c>
      <c r="H210" s="11" t="s">
        <v>186</v>
      </c>
      <c r="I210" s="11">
        <v>23</v>
      </c>
      <c r="J210" s="11" t="s">
        <v>186</v>
      </c>
      <c r="K210" s="11">
        <v>45</v>
      </c>
      <c r="L210" s="11" t="s">
        <v>187</v>
      </c>
      <c r="M210" s="11">
        <v>0</v>
      </c>
      <c r="N210" s="11" t="s">
        <v>188</v>
      </c>
      <c r="O210" s="11">
        <v>3</v>
      </c>
      <c r="P210" s="11" t="s">
        <v>189</v>
      </c>
      <c r="Q210" s="11">
        <v>3</v>
      </c>
      <c r="R210" s="11" t="s">
        <v>190</v>
      </c>
      <c r="S210" s="11">
        <v>37</v>
      </c>
      <c r="T210" s="11" t="s">
        <v>187</v>
      </c>
      <c r="U210" s="11">
        <v>58</v>
      </c>
      <c r="V210" s="11" t="s">
        <v>191</v>
      </c>
      <c r="W210" s="11">
        <v>45</v>
      </c>
      <c r="X210" s="11" t="s">
        <v>191</v>
      </c>
      <c r="Y210" s="11">
        <v>48</v>
      </c>
      <c r="Z210" s="11" t="s">
        <v>191</v>
      </c>
      <c r="AA210" s="11">
        <v>32</v>
      </c>
      <c r="AB210" s="11" t="s">
        <v>187</v>
      </c>
      <c r="AC210" s="11">
        <v>62</v>
      </c>
      <c r="AD210" s="11" t="s">
        <v>192</v>
      </c>
    </row>
    <row r="211" spans="1:30" x14ac:dyDescent="0.3">
      <c r="A211" s="11" t="s">
        <v>531</v>
      </c>
      <c r="B211" s="11">
        <v>10804</v>
      </c>
      <c r="C211" s="11">
        <v>2</v>
      </c>
      <c r="D211" s="11" t="s">
        <v>409</v>
      </c>
      <c r="E211" s="11" t="s">
        <v>194</v>
      </c>
      <c r="F211" s="11" t="s">
        <v>195</v>
      </c>
      <c r="G211" s="11">
        <v>32</v>
      </c>
      <c r="H211" s="11" t="s">
        <v>196</v>
      </c>
      <c r="I211" s="11">
        <v>31</v>
      </c>
      <c r="J211" s="11" t="s">
        <v>196</v>
      </c>
      <c r="K211" s="11">
        <v>26</v>
      </c>
      <c r="L211" s="11" t="s">
        <v>186</v>
      </c>
      <c r="M211" s="11">
        <v>0</v>
      </c>
      <c r="N211" s="11" t="s">
        <v>188</v>
      </c>
      <c r="O211" s="11">
        <v>1</v>
      </c>
      <c r="P211" s="11" t="s">
        <v>197</v>
      </c>
      <c r="Q211" s="11">
        <v>3</v>
      </c>
      <c r="R211" s="11" t="s">
        <v>190</v>
      </c>
      <c r="S211" s="11">
        <v>37</v>
      </c>
      <c r="T211" s="11" t="s">
        <v>187</v>
      </c>
      <c r="U211" s="11">
        <v>37</v>
      </c>
      <c r="V211" s="11" t="s">
        <v>187</v>
      </c>
      <c r="W211" s="11">
        <v>33</v>
      </c>
      <c r="X211" s="11" t="s">
        <v>187</v>
      </c>
      <c r="Y211" s="11">
        <v>36</v>
      </c>
      <c r="Z211" s="11" t="s">
        <v>187</v>
      </c>
      <c r="AA211" s="11">
        <v>32</v>
      </c>
      <c r="AB211" s="11" t="s">
        <v>187</v>
      </c>
      <c r="AC211" s="11">
        <v>36</v>
      </c>
      <c r="AD211" s="11" t="s">
        <v>187</v>
      </c>
    </row>
    <row r="212" spans="1:30" x14ac:dyDescent="0.3">
      <c r="A212" s="11" t="s">
        <v>531</v>
      </c>
      <c r="B212" s="11">
        <v>10805</v>
      </c>
      <c r="C212" s="11">
        <v>2</v>
      </c>
      <c r="D212" s="11" t="s">
        <v>410</v>
      </c>
      <c r="E212" s="11" t="s">
        <v>199</v>
      </c>
      <c r="F212" s="11" t="s">
        <v>200</v>
      </c>
      <c r="G212" s="11">
        <v>77</v>
      </c>
      <c r="H212" s="11" t="s">
        <v>201</v>
      </c>
      <c r="I212" s="11">
        <v>65</v>
      </c>
      <c r="J212" s="11" t="s">
        <v>202</v>
      </c>
      <c r="K212" s="11">
        <v>76</v>
      </c>
      <c r="L212" s="11" t="s">
        <v>201</v>
      </c>
      <c r="M212" s="11">
        <v>0</v>
      </c>
      <c r="N212" s="11" t="s">
        <v>188</v>
      </c>
      <c r="O212" s="11">
        <v>5</v>
      </c>
      <c r="P212" s="11" t="s">
        <v>189</v>
      </c>
      <c r="Q212" s="11">
        <v>0</v>
      </c>
      <c r="R212" s="11" t="s">
        <v>203</v>
      </c>
      <c r="S212" s="11">
        <v>85</v>
      </c>
      <c r="T212" s="11" t="s">
        <v>192</v>
      </c>
      <c r="U212" s="11">
        <v>79</v>
      </c>
      <c r="V212" s="11" t="s">
        <v>192</v>
      </c>
      <c r="W212" s="11">
        <v>81</v>
      </c>
      <c r="X212" s="11" t="s">
        <v>192</v>
      </c>
      <c r="Y212" s="11">
        <v>85</v>
      </c>
      <c r="Z212" s="11" t="s">
        <v>192</v>
      </c>
      <c r="AA212" s="11">
        <v>80</v>
      </c>
      <c r="AB212" s="11" t="s">
        <v>192</v>
      </c>
      <c r="AC212" s="11">
        <v>87</v>
      </c>
      <c r="AD212" s="11" t="s">
        <v>192</v>
      </c>
    </row>
    <row r="213" spans="1:30" x14ac:dyDescent="0.3">
      <c r="A213" s="11" t="s">
        <v>531</v>
      </c>
      <c r="B213" s="11">
        <v>10806</v>
      </c>
      <c r="C213" s="11">
        <v>2</v>
      </c>
      <c r="D213" s="11" t="s">
        <v>411</v>
      </c>
      <c r="E213" s="11" t="s">
        <v>205</v>
      </c>
      <c r="F213" s="11" t="s">
        <v>206</v>
      </c>
      <c r="G213" s="11">
        <v>81</v>
      </c>
      <c r="H213" s="11" t="s">
        <v>201</v>
      </c>
      <c r="I213" s="11">
        <v>86</v>
      </c>
      <c r="J213" s="11" t="s">
        <v>201</v>
      </c>
      <c r="K213" s="11">
        <v>76</v>
      </c>
      <c r="L213" s="11" t="s">
        <v>201</v>
      </c>
      <c r="M213" s="11">
        <v>0</v>
      </c>
      <c r="N213" s="11" t="s">
        <v>188</v>
      </c>
      <c r="O213" s="11">
        <v>1</v>
      </c>
      <c r="P213" s="11" t="s">
        <v>197</v>
      </c>
      <c r="Q213" s="11">
        <v>0</v>
      </c>
      <c r="R213" s="11" t="s">
        <v>203</v>
      </c>
      <c r="S213" s="11">
        <v>37</v>
      </c>
      <c r="T213" s="11" t="s">
        <v>187</v>
      </c>
      <c r="U213" s="11">
        <v>37</v>
      </c>
      <c r="V213" s="11" t="s">
        <v>187</v>
      </c>
      <c r="W213" s="11">
        <v>33</v>
      </c>
      <c r="X213" s="11" t="s">
        <v>187</v>
      </c>
      <c r="Y213" s="11">
        <v>36</v>
      </c>
      <c r="Z213" s="11" t="s">
        <v>187</v>
      </c>
      <c r="AA213" s="11">
        <v>32</v>
      </c>
      <c r="AB213" s="11" t="s">
        <v>187</v>
      </c>
      <c r="AC213" s="11">
        <v>36</v>
      </c>
      <c r="AD213" s="11" t="s">
        <v>187</v>
      </c>
    </row>
    <row r="214" spans="1:30" x14ac:dyDescent="0.3">
      <c r="A214" s="11" t="s">
        <v>531</v>
      </c>
      <c r="B214" s="11">
        <v>10807</v>
      </c>
      <c r="C214" s="11">
        <v>2</v>
      </c>
      <c r="D214" s="11" t="s">
        <v>412</v>
      </c>
      <c r="E214" s="11" t="s">
        <v>184</v>
      </c>
      <c r="F214" s="11" t="s">
        <v>185</v>
      </c>
      <c r="G214" s="11">
        <v>23</v>
      </c>
      <c r="H214" s="11" t="s">
        <v>186</v>
      </c>
      <c r="I214" s="11">
        <v>23</v>
      </c>
      <c r="J214" s="11" t="s">
        <v>186</v>
      </c>
      <c r="K214" s="11">
        <v>45</v>
      </c>
      <c r="L214" s="11" t="s">
        <v>187</v>
      </c>
      <c r="M214" s="11">
        <v>0</v>
      </c>
      <c r="N214" s="11" t="s">
        <v>188</v>
      </c>
      <c r="O214" s="11">
        <v>3</v>
      </c>
      <c r="P214" s="11" t="s">
        <v>189</v>
      </c>
      <c r="Q214" s="11">
        <v>3</v>
      </c>
      <c r="R214" s="11" t="s">
        <v>190</v>
      </c>
      <c r="S214" s="11">
        <v>37</v>
      </c>
      <c r="T214" s="11" t="s">
        <v>187</v>
      </c>
      <c r="U214" s="11">
        <v>58</v>
      </c>
      <c r="V214" s="11" t="s">
        <v>191</v>
      </c>
      <c r="W214" s="11">
        <v>45</v>
      </c>
      <c r="X214" s="11" t="s">
        <v>191</v>
      </c>
      <c r="Y214" s="11">
        <v>48</v>
      </c>
      <c r="Z214" s="11" t="s">
        <v>191</v>
      </c>
      <c r="AA214" s="11">
        <v>32</v>
      </c>
      <c r="AB214" s="11" t="s">
        <v>187</v>
      </c>
      <c r="AC214" s="11">
        <v>62</v>
      </c>
      <c r="AD214" s="11" t="s">
        <v>192</v>
      </c>
    </row>
    <row r="215" spans="1:30" x14ac:dyDescent="0.3">
      <c r="A215" s="11" t="s">
        <v>531</v>
      </c>
      <c r="B215" s="11">
        <v>10808</v>
      </c>
      <c r="C215" s="11">
        <v>2</v>
      </c>
      <c r="D215" s="11" t="s">
        <v>413</v>
      </c>
      <c r="E215" s="11" t="s">
        <v>194</v>
      </c>
      <c r="F215" s="11" t="s">
        <v>195</v>
      </c>
      <c r="G215" s="11">
        <v>32</v>
      </c>
      <c r="H215" s="11" t="s">
        <v>196</v>
      </c>
      <c r="I215" s="11">
        <v>31</v>
      </c>
      <c r="J215" s="11" t="s">
        <v>196</v>
      </c>
      <c r="K215" s="11">
        <v>26</v>
      </c>
      <c r="L215" s="11" t="s">
        <v>186</v>
      </c>
      <c r="M215" s="11">
        <v>0</v>
      </c>
      <c r="N215" s="11" t="s">
        <v>188</v>
      </c>
      <c r="O215" s="11">
        <v>1</v>
      </c>
      <c r="P215" s="11" t="s">
        <v>197</v>
      </c>
      <c r="Q215" s="11">
        <v>3</v>
      </c>
      <c r="R215" s="11" t="s">
        <v>190</v>
      </c>
      <c r="S215" s="11">
        <v>37</v>
      </c>
      <c r="T215" s="11" t="s">
        <v>187</v>
      </c>
      <c r="U215" s="11">
        <v>37</v>
      </c>
      <c r="V215" s="11" t="s">
        <v>187</v>
      </c>
      <c r="W215" s="11">
        <v>33</v>
      </c>
      <c r="X215" s="11" t="s">
        <v>187</v>
      </c>
      <c r="Y215" s="11">
        <v>36</v>
      </c>
      <c r="Z215" s="11" t="s">
        <v>187</v>
      </c>
      <c r="AA215" s="11">
        <v>32</v>
      </c>
      <c r="AB215" s="11" t="s">
        <v>187</v>
      </c>
      <c r="AC215" s="11">
        <v>36</v>
      </c>
      <c r="AD215" s="11" t="s">
        <v>187</v>
      </c>
    </row>
    <row r="216" spans="1:30" x14ac:dyDescent="0.3">
      <c r="A216" s="11" t="s">
        <v>531</v>
      </c>
      <c r="B216" s="11">
        <v>10809</v>
      </c>
      <c r="C216" s="11">
        <v>2</v>
      </c>
      <c r="D216" s="11" t="s">
        <v>414</v>
      </c>
      <c r="E216" s="11" t="s">
        <v>199</v>
      </c>
      <c r="F216" s="11" t="s">
        <v>200</v>
      </c>
      <c r="G216" s="11">
        <v>77</v>
      </c>
      <c r="H216" s="11" t="s">
        <v>201</v>
      </c>
      <c r="I216" s="11">
        <v>65</v>
      </c>
      <c r="J216" s="11" t="s">
        <v>202</v>
      </c>
      <c r="K216" s="11">
        <v>76</v>
      </c>
      <c r="L216" s="11" t="s">
        <v>201</v>
      </c>
      <c r="M216" s="11">
        <v>0</v>
      </c>
      <c r="N216" s="11" t="s">
        <v>188</v>
      </c>
      <c r="O216" s="11">
        <v>5</v>
      </c>
      <c r="P216" s="11" t="s">
        <v>189</v>
      </c>
      <c r="Q216" s="11">
        <v>0</v>
      </c>
      <c r="R216" s="11" t="s">
        <v>203</v>
      </c>
      <c r="S216" s="11">
        <v>85</v>
      </c>
      <c r="T216" s="11" t="s">
        <v>192</v>
      </c>
      <c r="U216" s="11">
        <v>79</v>
      </c>
      <c r="V216" s="11" t="s">
        <v>192</v>
      </c>
      <c r="W216" s="11">
        <v>81</v>
      </c>
      <c r="X216" s="11" t="s">
        <v>192</v>
      </c>
      <c r="Y216" s="11">
        <v>85</v>
      </c>
      <c r="Z216" s="11" t="s">
        <v>192</v>
      </c>
      <c r="AA216" s="11">
        <v>80</v>
      </c>
      <c r="AB216" s="11" t="s">
        <v>192</v>
      </c>
      <c r="AC216" s="11">
        <v>87</v>
      </c>
      <c r="AD216" s="11" t="s">
        <v>192</v>
      </c>
    </row>
    <row r="217" spans="1:30" x14ac:dyDescent="0.3">
      <c r="A217" s="11" t="s">
        <v>531</v>
      </c>
      <c r="B217" s="11">
        <v>10810</v>
      </c>
      <c r="C217" s="11">
        <v>2</v>
      </c>
      <c r="D217" s="11" t="s">
        <v>415</v>
      </c>
      <c r="E217" s="11" t="s">
        <v>205</v>
      </c>
      <c r="F217" s="11" t="s">
        <v>206</v>
      </c>
      <c r="G217" s="11">
        <v>81</v>
      </c>
      <c r="H217" s="11" t="s">
        <v>201</v>
      </c>
      <c r="I217" s="11">
        <v>86</v>
      </c>
      <c r="J217" s="11" t="s">
        <v>201</v>
      </c>
      <c r="K217" s="11">
        <v>76</v>
      </c>
      <c r="L217" s="11" t="s">
        <v>201</v>
      </c>
      <c r="M217" s="11">
        <v>0</v>
      </c>
      <c r="N217" s="11" t="s">
        <v>188</v>
      </c>
      <c r="O217" s="11">
        <v>1</v>
      </c>
      <c r="P217" s="11" t="s">
        <v>197</v>
      </c>
      <c r="Q217" s="11">
        <v>0</v>
      </c>
      <c r="R217" s="11" t="s">
        <v>203</v>
      </c>
      <c r="S217" s="11">
        <v>37</v>
      </c>
      <c r="T217" s="11" t="s">
        <v>187</v>
      </c>
      <c r="U217" s="11">
        <v>37</v>
      </c>
      <c r="V217" s="11" t="s">
        <v>187</v>
      </c>
      <c r="W217" s="11">
        <v>33</v>
      </c>
      <c r="X217" s="11" t="s">
        <v>187</v>
      </c>
      <c r="Y217" s="11">
        <v>36</v>
      </c>
      <c r="Z217" s="11" t="s">
        <v>187</v>
      </c>
      <c r="AA217" s="11">
        <v>32</v>
      </c>
      <c r="AB217" s="11" t="s">
        <v>187</v>
      </c>
      <c r="AC217" s="11">
        <v>36</v>
      </c>
      <c r="AD217" s="11" t="s">
        <v>187</v>
      </c>
    </row>
    <row r="218" spans="1:30" x14ac:dyDescent="0.3">
      <c r="A218" s="11" t="s">
        <v>531</v>
      </c>
      <c r="B218" s="11">
        <v>10811</v>
      </c>
      <c r="C218" s="11">
        <v>2</v>
      </c>
      <c r="D218" s="11" t="s">
        <v>416</v>
      </c>
      <c r="E218" s="11" t="s">
        <v>184</v>
      </c>
      <c r="F218" s="11" t="s">
        <v>185</v>
      </c>
      <c r="G218" s="11">
        <v>23</v>
      </c>
      <c r="H218" s="11" t="s">
        <v>186</v>
      </c>
      <c r="I218" s="11">
        <v>23</v>
      </c>
      <c r="J218" s="11" t="s">
        <v>186</v>
      </c>
      <c r="K218" s="11">
        <v>45</v>
      </c>
      <c r="L218" s="11" t="s">
        <v>187</v>
      </c>
      <c r="M218" s="11">
        <v>0</v>
      </c>
      <c r="N218" s="11" t="s">
        <v>188</v>
      </c>
      <c r="O218" s="11">
        <v>3</v>
      </c>
      <c r="P218" s="11" t="s">
        <v>189</v>
      </c>
      <c r="Q218" s="11">
        <v>3</v>
      </c>
      <c r="R218" s="11" t="s">
        <v>190</v>
      </c>
      <c r="S218" s="11">
        <v>37</v>
      </c>
      <c r="T218" s="11" t="s">
        <v>187</v>
      </c>
      <c r="U218" s="11">
        <v>58</v>
      </c>
      <c r="V218" s="11" t="s">
        <v>191</v>
      </c>
      <c r="W218" s="11">
        <v>45</v>
      </c>
      <c r="X218" s="11" t="s">
        <v>191</v>
      </c>
      <c r="Y218" s="11">
        <v>48</v>
      </c>
      <c r="Z218" s="11" t="s">
        <v>191</v>
      </c>
      <c r="AA218" s="11">
        <v>32</v>
      </c>
      <c r="AB218" s="11" t="s">
        <v>187</v>
      </c>
      <c r="AC218" s="11">
        <v>62</v>
      </c>
      <c r="AD218" s="11" t="s">
        <v>192</v>
      </c>
    </row>
    <row r="219" spans="1:30" x14ac:dyDescent="0.3">
      <c r="A219" s="11" t="s">
        <v>531</v>
      </c>
      <c r="B219" s="11">
        <v>10812</v>
      </c>
      <c r="C219" s="11">
        <v>2</v>
      </c>
      <c r="D219" s="11" t="s">
        <v>417</v>
      </c>
      <c r="E219" s="11" t="s">
        <v>194</v>
      </c>
      <c r="F219" s="11" t="s">
        <v>195</v>
      </c>
      <c r="G219" s="11">
        <v>32</v>
      </c>
      <c r="H219" s="11" t="s">
        <v>196</v>
      </c>
      <c r="I219" s="11">
        <v>31</v>
      </c>
      <c r="J219" s="11" t="s">
        <v>196</v>
      </c>
      <c r="K219" s="11">
        <v>26</v>
      </c>
      <c r="L219" s="11" t="s">
        <v>186</v>
      </c>
      <c r="M219" s="11">
        <v>0</v>
      </c>
      <c r="N219" s="11" t="s">
        <v>188</v>
      </c>
      <c r="O219" s="11">
        <v>1</v>
      </c>
      <c r="P219" s="11" t="s">
        <v>197</v>
      </c>
      <c r="Q219" s="11">
        <v>3</v>
      </c>
      <c r="R219" s="11" t="s">
        <v>190</v>
      </c>
      <c r="S219" s="11">
        <v>37</v>
      </c>
      <c r="T219" s="11" t="s">
        <v>187</v>
      </c>
      <c r="U219" s="11">
        <v>37</v>
      </c>
      <c r="V219" s="11" t="s">
        <v>187</v>
      </c>
      <c r="W219" s="11">
        <v>33</v>
      </c>
      <c r="X219" s="11" t="s">
        <v>187</v>
      </c>
      <c r="Y219" s="11">
        <v>36</v>
      </c>
      <c r="Z219" s="11" t="s">
        <v>187</v>
      </c>
      <c r="AA219" s="11">
        <v>32</v>
      </c>
      <c r="AB219" s="11" t="s">
        <v>187</v>
      </c>
      <c r="AC219" s="11">
        <v>36</v>
      </c>
      <c r="AD219" s="11" t="s">
        <v>187</v>
      </c>
    </row>
    <row r="220" spans="1:30" x14ac:dyDescent="0.3">
      <c r="A220" s="11" t="s">
        <v>531</v>
      </c>
      <c r="B220" s="11">
        <v>10813</v>
      </c>
      <c r="C220" s="11">
        <v>2</v>
      </c>
      <c r="D220" s="11" t="s">
        <v>418</v>
      </c>
      <c r="E220" s="11" t="s">
        <v>199</v>
      </c>
      <c r="F220" s="11" t="s">
        <v>200</v>
      </c>
      <c r="G220" s="11">
        <v>77</v>
      </c>
      <c r="H220" s="11" t="s">
        <v>201</v>
      </c>
      <c r="I220" s="11">
        <v>65</v>
      </c>
      <c r="J220" s="11" t="s">
        <v>202</v>
      </c>
      <c r="K220" s="11">
        <v>76</v>
      </c>
      <c r="L220" s="11" t="s">
        <v>201</v>
      </c>
      <c r="M220" s="11">
        <v>0</v>
      </c>
      <c r="N220" s="11" t="s">
        <v>188</v>
      </c>
      <c r="O220" s="11">
        <v>5</v>
      </c>
      <c r="P220" s="11" t="s">
        <v>189</v>
      </c>
      <c r="Q220" s="11">
        <v>0</v>
      </c>
      <c r="R220" s="11" t="s">
        <v>203</v>
      </c>
      <c r="S220" s="11">
        <v>85</v>
      </c>
      <c r="T220" s="11" t="s">
        <v>192</v>
      </c>
      <c r="U220" s="11">
        <v>79</v>
      </c>
      <c r="V220" s="11" t="s">
        <v>192</v>
      </c>
      <c r="W220" s="11">
        <v>81</v>
      </c>
      <c r="X220" s="11" t="s">
        <v>192</v>
      </c>
      <c r="Y220" s="11">
        <v>85</v>
      </c>
      <c r="Z220" s="11" t="s">
        <v>192</v>
      </c>
      <c r="AA220" s="11">
        <v>80</v>
      </c>
      <c r="AB220" s="11" t="s">
        <v>192</v>
      </c>
      <c r="AC220" s="11">
        <v>87</v>
      </c>
      <c r="AD220" s="11" t="s">
        <v>192</v>
      </c>
    </row>
    <row r="221" spans="1:30" x14ac:dyDescent="0.3">
      <c r="A221" s="11" t="s">
        <v>531</v>
      </c>
      <c r="B221" s="11">
        <v>10814</v>
      </c>
      <c r="C221" s="11">
        <v>2</v>
      </c>
      <c r="D221" s="11" t="s">
        <v>419</v>
      </c>
      <c r="E221" s="11" t="s">
        <v>205</v>
      </c>
      <c r="F221" s="11" t="s">
        <v>206</v>
      </c>
      <c r="G221" s="11">
        <v>81</v>
      </c>
      <c r="H221" s="11" t="s">
        <v>201</v>
      </c>
      <c r="I221" s="11">
        <v>86</v>
      </c>
      <c r="J221" s="11" t="s">
        <v>201</v>
      </c>
      <c r="K221" s="11">
        <v>76</v>
      </c>
      <c r="L221" s="11" t="s">
        <v>201</v>
      </c>
      <c r="M221" s="11">
        <v>0</v>
      </c>
      <c r="N221" s="11" t="s">
        <v>188</v>
      </c>
      <c r="O221" s="11">
        <v>1</v>
      </c>
      <c r="P221" s="11" t="s">
        <v>197</v>
      </c>
      <c r="Q221" s="11">
        <v>0</v>
      </c>
      <c r="R221" s="11" t="s">
        <v>203</v>
      </c>
      <c r="S221" s="11">
        <v>37</v>
      </c>
      <c r="T221" s="11" t="s">
        <v>187</v>
      </c>
      <c r="U221" s="11">
        <v>37</v>
      </c>
      <c r="V221" s="11" t="s">
        <v>187</v>
      </c>
      <c r="W221" s="11">
        <v>33</v>
      </c>
      <c r="X221" s="11" t="s">
        <v>187</v>
      </c>
      <c r="Y221" s="11">
        <v>36</v>
      </c>
      <c r="Z221" s="11" t="s">
        <v>187</v>
      </c>
      <c r="AA221" s="11">
        <v>32</v>
      </c>
      <c r="AB221" s="11" t="s">
        <v>187</v>
      </c>
      <c r="AC221" s="11">
        <v>36</v>
      </c>
      <c r="AD221" s="11" t="s">
        <v>187</v>
      </c>
    </row>
    <row r="222" spans="1:30" x14ac:dyDescent="0.3">
      <c r="A222" s="11" t="s">
        <v>531</v>
      </c>
      <c r="B222" s="11">
        <v>10816</v>
      </c>
      <c r="C222" s="11">
        <v>1</v>
      </c>
      <c r="D222" s="11" t="s">
        <v>420</v>
      </c>
      <c r="E222" s="11" t="s">
        <v>184</v>
      </c>
      <c r="F222" s="11" t="s">
        <v>185</v>
      </c>
      <c r="G222" s="11">
        <v>23</v>
      </c>
      <c r="H222" s="11" t="s">
        <v>186</v>
      </c>
      <c r="I222" s="11">
        <v>23</v>
      </c>
      <c r="J222" s="11" t="s">
        <v>186</v>
      </c>
      <c r="K222" s="11">
        <v>45</v>
      </c>
      <c r="L222" s="11" t="s">
        <v>187</v>
      </c>
      <c r="M222" s="11">
        <v>0</v>
      </c>
      <c r="N222" s="11" t="s">
        <v>188</v>
      </c>
      <c r="O222" s="11">
        <v>3</v>
      </c>
      <c r="P222" s="11" t="s">
        <v>189</v>
      </c>
      <c r="Q222" s="11">
        <v>3</v>
      </c>
      <c r="R222" s="11" t="s">
        <v>190</v>
      </c>
      <c r="S222" s="11">
        <v>37</v>
      </c>
      <c r="T222" s="11" t="s">
        <v>187</v>
      </c>
      <c r="U222" s="11">
        <v>58</v>
      </c>
      <c r="V222" s="11" t="s">
        <v>191</v>
      </c>
      <c r="W222" s="11">
        <v>45</v>
      </c>
      <c r="X222" s="11" t="s">
        <v>191</v>
      </c>
      <c r="Y222" s="11">
        <v>48</v>
      </c>
      <c r="Z222" s="11" t="s">
        <v>191</v>
      </c>
      <c r="AA222" s="11">
        <v>32</v>
      </c>
      <c r="AB222" s="11" t="s">
        <v>187</v>
      </c>
      <c r="AC222" s="11">
        <v>62</v>
      </c>
      <c r="AD222" s="11" t="s">
        <v>192</v>
      </c>
    </row>
    <row r="223" spans="1:30" x14ac:dyDescent="0.3">
      <c r="A223" s="11" t="s">
        <v>531</v>
      </c>
      <c r="B223" s="11">
        <v>10817</v>
      </c>
      <c r="C223" s="11">
        <v>1</v>
      </c>
      <c r="D223" s="11" t="s">
        <v>421</v>
      </c>
      <c r="E223" s="11" t="s">
        <v>194</v>
      </c>
      <c r="F223" s="11" t="s">
        <v>195</v>
      </c>
      <c r="G223" s="11">
        <v>32</v>
      </c>
      <c r="H223" s="11" t="s">
        <v>196</v>
      </c>
      <c r="I223" s="11">
        <v>31</v>
      </c>
      <c r="J223" s="11" t="s">
        <v>196</v>
      </c>
      <c r="K223" s="11">
        <v>26</v>
      </c>
      <c r="L223" s="11" t="s">
        <v>186</v>
      </c>
      <c r="M223" s="11">
        <v>0</v>
      </c>
      <c r="N223" s="11" t="s">
        <v>188</v>
      </c>
      <c r="O223" s="11">
        <v>1</v>
      </c>
      <c r="P223" s="11" t="s">
        <v>197</v>
      </c>
      <c r="Q223" s="11">
        <v>3</v>
      </c>
      <c r="R223" s="11" t="s">
        <v>190</v>
      </c>
      <c r="S223" s="11">
        <v>37</v>
      </c>
      <c r="T223" s="11" t="s">
        <v>187</v>
      </c>
      <c r="U223" s="11">
        <v>37</v>
      </c>
      <c r="V223" s="11" t="s">
        <v>187</v>
      </c>
      <c r="W223" s="11">
        <v>33</v>
      </c>
      <c r="X223" s="11" t="s">
        <v>187</v>
      </c>
      <c r="Y223" s="11">
        <v>36</v>
      </c>
      <c r="Z223" s="11" t="s">
        <v>187</v>
      </c>
      <c r="AA223" s="11">
        <v>32</v>
      </c>
      <c r="AB223" s="11" t="s">
        <v>187</v>
      </c>
      <c r="AC223" s="11">
        <v>36</v>
      </c>
      <c r="AD223" s="11" t="s">
        <v>187</v>
      </c>
    </row>
    <row r="224" spans="1:30" x14ac:dyDescent="0.3">
      <c r="A224" s="11" t="s">
        <v>531</v>
      </c>
      <c r="B224" s="11">
        <v>10818</v>
      </c>
      <c r="C224" s="11">
        <v>1</v>
      </c>
      <c r="D224" s="11" t="s">
        <v>422</v>
      </c>
      <c r="E224" s="11" t="s">
        <v>199</v>
      </c>
      <c r="F224" s="11" t="s">
        <v>200</v>
      </c>
      <c r="G224" s="11">
        <v>77</v>
      </c>
      <c r="H224" s="11" t="s">
        <v>201</v>
      </c>
      <c r="I224" s="11">
        <v>65</v>
      </c>
      <c r="J224" s="11" t="s">
        <v>202</v>
      </c>
      <c r="K224" s="11">
        <v>76</v>
      </c>
      <c r="L224" s="11" t="s">
        <v>201</v>
      </c>
      <c r="M224" s="11">
        <v>0</v>
      </c>
      <c r="N224" s="11" t="s">
        <v>188</v>
      </c>
      <c r="O224" s="11">
        <v>5</v>
      </c>
      <c r="P224" s="11" t="s">
        <v>189</v>
      </c>
      <c r="Q224" s="11">
        <v>0</v>
      </c>
      <c r="R224" s="11" t="s">
        <v>203</v>
      </c>
      <c r="S224" s="11">
        <v>85</v>
      </c>
      <c r="T224" s="11" t="s">
        <v>192</v>
      </c>
      <c r="U224" s="11">
        <v>79</v>
      </c>
      <c r="V224" s="11" t="s">
        <v>192</v>
      </c>
      <c r="W224" s="11">
        <v>81</v>
      </c>
      <c r="X224" s="11" t="s">
        <v>192</v>
      </c>
      <c r="Y224" s="11">
        <v>85</v>
      </c>
      <c r="Z224" s="11" t="s">
        <v>192</v>
      </c>
      <c r="AA224" s="11">
        <v>80</v>
      </c>
      <c r="AB224" s="11" t="s">
        <v>192</v>
      </c>
      <c r="AC224" s="11">
        <v>87</v>
      </c>
      <c r="AD224" s="11" t="s">
        <v>192</v>
      </c>
    </row>
    <row r="225" spans="1:30" x14ac:dyDescent="0.3">
      <c r="A225" s="11" t="s">
        <v>531</v>
      </c>
      <c r="B225" s="11">
        <v>10819</v>
      </c>
      <c r="C225" s="11">
        <v>1</v>
      </c>
      <c r="D225" s="11" t="s">
        <v>423</v>
      </c>
      <c r="E225" s="11" t="s">
        <v>205</v>
      </c>
      <c r="F225" s="11" t="s">
        <v>206</v>
      </c>
      <c r="G225" s="11">
        <v>81</v>
      </c>
      <c r="H225" s="11" t="s">
        <v>201</v>
      </c>
      <c r="I225" s="11">
        <v>86</v>
      </c>
      <c r="J225" s="11" t="s">
        <v>201</v>
      </c>
      <c r="K225" s="11">
        <v>76</v>
      </c>
      <c r="L225" s="11" t="s">
        <v>201</v>
      </c>
      <c r="M225" s="11">
        <v>0</v>
      </c>
      <c r="N225" s="11" t="s">
        <v>188</v>
      </c>
      <c r="O225" s="11">
        <v>1</v>
      </c>
      <c r="P225" s="11" t="s">
        <v>197</v>
      </c>
      <c r="Q225" s="11">
        <v>0</v>
      </c>
      <c r="R225" s="11" t="s">
        <v>203</v>
      </c>
      <c r="S225" s="11">
        <v>37</v>
      </c>
      <c r="T225" s="11" t="s">
        <v>187</v>
      </c>
      <c r="U225" s="11">
        <v>37</v>
      </c>
      <c r="V225" s="11" t="s">
        <v>187</v>
      </c>
      <c r="W225" s="11">
        <v>33</v>
      </c>
      <c r="X225" s="11" t="s">
        <v>187</v>
      </c>
      <c r="Y225" s="11">
        <v>36</v>
      </c>
      <c r="Z225" s="11" t="s">
        <v>187</v>
      </c>
      <c r="AA225" s="11">
        <v>32</v>
      </c>
      <c r="AB225" s="11" t="s">
        <v>187</v>
      </c>
      <c r="AC225" s="11">
        <v>36</v>
      </c>
      <c r="AD225" s="11" t="s">
        <v>187</v>
      </c>
    </row>
    <row r="226" spans="1:30" x14ac:dyDescent="0.3">
      <c r="A226" s="11" t="s">
        <v>531</v>
      </c>
      <c r="B226" s="11">
        <v>10820</v>
      </c>
      <c r="C226" s="11">
        <v>1</v>
      </c>
      <c r="D226" s="11" t="s">
        <v>424</v>
      </c>
      <c r="E226" s="11" t="s">
        <v>184</v>
      </c>
      <c r="F226" s="11" t="s">
        <v>185</v>
      </c>
      <c r="G226" s="11">
        <v>23</v>
      </c>
      <c r="H226" s="11" t="s">
        <v>186</v>
      </c>
      <c r="I226" s="11">
        <v>23</v>
      </c>
      <c r="J226" s="11" t="s">
        <v>186</v>
      </c>
      <c r="K226" s="11">
        <v>45</v>
      </c>
      <c r="L226" s="11" t="s">
        <v>187</v>
      </c>
      <c r="M226" s="11">
        <v>0</v>
      </c>
      <c r="N226" s="11" t="s">
        <v>188</v>
      </c>
      <c r="O226" s="11">
        <v>3</v>
      </c>
      <c r="P226" s="11" t="s">
        <v>189</v>
      </c>
      <c r="Q226" s="11">
        <v>3</v>
      </c>
      <c r="R226" s="11" t="s">
        <v>190</v>
      </c>
      <c r="S226" s="11">
        <v>37</v>
      </c>
      <c r="T226" s="11" t="s">
        <v>187</v>
      </c>
      <c r="U226" s="11">
        <v>58</v>
      </c>
      <c r="V226" s="11" t="s">
        <v>191</v>
      </c>
      <c r="W226" s="11">
        <v>45</v>
      </c>
      <c r="X226" s="11" t="s">
        <v>191</v>
      </c>
      <c r="Y226" s="11">
        <v>48</v>
      </c>
      <c r="Z226" s="11" t="s">
        <v>191</v>
      </c>
      <c r="AA226" s="11">
        <v>32</v>
      </c>
      <c r="AB226" s="11" t="s">
        <v>187</v>
      </c>
      <c r="AC226" s="11">
        <v>62</v>
      </c>
      <c r="AD226" s="11" t="s">
        <v>192</v>
      </c>
    </row>
    <row r="227" spans="1:30" x14ac:dyDescent="0.3">
      <c r="A227" s="11" t="s">
        <v>531</v>
      </c>
      <c r="B227" s="11">
        <v>10821</v>
      </c>
      <c r="C227" s="11">
        <v>1</v>
      </c>
      <c r="D227" s="11" t="s">
        <v>425</v>
      </c>
      <c r="E227" s="11" t="s">
        <v>194</v>
      </c>
      <c r="F227" s="11" t="s">
        <v>195</v>
      </c>
      <c r="G227" s="11">
        <v>32</v>
      </c>
      <c r="H227" s="11" t="s">
        <v>196</v>
      </c>
      <c r="I227" s="11">
        <v>31</v>
      </c>
      <c r="J227" s="11" t="s">
        <v>196</v>
      </c>
      <c r="K227" s="11">
        <v>26</v>
      </c>
      <c r="L227" s="11" t="s">
        <v>186</v>
      </c>
      <c r="M227" s="11">
        <v>0</v>
      </c>
      <c r="N227" s="11" t="s">
        <v>188</v>
      </c>
      <c r="O227" s="11">
        <v>1</v>
      </c>
      <c r="P227" s="11" t="s">
        <v>197</v>
      </c>
      <c r="Q227" s="11">
        <v>3</v>
      </c>
      <c r="R227" s="11" t="s">
        <v>190</v>
      </c>
      <c r="S227" s="11">
        <v>37</v>
      </c>
      <c r="T227" s="11" t="s">
        <v>187</v>
      </c>
      <c r="U227" s="11">
        <v>37</v>
      </c>
      <c r="V227" s="11" t="s">
        <v>187</v>
      </c>
      <c r="W227" s="11">
        <v>33</v>
      </c>
      <c r="X227" s="11" t="s">
        <v>187</v>
      </c>
      <c r="Y227" s="11">
        <v>36</v>
      </c>
      <c r="Z227" s="11" t="s">
        <v>187</v>
      </c>
      <c r="AA227" s="11">
        <v>32</v>
      </c>
      <c r="AB227" s="11" t="s">
        <v>187</v>
      </c>
      <c r="AC227" s="11">
        <v>36</v>
      </c>
      <c r="AD227" s="11" t="s">
        <v>187</v>
      </c>
    </row>
    <row r="228" spans="1:30" x14ac:dyDescent="0.3">
      <c r="A228" s="11" t="s">
        <v>531</v>
      </c>
      <c r="B228" s="11">
        <v>10822</v>
      </c>
      <c r="C228" s="11">
        <v>1</v>
      </c>
      <c r="D228" s="11" t="s">
        <v>426</v>
      </c>
      <c r="E228" s="11" t="s">
        <v>199</v>
      </c>
      <c r="F228" s="11" t="s">
        <v>200</v>
      </c>
      <c r="G228" s="11">
        <v>77</v>
      </c>
      <c r="H228" s="11" t="s">
        <v>201</v>
      </c>
      <c r="I228" s="11">
        <v>65</v>
      </c>
      <c r="J228" s="11" t="s">
        <v>202</v>
      </c>
      <c r="K228" s="11">
        <v>76</v>
      </c>
      <c r="L228" s="11" t="s">
        <v>201</v>
      </c>
      <c r="M228" s="11">
        <v>0</v>
      </c>
      <c r="N228" s="11" t="s">
        <v>188</v>
      </c>
      <c r="O228" s="11">
        <v>5</v>
      </c>
      <c r="P228" s="11" t="s">
        <v>189</v>
      </c>
      <c r="Q228" s="11">
        <v>0</v>
      </c>
      <c r="R228" s="11" t="s">
        <v>203</v>
      </c>
      <c r="S228" s="11">
        <v>85</v>
      </c>
      <c r="T228" s="11" t="s">
        <v>192</v>
      </c>
      <c r="U228" s="11">
        <v>79</v>
      </c>
      <c r="V228" s="11" t="s">
        <v>192</v>
      </c>
      <c r="W228" s="11">
        <v>81</v>
      </c>
      <c r="X228" s="11" t="s">
        <v>192</v>
      </c>
      <c r="Y228" s="11">
        <v>85</v>
      </c>
      <c r="Z228" s="11" t="s">
        <v>192</v>
      </c>
      <c r="AA228" s="11">
        <v>80</v>
      </c>
      <c r="AB228" s="11" t="s">
        <v>192</v>
      </c>
      <c r="AC228" s="11">
        <v>87</v>
      </c>
      <c r="AD228" s="11" t="s">
        <v>192</v>
      </c>
    </row>
    <row r="229" spans="1:30" x14ac:dyDescent="0.3">
      <c r="A229" s="11" t="s">
        <v>531</v>
      </c>
      <c r="B229" s="11">
        <v>10823</v>
      </c>
      <c r="C229" s="11">
        <v>1</v>
      </c>
      <c r="D229" s="11" t="s">
        <v>427</v>
      </c>
      <c r="E229" s="11" t="s">
        <v>205</v>
      </c>
      <c r="F229" s="11" t="s">
        <v>206</v>
      </c>
      <c r="G229" s="11">
        <v>81</v>
      </c>
      <c r="H229" s="11" t="s">
        <v>201</v>
      </c>
      <c r="I229" s="11">
        <v>86</v>
      </c>
      <c r="J229" s="11" t="s">
        <v>201</v>
      </c>
      <c r="K229" s="11">
        <v>76</v>
      </c>
      <c r="L229" s="11" t="s">
        <v>201</v>
      </c>
      <c r="M229" s="11">
        <v>0</v>
      </c>
      <c r="N229" s="11" t="s">
        <v>188</v>
      </c>
      <c r="O229" s="11">
        <v>1</v>
      </c>
      <c r="P229" s="11" t="s">
        <v>197</v>
      </c>
      <c r="Q229" s="11">
        <v>0</v>
      </c>
      <c r="R229" s="11" t="s">
        <v>203</v>
      </c>
      <c r="S229" s="11">
        <v>37</v>
      </c>
      <c r="T229" s="11" t="s">
        <v>187</v>
      </c>
      <c r="U229" s="11">
        <v>37</v>
      </c>
      <c r="V229" s="11" t="s">
        <v>187</v>
      </c>
      <c r="W229" s="11">
        <v>33</v>
      </c>
      <c r="X229" s="11" t="s">
        <v>187</v>
      </c>
      <c r="Y229" s="11">
        <v>36</v>
      </c>
      <c r="Z229" s="11" t="s">
        <v>187</v>
      </c>
      <c r="AA229" s="11">
        <v>32</v>
      </c>
      <c r="AB229" s="11" t="s">
        <v>187</v>
      </c>
      <c r="AC229" s="11">
        <v>36</v>
      </c>
      <c r="AD229" s="11" t="s">
        <v>187</v>
      </c>
    </row>
    <row r="230" spans="1:30" x14ac:dyDescent="0.3">
      <c r="A230" s="11" t="s">
        <v>531</v>
      </c>
      <c r="B230" s="11">
        <v>10824</v>
      </c>
      <c r="C230" s="11">
        <v>1</v>
      </c>
      <c r="D230" s="11" t="s">
        <v>428</v>
      </c>
      <c r="E230" s="11" t="s">
        <v>184</v>
      </c>
      <c r="F230" s="11" t="s">
        <v>185</v>
      </c>
      <c r="G230" s="11">
        <v>23</v>
      </c>
      <c r="H230" s="11" t="s">
        <v>186</v>
      </c>
      <c r="I230" s="11">
        <v>23</v>
      </c>
      <c r="J230" s="11" t="s">
        <v>186</v>
      </c>
      <c r="K230" s="11">
        <v>45</v>
      </c>
      <c r="L230" s="11" t="s">
        <v>187</v>
      </c>
      <c r="M230" s="11">
        <v>0</v>
      </c>
      <c r="N230" s="11" t="s">
        <v>188</v>
      </c>
      <c r="O230" s="11">
        <v>3</v>
      </c>
      <c r="P230" s="11" t="s">
        <v>189</v>
      </c>
      <c r="Q230" s="11">
        <v>3</v>
      </c>
      <c r="R230" s="11" t="s">
        <v>190</v>
      </c>
      <c r="S230" s="11">
        <v>37</v>
      </c>
      <c r="T230" s="11" t="s">
        <v>187</v>
      </c>
      <c r="U230" s="11">
        <v>58</v>
      </c>
      <c r="V230" s="11" t="s">
        <v>191</v>
      </c>
      <c r="W230" s="11">
        <v>45</v>
      </c>
      <c r="X230" s="11" t="s">
        <v>191</v>
      </c>
      <c r="Y230" s="11">
        <v>48</v>
      </c>
      <c r="Z230" s="11" t="s">
        <v>191</v>
      </c>
      <c r="AA230" s="11">
        <v>32</v>
      </c>
      <c r="AB230" s="11" t="s">
        <v>187</v>
      </c>
      <c r="AC230" s="11">
        <v>62</v>
      </c>
      <c r="AD230" s="11" t="s">
        <v>192</v>
      </c>
    </row>
    <row r="231" spans="1:30" x14ac:dyDescent="0.3">
      <c r="A231" s="11" t="s">
        <v>531</v>
      </c>
      <c r="B231" s="11">
        <v>10825</v>
      </c>
      <c r="C231" s="11">
        <v>1</v>
      </c>
      <c r="D231" s="11" t="s">
        <v>429</v>
      </c>
      <c r="E231" s="11" t="s">
        <v>194</v>
      </c>
      <c r="F231" s="11" t="s">
        <v>195</v>
      </c>
      <c r="G231" s="11">
        <v>32</v>
      </c>
      <c r="H231" s="11" t="s">
        <v>196</v>
      </c>
      <c r="I231" s="11">
        <v>31</v>
      </c>
      <c r="J231" s="11" t="s">
        <v>196</v>
      </c>
      <c r="K231" s="11">
        <v>26</v>
      </c>
      <c r="L231" s="11" t="s">
        <v>186</v>
      </c>
      <c r="M231" s="11">
        <v>0</v>
      </c>
      <c r="N231" s="11" t="s">
        <v>188</v>
      </c>
      <c r="O231" s="11">
        <v>1</v>
      </c>
      <c r="P231" s="11" t="s">
        <v>197</v>
      </c>
      <c r="Q231" s="11">
        <v>3</v>
      </c>
      <c r="R231" s="11" t="s">
        <v>190</v>
      </c>
      <c r="S231" s="11">
        <v>37</v>
      </c>
      <c r="T231" s="11" t="s">
        <v>187</v>
      </c>
      <c r="U231" s="11">
        <v>37</v>
      </c>
      <c r="V231" s="11" t="s">
        <v>187</v>
      </c>
      <c r="W231" s="11">
        <v>33</v>
      </c>
      <c r="X231" s="11" t="s">
        <v>187</v>
      </c>
      <c r="Y231" s="11">
        <v>36</v>
      </c>
      <c r="Z231" s="11" t="s">
        <v>187</v>
      </c>
      <c r="AA231" s="11">
        <v>32</v>
      </c>
      <c r="AB231" s="11" t="s">
        <v>187</v>
      </c>
      <c r="AC231" s="11">
        <v>36</v>
      </c>
      <c r="AD231" s="11" t="s">
        <v>187</v>
      </c>
    </row>
    <row r="232" spans="1:30" x14ac:dyDescent="0.3">
      <c r="A232" s="11" t="s">
        <v>531</v>
      </c>
      <c r="B232" s="11">
        <v>10826</v>
      </c>
      <c r="C232" s="11">
        <v>1</v>
      </c>
      <c r="D232" s="11" t="s">
        <v>430</v>
      </c>
      <c r="E232" s="11" t="s">
        <v>199</v>
      </c>
      <c r="F232" s="11" t="s">
        <v>200</v>
      </c>
      <c r="G232" s="11">
        <v>77</v>
      </c>
      <c r="H232" s="11" t="s">
        <v>201</v>
      </c>
      <c r="I232" s="11">
        <v>65</v>
      </c>
      <c r="J232" s="11" t="s">
        <v>202</v>
      </c>
      <c r="K232" s="11">
        <v>76</v>
      </c>
      <c r="L232" s="11" t="s">
        <v>201</v>
      </c>
      <c r="M232" s="11">
        <v>0</v>
      </c>
      <c r="N232" s="11" t="s">
        <v>188</v>
      </c>
      <c r="O232" s="11">
        <v>5</v>
      </c>
      <c r="P232" s="11" t="s">
        <v>189</v>
      </c>
      <c r="Q232" s="11">
        <v>0</v>
      </c>
      <c r="R232" s="11" t="s">
        <v>203</v>
      </c>
      <c r="S232" s="11">
        <v>85</v>
      </c>
      <c r="T232" s="11" t="s">
        <v>192</v>
      </c>
      <c r="U232" s="11">
        <v>79</v>
      </c>
      <c r="V232" s="11" t="s">
        <v>192</v>
      </c>
      <c r="W232" s="11">
        <v>81</v>
      </c>
      <c r="X232" s="11" t="s">
        <v>192</v>
      </c>
      <c r="Y232" s="11">
        <v>85</v>
      </c>
      <c r="Z232" s="11" t="s">
        <v>192</v>
      </c>
      <c r="AA232" s="11">
        <v>80</v>
      </c>
      <c r="AB232" s="11" t="s">
        <v>192</v>
      </c>
      <c r="AC232" s="11">
        <v>87</v>
      </c>
      <c r="AD232" s="11" t="s">
        <v>192</v>
      </c>
    </row>
    <row r="233" spans="1:30" x14ac:dyDescent="0.3">
      <c r="A233" s="11" t="s">
        <v>531</v>
      </c>
      <c r="B233" s="11">
        <v>10827</v>
      </c>
      <c r="C233" s="11">
        <v>1</v>
      </c>
      <c r="D233" s="11" t="s">
        <v>431</v>
      </c>
      <c r="E233" s="11" t="s">
        <v>205</v>
      </c>
      <c r="F233" s="11" t="s">
        <v>206</v>
      </c>
      <c r="G233" s="11">
        <v>81</v>
      </c>
      <c r="H233" s="11" t="s">
        <v>201</v>
      </c>
      <c r="I233" s="11">
        <v>86</v>
      </c>
      <c r="J233" s="11" t="s">
        <v>201</v>
      </c>
      <c r="K233" s="11">
        <v>76</v>
      </c>
      <c r="L233" s="11" t="s">
        <v>201</v>
      </c>
      <c r="M233" s="11">
        <v>0</v>
      </c>
      <c r="N233" s="11" t="s">
        <v>188</v>
      </c>
      <c r="O233" s="11">
        <v>1</v>
      </c>
      <c r="P233" s="11" t="s">
        <v>197</v>
      </c>
      <c r="Q233" s="11">
        <v>0</v>
      </c>
      <c r="R233" s="11" t="s">
        <v>203</v>
      </c>
      <c r="S233" s="11">
        <v>37</v>
      </c>
      <c r="T233" s="11" t="s">
        <v>187</v>
      </c>
      <c r="U233" s="11">
        <v>37</v>
      </c>
      <c r="V233" s="11" t="s">
        <v>187</v>
      </c>
      <c r="W233" s="11">
        <v>33</v>
      </c>
      <c r="X233" s="11" t="s">
        <v>187</v>
      </c>
      <c r="Y233" s="11">
        <v>36</v>
      </c>
      <c r="Z233" s="11" t="s">
        <v>187</v>
      </c>
      <c r="AA233" s="11">
        <v>32</v>
      </c>
      <c r="AB233" s="11" t="s">
        <v>187</v>
      </c>
      <c r="AC233" s="11">
        <v>36</v>
      </c>
      <c r="AD233" s="11" t="s">
        <v>187</v>
      </c>
    </row>
    <row r="234" spans="1:30" x14ac:dyDescent="0.3">
      <c r="A234" s="11" t="s">
        <v>531</v>
      </c>
      <c r="B234" s="11">
        <v>10828</v>
      </c>
      <c r="C234" s="11">
        <v>1</v>
      </c>
      <c r="D234" s="11" t="s">
        <v>432</v>
      </c>
      <c r="E234" s="11" t="s">
        <v>184</v>
      </c>
      <c r="F234" s="11" t="s">
        <v>185</v>
      </c>
      <c r="G234" s="11">
        <v>23</v>
      </c>
      <c r="H234" s="11" t="s">
        <v>186</v>
      </c>
      <c r="I234" s="11">
        <v>23</v>
      </c>
      <c r="J234" s="11" t="s">
        <v>186</v>
      </c>
      <c r="K234" s="11">
        <v>45</v>
      </c>
      <c r="L234" s="11" t="s">
        <v>187</v>
      </c>
      <c r="M234" s="11">
        <v>0</v>
      </c>
      <c r="N234" s="11" t="s">
        <v>188</v>
      </c>
      <c r="O234" s="11">
        <v>3</v>
      </c>
      <c r="P234" s="11" t="s">
        <v>189</v>
      </c>
      <c r="Q234" s="11">
        <v>3</v>
      </c>
      <c r="R234" s="11" t="s">
        <v>190</v>
      </c>
      <c r="S234" s="11">
        <v>37</v>
      </c>
      <c r="T234" s="11" t="s">
        <v>187</v>
      </c>
      <c r="U234" s="11">
        <v>58</v>
      </c>
      <c r="V234" s="11" t="s">
        <v>191</v>
      </c>
      <c r="W234" s="11">
        <v>45</v>
      </c>
      <c r="X234" s="11" t="s">
        <v>191</v>
      </c>
      <c r="Y234" s="11">
        <v>48</v>
      </c>
      <c r="Z234" s="11" t="s">
        <v>191</v>
      </c>
      <c r="AA234" s="11">
        <v>32</v>
      </c>
      <c r="AB234" s="11" t="s">
        <v>187</v>
      </c>
      <c r="AC234" s="11">
        <v>62</v>
      </c>
      <c r="AD234" s="11" t="s">
        <v>192</v>
      </c>
    </row>
    <row r="235" spans="1:30" x14ac:dyDescent="0.3">
      <c r="A235" s="11" t="s">
        <v>531</v>
      </c>
      <c r="B235" s="11">
        <v>10829</v>
      </c>
      <c r="C235" s="11">
        <v>1</v>
      </c>
      <c r="D235" s="11" t="s">
        <v>375</v>
      </c>
      <c r="E235" s="11" t="s">
        <v>194</v>
      </c>
      <c r="F235" s="11" t="s">
        <v>195</v>
      </c>
      <c r="G235" s="11">
        <v>32</v>
      </c>
      <c r="H235" s="11" t="s">
        <v>196</v>
      </c>
      <c r="I235" s="11">
        <v>31</v>
      </c>
      <c r="J235" s="11" t="s">
        <v>196</v>
      </c>
      <c r="K235" s="11">
        <v>26</v>
      </c>
      <c r="L235" s="11" t="s">
        <v>186</v>
      </c>
      <c r="M235" s="11">
        <v>0</v>
      </c>
      <c r="N235" s="11" t="s">
        <v>188</v>
      </c>
      <c r="O235" s="11">
        <v>1</v>
      </c>
      <c r="P235" s="11" t="s">
        <v>197</v>
      </c>
      <c r="Q235" s="11">
        <v>3</v>
      </c>
      <c r="R235" s="11" t="s">
        <v>190</v>
      </c>
      <c r="S235" s="11">
        <v>37</v>
      </c>
      <c r="T235" s="11" t="s">
        <v>187</v>
      </c>
      <c r="U235" s="11">
        <v>37</v>
      </c>
      <c r="V235" s="11" t="s">
        <v>187</v>
      </c>
      <c r="W235" s="11">
        <v>33</v>
      </c>
      <c r="X235" s="11" t="s">
        <v>187</v>
      </c>
      <c r="Y235" s="11">
        <v>36</v>
      </c>
      <c r="Z235" s="11" t="s">
        <v>187</v>
      </c>
      <c r="AA235" s="11">
        <v>32</v>
      </c>
      <c r="AB235" s="11" t="s">
        <v>187</v>
      </c>
      <c r="AC235" s="11">
        <v>36</v>
      </c>
      <c r="AD235" s="11" t="s">
        <v>187</v>
      </c>
    </row>
    <row r="236" spans="1:30" x14ac:dyDescent="0.3">
      <c r="A236" s="11" t="s">
        <v>531</v>
      </c>
      <c r="B236" s="11">
        <v>10830</v>
      </c>
      <c r="C236" s="11">
        <v>2</v>
      </c>
      <c r="D236" s="11" t="s">
        <v>198</v>
      </c>
      <c r="E236" s="11" t="s">
        <v>199</v>
      </c>
      <c r="F236" s="11" t="s">
        <v>200</v>
      </c>
      <c r="G236" s="11">
        <v>77</v>
      </c>
      <c r="H236" s="11" t="s">
        <v>201</v>
      </c>
      <c r="I236" s="11">
        <v>65</v>
      </c>
      <c r="J236" s="11" t="s">
        <v>202</v>
      </c>
      <c r="K236" s="11">
        <v>76</v>
      </c>
      <c r="L236" s="11" t="s">
        <v>201</v>
      </c>
      <c r="M236" s="11">
        <v>0</v>
      </c>
      <c r="N236" s="11" t="s">
        <v>188</v>
      </c>
      <c r="O236" s="11">
        <v>5</v>
      </c>
      <c r="P236" s="11" t="s">
        <v>189</v>
      </c>
      <c r="Q236" s="11">
        <v>0</v>
      </c>
      <c r="R236" s="11" t="s">
        <v>203</v>
      </c>
      <c r="S236" s="11">
        <v>85</v>
      </c>
      <c r="T236" s="11" t="s">
        <v>192</v>
      </c>
      <c r="U236" s="11">
        <v>79</v>
      </c>
      <c r="V236" s="11" t="s">
        <v>192</v>
      </c>
      <c r="W236" s="11">
        <v>81</v>
      </c>
      <c r="X236" s="11" t="s">
        <v>192</v>
      </c>
      <c r="Y236" s="11">
        <v>85</v>
      </c>
      <c r="Z236" s="11" t="s">
        <v>192</v>
      </c>
      <c r="AA236" s="11">
        <v>80</v>
      </c>
      <c r="AB236" s="11" t="s">
        <v>192</v>
      </c>
      <c r="AC236" s="11">
        <v>87</v>
      </c>
      <c r="AD236" s="11" t="s">
        <v>192</v>
      </c>
    </row>
    <row r="237" spans="1:30" x14ac:dyDescent="0.3">
      <c r="A237" s="11" t="s">
        <v>531</v>
      </c>
      <c r="B237" s="11">
        <v>10901</v>
      </c>
      <c r="C237" s="11">
        <v>2</v>
      </c>
      <c r="D237" s="11" t="s">
        <v>433</v>
      </c>
      <c r="E237" s="11" t="s">
        <v>205</v>
      </c>
      <c r="F237" s="11" t="s">
        <v>206</v>
      </c>
      <c r="G237" s="11">
        <v>81</v>
      </c>
      <c r="H237" s="11" t="s">
        <v>201</v>
      </c>
      <c r="I237" s="11">
        <v>86</v>
      </c>
      <c r="J237" s="11" t="s">
        <v>201</v>
      </c>
      <c r="K237" s="11">
        <v>76</v>
      </c>
      <c r="L237" s="11" t="s">
        <v>201</v>
      </c>
      <c r="M237" s="11">
        <v>0</v>
      </c>
      <c r="N237" s="11" t="s">
        <v>188</v>
      </c>
      <c r="O237" s="11">
        <v>1</v>
      </c>
      <c r="P237" s="11" t="s">
        <v>197</v>
      </c>
      <c r="Q237" s="11">
        <v>0</v>
      </c>
      <c r="R237" s="11" t="s">
        <v>203</v>
      </c>
      <c r="S237" s="11">
        <v>37</v>
      </c>
      <c r="T237" s="11" t="s">
        <v>187</v>
      </c>
      <c r="U237" s="11">
        <v>37</v>
      </c>
      <c r="V237" s="11" t="s">
        <v>187</v>
      </c>
      <c r="W237" s="11">
        <v>33</v>
      </c>
      <c r="X237" s="11" t="s">
        <v>187</v>
      </c>
      <c r="Y237" s="11">
        <v>36</v>
      </c>
      <c r="Z237" s="11" t="s">
        <v>187</v>
      </c>
      <c r="AA237" s="11">
        <v>32</v>
      </c>
      <c r="AB237" s="11" t="s">
        <v>187</v>
      </c>
      <c r="AC237" s="11">
        <v>36</v>
      </c>
      <c r="AD237" s="11" t="s">
        <v>187</v>
      </c>
    </row>
    <row r="238" spans="1:30" x14ac:dyDescent="0.3">
      <c r="A238" s="11" t="s">
        <v>531</v>
      </c>
      <c r="B238" s="11">
        <v>10902</v>
      </c>
      <c r="C238" s="11">
        <v>2</v>
      </c>
      <c r="D238" s="11" t="s">
        <v>434</v>
      </c>
      <c r="E238" s="11" t="s">
        <v>184</v>
      </c>
      <c r="F238" s="11" t="s">
        <v>185</v>
      </c>
      <c r="G238" s="11">
        <v>23</v>
      </c>
      <c r="H238" s="11" t="s">
        <v>186</v>
      </c>
      <c r="I238" s="11">
        <v>23</v>
      </c>
      <c r="J238" s="11" t="s">
        <v>186</v>
      </c>
      <c r="K238" s="11">
        <v>45</v>
      </c>
      <c r="L238" s="11" t="s">
        <v>187</v>
      </c>
      <c r="M238" s="11">
        <v>0</v>
      </c>
      <c r="N238" s="11" t="s">
        <v>188</v>
      </c>
      <c r="O238" s="11">
        <v>3</v>
      </c>
      <c r="P238" s="11" t="s">
        <v>189</v>
      </c>
      <c r="Q238" s="11">
        <v>3</v>
      </c>
      <c r="R238" s="11" t="s">
        <v>190</v>
      </c>
      <c r="S238" s="11">
        <v>37</v>
      </c>
      <c r="T238" s="11" t="s">
        <v>187</v>
      </c>
      <c r="U238" s="11">
        <v>58</v>
      </c>
      <c r="V238" s="11" t="s">
        <v>191</v>
      </c>
      <c r="W238" s="11">
        <v>45</v>
      </c>
      <c r="X238" s="11" t="s">
        <v>191</v>
      </c>
      <c r="Y238" s="11">
        <v>48</v>
      </c>
      <c r="Z238" s="11" t="s">
        <v>191</v>
      </c>
      <c r="AA238" s="11">
        <v>32</v>
      </c>
      <c r="AB238" s="11" t="s">
        <v>187</v>
      </c>
      <c r="AC238" s="11">
        <v>62</v>
      </c>
      <c r="AD238" s="11" t="s">
        <v>192</v>
      </c>
    </row>
    <row r="239" spans="1:30" x14ac:dyDescent="0.3">
      <c r="A239" s="11" t="s">
        <v>531</v>
      </c>
      <c r="B239" s="11">
        <v>10903</v>
      </c>
      <c r="C239" s="11">
        <v>2</v>
      </c>
      <c r="D239" s="11" t="s">
        <v>435</v>
      </c>
      <c r="E239" s="11" t="s">
        <v>194</v>
      </c>
      <c r="F239" s="11" t="s">
        <v>195</v>
      </c>
      <c r="G239" s="11">
        <v>32</v>
      </c>
      <c r="H239" s="11" t="s">
        <v>196</v>
      </c>
      <c r="I239" s="11">
        <v>31</v>
      </c>
      <c r="J239" s="11" t="s">
        <v>196</v>
      </c>
      <c r="K239" s="11">
        <v>26</v>
      </c>
      <c r="L239" s="11" t="s">
        <v>186</v>
      </c>
      <c r="M239" s="11">
        <v>0</v>
      </c>
      <c r="N239" s="11" t="s">
        <v>188</v>
      </c>
      <c r="O239" s="11">
        <v>1</v>
      </c>
      <c r="P239" s="11" t="s">
        <v>197</v>
      </c>
      <c r="Q239" s="11">
        <v>3</v>
      </c>
      <c r="R239" s="11" t="s">
        <v>190</v>
      </c>
      <c r="S239" s="11">
        <v>37</v>
      </c>
      <c r="T239" s="11" t="s">
        <v>187</v>
      </c>
      <c r="U239" s="11">
        <v>37</v>
      </c>
      <c r="V239" s="11" t="s">
        <v>187</v>
      </c>
      <c r="W239" s="11">
        <v>33</v>
      </c>
      <c r="X239" s="11" t="s">
        <v>187</v>
      </c>
      <c r="Y239" s="11">
        <v>36</v>
      </c>
      <c r="Z239" s="11" t="s">
        <v>187</v>
      </c>
      <c r="AA239" s="11">
        <v>32</v>
      </c>
      <c r="AB239" s="11" t="s">
        <v>187</v>
      </c>
      <c r="AC239" s="11">
        <v>36</v>
      </c>
      <c r="AD239" s="11" t="s">
        <v>187</v>
      </c>
    </row>
    <row r="240" spans="1:30" x14ac:dyDescent="0.3">
      <c r="A240" s="11" t="s">
        <v>531</v>
      </c>
      <c r="B240" s="11">
        <v>10904</v>
      </c>
      <c r="C240" s="11">
        <v>2</v>
      </c>
      <c r="D240" s="11" t="s">
        <v>436</v>
      </c>
      <c r="E240" s="11" t="s">
        <v>199</v>
      </c>
      <c r="F240" s="11" t="s">
        <v>200</v>
      </c>
      <c r="G240" s="11">
        <v>77</v>
      </c>
      <c r="H240" s="11" t="s">
        <v>201</v>
      </c>
      <c r="I240" s="11">
        <v>65</v>
      </c>
      <c r="J240" s="11" t="s">
        <v>202</v>
      </c>
      <c r="K240" s="11">
        <v>76</v>
      </c>
      <c r="L240" s="11" t="s">
        <v>201</v>
      </c>
      <c r="M240" s="11">
        <v>0</v>
      </c>
      <c r="N240" s="11" t="s">
        <v>188</v>
      </c>
      <c r="O240" s="11">
        <v>5</v>
      </c>
      <c r="P240" s="11" t="s">
        <v>189</v>
      </c>
      <c r="Q240" s="11">
        <v>0</v>
      </c>
      <c r="R240" s="11" t="s">
        <v>203</v>
      </c>
      <c r="S240" s="11">
        <v>85</v>
      </c>
      <c r="T240" s="11" t="s">
        <v>192</v>
      </c>
      <c r="U240" s="11">
        <v>79</v>
      </c>
      <c r="V240" s="11" t="s">
        <v>192</v>
      </c>
      <c r="W240" s="11">
        <v>81</v>
      </c>
      <c r="X240" s="11" t="s">
        <v>192</v>
      </c>
      <c r="Y240" s="11">
        <v>85</v>
      </c>
      <c r="Z240" s="11" t="s">
        <v>192</v>
      </c>
      <c r="AA240" s="11">
        <v>80</v>
      </c>
      <c r="AB240" s="11" t="s">
        <v>192</v>
      </c>
      <c r="AC240" s="11">
        <v>87</v>
      </c>
      <c r="AD240" s="11" t="s">
        <v>192</v>
      </c>
    </row>
    <row r="241" spans="1:30" x14ac:dyDescent="0.3">
      <c r="A241" s="11" t="s">
        <v>531</v>
      </c>
      <c r="B241" s="11">
        <v>10905</v>
      </c>
      <c r="C241" s="11">
        <v>2</v>
      </c>
      <c r="D241" s="11" t="s">
        <v>437</v>
      </c>
      <c r="E241" s="11" t="s">
        <v>205</v>
      </c>
      <c r="F241" s="11" t="s">
        <v>206</v>
      </c>
      <c r="G241" s="11">
        <v>81</v>
      </c>
      <c r="H241" s="11" t="s">
        <v>201</v>
      </c>
      <c r="I241" s="11">
        <v>86</v>
      </c>
      <c r="J241" s="11" t="s">
        <v>201</v>
      </c>
      <c r="K241" s="11">
        <v>76</v>
      </c>
      <c r="L241" s="11" t="s">
        <v>201</v>
      </c>
      <c r="M241" s="11">
        <v>0</v>
      </c>
      <c r="N241" s="11" t="s">
        <v>188</v>
      </c>
      <c r="O241" s="11">
        <v>1</v>
      </c>
      <c r="P241" s="11" t="s">
        <v>197</v>
      </c>
      <c r="Q241" s="11">
        <v>0</v>
      </c>
      <c r="R241" s="11" t="s">
        <v>203</v>
      </c>
      <c r="S241" s="11">
        <v>37</v>
      </c>
      <c r="T241" s="11" t="s">
        <v>187</v>
      </c>
      <c r="U241" s="11">
        <v>37</v>
      </c>
      <c r="V241" s="11" t="s">
        <v>187</v>
      </c>
      <c r="W241" s="11">
        <v>33</v>
      </c>
      <c r="X241" s="11" t="s">
        <v>187</v>
      </c>
      <c r="Y241" s="11">
        <v>36</v>
      </c>
      <c r="Z241" s="11" t="s">
        <v>187</v>
      </c>
      <c r="AA241" s="11">
        <v>32</v>
      </c>
      <c r="AB241" s="11" t="s">
        <v>187</v>
      </c>
      <c r="AC241" s="11">
        <v>36</v>
      </c>
      <c r="AD241" s="11" t="s">
        <v>187</v>
      </c>
    </row>
    <row r="242" spans="1:30" x14ac:dyDescent="0.3">
      <c r="A242" s="11" t="s">
        <v>531</v>
      </c>
      <c r="B242" s="11">
        <v>10906</v>
      </c>
      <c r="C242" s="11">
        <v>2</v>
      </c>
      <c r="D242" s="11" t="s">
        <v>438</v>
      </c>
      <c r="E242" s="11" t="s">
        <v>184</v>
      </c>
      <c r="F242" s="11" t="s">
        <v>185</v>
      </c>
      <c r="G242" s="11">
        <v>23</v>
      </c>
      <c r="H242" s="11" t="s">
        <v>186</v>
      </c>
      <c r="I242" s="11">
        <v>23</v>
      </c>
      <c r="J242" s="11" t="s">
        <v>186</v>
      </c>
      <c r="K242" s="11">
        <v>45</v>
      </c>
      <c r="L242" s="11" t="s">
        <v>187</v>
      </c>
      <c r="M242" s="11">
        <v>0</v>
      </c>
      <c r="N242" s="11" t="s">
        <v>188</v>
      </c>
      <c r="O242" s="11">
        <v>3</v>
      </c>
      <c r="P242" s="11" t="s">
        <v>189</v>
      </c>
      <c r="Q242" s="11">
        <v>3</v>
      </c>
      <c r="R242" s="11" t="s">
        <v>190</v>
      </c>
      <c r="S242" s="11">
        <v>37</v>
      </c>
      <c r="T242" s="11" t="s">
        <v>187</v>
      </c>
      <c r="U242" s="11">
        <v>58</v>
      </c>
      <c r="V242" s="11" t="s">
        <v>191</v>
      </c>
      <c r="W242" s="11">
        <v>45</v>
      </c>
      <c r="X242" s="11" t="s">
        <v>191</v>
      </c>
      <c r="Y242" s="11">
        <v>48</v>
      </c>
      <c r="Z242" s="11" t="s">
        <v>191</v>
      </c>
      <c r="AA242" s="11">
        <v>32</v>
      </c>
      <c r="AB242" s="11" t="s">
        <v>187</v>
      </c>
      <c r="AC242" s="11">
        <v>62</v>
      </c>
      <c r="AD242" s="11" t="s">
        <v>192</v>
      </c>
    </row>
    <row r="243" spans="1:30" x14ac:dyDescent="0.3">
      <c r="A243" s="11" t="s">
        <v>531</v>
      </c>
      <c r="B243" s="11">
        <v>10907</v>
      </c>
      <c r="C243" s="11">
        <v>2</v>
      </c>
      <c r="D243" s="11" t="s">
        <v>439</v>
      </c>
      <c r="E243" s="11" t="s">
        <v>194</v>
      </c>
      <c r="F243" s="11" t="s">
        <v>195</v>
      </c>
      <c r="G243" s="11">
        <v>32</v>
      </c>
      <c r="H243" s="11" t="s">
        <v>196</v>
      </c>
      <c r="I243" s="11">
        <v>31</v>
      </c>
      <c r="J243" s="11" t="s">
        <v>196</v>
      </c>
      <c r="K243" s="11">
        <v>26</v>
      </c>
      <c r="L243" s="11" t="s">
        <v>186</v>
      </c>
      <c r="M243" s="11">
        <v>0</v>
      </c>
      <c r="N243" s="11" t="s">
        <v>188</v>
      </c>
      <c r="O243" s="11">
        <v>1</v>
      </c>
      <c r="P243" s="11" t="s">
        <v>197</v>
      </c>
      <c r="Q243" s="11">
        <v>3</v>
      </c>
      <c r="R243" s="11" t="s">
        <v>190</v>
      </c>
      <c r="S243" s="11">
        <v>37</v>
      </c>
      <c r="T243" s="11" t="s">
        <v>187</v>
      </c>
      <c r="U243" s="11">
        <v>37</v>
      </c>
      <c r="V243" s="11" t="s">
        <v>187</v>
      </c>
      <c r="W243" s="11">
        <v>33</v>
      </c>
      <c r="X243" s="11" t="s">
        <v>187</v>
      </c>
      <c r="Y243" s="11">
        <v>36</v>
      </c>
      <c r="Z243" s="11" t="s">
        <v>187</v>
      </c>
      <c r="AA243" s="11">
        <v>32</v>
      </c>
      <c r="AB243" s="11" t="s">
        <v>187</v>
      </c>
      <c r="AC243" s="11">
        <v>36</v>
      </c>
      <c r="AD243" s="11" t="s">
        <v>187</v>
      </c>
    </row>
    <row r="244" spans="1:30" x14ac:dyDescent="0.3">
      <c r="A244" s="11" t="s">
        <v>531</v>
      </c>
      <c r="B244" s="11">
        <v>10908</v>
      </c>
      <c r="C244" s="11">
        <v>2</v>
      </c>
      <c r="D244" s="11" t="s">
        <v>440</v>
      </c>
      <c r="E244" s="11" t="s">
        <v>199</v>
      </c>
      <c r="F244" s="11" t="s">
        <v>200</v>
      </c>
      <c r="G244" s="11">
        <v>77</v>
      </c>
      <c r="H244" s="11" t="s">
        <v>201</v>
      </c>
      <c r="I244" s="11">
        <v>65</v>
      </c>
      <c r="J244" s="11" t="s">
        <v>202</v>
      </c>
      <c r="K244" s="11">
        <v>76</v>
      </c>
      <c r="L244" s="11" t="s">
        <v>201</v>
      </c>
      <c r="M244" s="11">
        <v>0</v>
      </c>
      <c r="N244" s="11" t="s">
        <v>188</v>
      </c>
      <c r="O244" s="11">
        <v>5</v>
      </c>
      <c r="P244" s="11" t="s">
        <v>189</v>
      </c>
      <c r="Q244" s="11">
        <v>0</v>
      </c>
      <c r="R244" s="11" t="s">
        <v>203</v>
      </c>
      <c r="S244" s="11">
        <v>85</v>
      </c>
      <c r="T244" s="11" t="s">
        <v>192</v>
      </c>
      <c r="U244" s="11">
        <v>79</v>
      </c>
      <c r="V244" s="11" t="s">
        <v>192</v>
      </c>
      <c r="W244" s="11">
        <v>81</v>
      </c>
      <c r="X244" s="11" t="s">
        <v>192</v>
      </c>
      <c r="Y244" s="11">
        <v>85</v>
      </c>
      <c r="Z244" s="11" t="s">
        <v>192</v>
      </c>
      <c r="AA244" s="11">
        <v>80</v>
      </c>
      <c r="AB244" s="11" t="s">
        <v>192</v>
      </c>
      <c r="AC244" s="11">
        <v>87</v>
      </c>
      <c r="AD244" s="11" t="s">
        <v>192</v>
      </c>
    </row>
    <row r="245" spans="1:30" x14ac:dyDescent="0.3">
      <c r="A245" s="11" t="s">
        <v>531</v>
      </c>
      <c r="B245" s="11">
        <v>10909</v>
      </c>
      <c r="C245" s="11">
        <v>2</v>
      </c>
      <c r="D245" s="11" t="s">
        <v>441</v>
      </c>
      <c r="E245" s="11" t="s">
        <v>205</v>
      </c>
      <c r="F245" s="11" t="s">
        <v>206</v>
      </c>
      <c r="G245" s="11">
        <v>81</v>
      </c>
      <c r="H245" s="11" t="s">
        <v>201</v>
      </c>
      <c r="I245" s="11">
        <v>86</v>
      </c>
      <c r="J245" s="11" t="s">
        <v>201</v>
      </c>
      <c r="K245" s="11">
        <v>76</v>
      </c>
      <c r="L245" s="11" t="s">
        <v>201</v>
      </c>
      <c r="M245" s="11">
        <v>0</v>
      </c>
      <c r="N245" s="11" t="s">
        <v>188</v>
      </c>
      <c r="O245" s="11">
        <v>1</v>
      </c>
      <c r="P245" s="11" t="s">
        <v>197</v>
      </c>
      <c r="Q245" s="11">
        <v>0</v>
      </c>
      <c r="R245" s="11" t="s">
        <v>203</v>
      </c>
      <c r="S245" s="11">
        <v>37</v>
      </c>
      <c r="T245" s="11" t="s">
        <v>187</v>
      </c>
      <c r="U245" s="11">
        <v>37</v>
      </c>
      <c r="V245" s="11" t="s">
        <v>187</v>
      </c>
      <c r="W245" s="11">
        <v>33</v>
      </c>
      <c r="X245" s="11" t="s">
        <v>187</v>
      </c>
      <c r="Y245" s="11">
        <v>36</v>
      </c>
      <c r="Z245" s="11" t="s">
        <v>187</v>
      </c>
      <c r="AA245" s="11">
        <v>32</v>
      </c>
      <c r="AB245" s="11" t="s">
        <v>187</v>
      </c>
      <c r="AC245" s="11">
        <v>36</v>
      </c>
      <c r="AD245" s="11" t="s">
        <v>187</v>
      </c>
    </row>
    <row r="246" spans="1:30" x14ac:dyDescent="0.3">
      <c r="A246" s="11" t="s">
        <v>531</v>
      </c>
      <c r="B246" s="11">
        <v>10910</v>
      </c>
      <c r="C246" s="11">
        <v>2</v>
      </c>
      <c r="D246" s="11" t="s">
        <v>442</v>
      </c>
      <c r="E246" s="11" t="s">
        <v>184</v>
      </c>
      <c r="F246" s="11" t="s">
        <v>185</v>
      </c>
      <c r="G246" s="11">
        <v>23</v>
      </c>
      <c r="H246" s="11" t="s">
        <v>186</v>
      </c>
      <c r="I246" s="11">
        <v>23</v>
      </c>
      <c r="J246" s="11" t="s">
        <v>186</v>
      </c>
      <c r="K246" s="11">
        <v>45</v>
      </c>
      <c r="L246" s="11" t="s">
        <v>187</v>
      </c>
      <c r="M246" s="11">
        <v>0</v>
      </c>
      <c r="N246" s="11" t="s">
        <v>188</v>
      </c>
      <c r="O246" s="11">
        <v>3</v>
      </c>
      <c r="P246" s="11" t="s">
        <v>189</v>
      </c>
      <c r="Q246" s="11">
        <v>3</v>
      </c>
      <c r="R246" s="11" t="s">
        <v>190</v>
      </c>
      <c r="S246" s="11">
        <v>37</v>
      </c>
      <c r="T246" s="11" t="s">
        <v>187</v>
      </c>
      <c r="U246" s="11">
        <v>58</v>
      </c>
      <c r="V246" s="11" t="s">
        <v>191</v>
      </c>
      <c r="W246" s="11">
        <v>45</v>
      </c>
      <c r="X246" s="11" t="s">
        <v>191</v>
      </c>
      <c r="Y246" s="11">
        <v>48</v>
      </c>
      <c r="Z246" s="11" t="s">
        <v>191</v>
      </c>
      <c r="AA246" s="11">
        <v>32</v>
      </c>
      <c r="AB246" s="11" t="s">
        <v>187</v>
      </c>
      <c r="AC246" s="11">
        <v>62</v>
      </c>
      <c r="AD246" s="11" t="s">
        <v>192</v>
      </c>
    </row>
    <row r="247" spans="1:30" x14ac:dyDescent="0.3">
      <c r="A247" s="11" t="s">
        <v>531</v>
      </c>
      <c r="B247" s="11">
        <v>10911</v>
      </c>
      <c r="C247" s="11">
        <v>2</v>
      </c>
      <c r="D247" s="11" t="s">
        <v>443</v>
      </c>
      <c r="E247" s="11" t="s">
        <v>194</v>
      </c>
      <c r="F247" s="11" t="s">
        <v>195</v>
      </c>
      <c r="G247" s="11">
        <v>32</v>
      </c>
      <c r="H247" s="11" t="s">
        <v>196</v>
      </c>
      <c r="I247" s="11">
        <v>31</v>
      </c>
      <c r="J247" s="11" t="s">
        <v>196</v>
      </c>
      <c r="K247" s="11">
        <v>26</v>
      </c>
      <c r="L247" s="11" t="s">
        <v>186</v>
      </c>
      <c r="M247" s="11">
        <v>0</v>
      </c>
      <c r="N247" s="11" t="s">
        <v>188</v>
      </c>
      <c r="O247" s="11">
        <v>1</v>
      </c>
      <c r="P247" s="11" t="s">
        <v>197</v>
      </c>
      <c r="Q247" s="11">
        <v>3</v>
      </c>
      <c r="R247" s="11" t="s">
        <v>190</v>
      </c>
      <c r="S247" s="11">
        <v>37</v>
      </c>
      <c r="T247" s="11" t="s">
        <v>187</v>
      </c>
      <c r="U247" s="11">
        <v>37</v>
      </c>
      <c r="V247" s="11" t="s">
        <v>187</v>
      </c>
      <c r="W247" s="11">
        <v>33</v>
      </c>
      <c r="X247" s="11" t="s">
        <v>187</v>
      </c>
      <c r="Y247" s="11">
        <v>36</v>
      </c>
      <c r="Z247" s="11" t="s">
        <v>187</v>
      </c>
      <c r="AA247" s="11">
        <v>32</v>
      </c>
      <c r="AB247" s="11" t="s">
        <v>187</v>
      </c>
      <c r="AC247" s="11">
        <v>36</v>
      </c>
      <c r="AD247" s="11" t="s">
        <v>187</v>
      </c>
    </row>
    <row r="248" spans="1:30" x14ac:dyDescent="0.3">
      <c r="A248" s="11" t="s">
        <v>531</v>
      </c>
      <c r="B248" s="11">
        <v>10912</v>
      </c>
      <c r="C248" s="11">
        <v>2</v>
      </c>
      <c r="D248" s="11" t="s">
        <v>444</v>
      </c>
      <c r="E248" s="11" t="s">
        <v>199</v>
      </c>
      <c r="F248" s="11" t="s">
        <v>200</v>
      </c>
      <c r="G248" s="11">
        <v>77</v>
      </c>
      <c r="H248" s="11" t="s">
        <v>201</v>
      </c>
      <c r="I248" s="11">
        <v>65</v>
      </c>
      <c r="J248" s="11" t="s">
        <v>202</v>
      </c>
      <c r="K248" s="11">
        <v>76</v>
      </c>
      <c r="L248" s="11" t="s">
        <v>201</v>
      </c>
      <c r="M248" s="11">
        <v>0</v>
      </c>
      <c r="N248" s="11" t="s">
        <v>188</v>
      </c>
      <c r="O248" s="11">
        <v>5</v>
      </c>
      <c r="P248" s="11" t="s">
        <v>189</v>
      </c>
      <c r="Q248" s="11">
        <v>0</v>
      </c>
      <c r="R248" s="11" t="s">
        <v>203</v>
      </c>
      <c r="S248" s="11">
        <v>85</v>
      </c>
      <c r="T248" s="11" t="s">
        <v>192</v>
      </c>
      <c r="U248" s="11">
        <v>79</v>
      </c>
      <c r="V248" s="11" t="s">
        <v>192</v>
      </c>
      <c r="W248" s="11">
        <v>81</v>
      </c>
      <c r="X248" s="11" t="s">
        <v>192</v>
      </c>
      <c r="Y248" s="11">
        <v>85</v>
      </c>
      <c r="Z248" s="11" t="s">
        <v>192</v>
      </c>
      <c r="AA248" s="11">
        <v>80</v>
      </c>
      <c r="AB248" s="11" t="s">
        <v>192</v>
      </c>
      <c r="AC248" s="11">
        <v>87</v>
      </c>
      <c r="AD248" s="11" t="s">
        <v>192</v>
      </c>
    </row>
    <row r="249" spans="1:30" x14ac:dyDescent="0.3">
      <c r="A249" s="11" t="s">
        <v>531</v>
      </c>
      <c r="B249" s="11">
        <v>10913</v>
      </c>
      <c r="C249" s="11">
        <v>2</v>
      </c>
      <c r="D249" s="11" t="s">
        <v>445</v>
      </c>
      <c r="E249" s="11" t="s">
        <v>205</v>
      </c>
      <c r="F249" s="11" t="s">
        <v>206</v>
      </c>
      <c r="G249" s="11">
        <v>81</v>
      </c>
      <c r="H249" s="11" t="s">
        <v>201</v>
      </c>
      <c r="I249" s="11">
        <v>86</v>
      </c>
      <c r="J249" s="11" t="s">
        <v>201</v>
      </c>
      <c r="K249" s="11">
        <v>76</v>
      </c>
      <c r="L249" s="11" t="s">
        <v>201</v>
      </c>
      <c r="M249" s="11">
        <v>0</v>
      </c>
      <c r="N249" s="11" t="s">
        <v>188</v>
      </c>
      <c r="O249" s="11">
        <v>1</v>
      </c>
      <c r="P249" s="11" t="s">
        <v>197</v>
      </c>
      <c r="Q249" s="11">
        <v>0</v>
      </c>
      <c r="R249" s="11" t="s">
        <v>203</v>
      </c>
      <c r="S249" s="11">
        <v>37</v>
      </c>
      <c r="T249" s="11" t="s">
        <v>187</v>
      </c>
      <c r="U249" s="11">
        <v>37</v>
      </c>
      <c r="V249" s="11" t="s">
        <v>187</v>
      </c>
      <c r="W249" s="11">
        <v>33</v>
      </c>
      <c r="X249" s="11" t="s">
        <v>187</v>
      </c>
      <c r="Y249" s="11">
        <v>36</v>
      </c>
      <c r="Z249" s="11" t="s">
        <v>187</v>
      </c>
      <c r="AA249" s="11">
        <v>32</v>
      </c>
      <c r="AB249" s="11" t="s">
        <v>187</v>
      </c>
      <c r="AC249" s="11">
        <v>36</v>
      </c>
      <c r="AD249" s="11" t="s">
        <v>187</v>
      </c>
    </row>
    <row r="250" spans="1:30" x14ac:dyDescent="0.3">
      <c r="A250" s="11" t="s">
        <v>531</v>
      </c>
      <c r="B250" s="11">
        <v>10914</v>
      </c>
      <c r="C250" s="11">
        <v>2</v>
      </c>
      <c r="D250" s="11" t="s">
        <v>446</v>
      </c>
      <c r="E250" s="11" t="s">
        <v>184</v>
      </c>
      <c r="F250" s="11" t="s">
        <v>185</v>
      </c>
      <c r="G250" s="11">
        <v>23</v>
      </c>
      <c r="H250" s="11" t="s">
        <v>186</v>
      </c>
      <c r="I250" s="11">
        <v>23</v>
      </c>
      <c r="J250" s="11" t="s">
        <v>186</v>
      </c>
      <c r="K250" s="11">
        <v>45</v>
      </c>
      <c r="L250" s="11" t="s">
        <v>187</v>
      </c>
      <c r="M250" s="11">
        <v>0</v>
      </c>
      <c r="N250" s="11" t="s">
        <v>188</v>
      </c>
      <c r="O250" s="11">
        <v>3</v>
      </c>
      <c r="P250" s="11" t="s">
        <v>189</v>
      </c>
      <c r="Q250" s="11">
        <v>3</v>
      </c>
      <c r="R250" s="11" t="s">
        <v>190</v>
      </c>
      <c r="S250" s="11">
        <v>37</v>
      </c>
      <c r="T250" s="11" t="s">
        <v>187</v>
      </c>
      <c r="U250" s="11">
        <v>58</v>
      </c>
      <c r="V250" s="11" t="s">
        <v>191</v>
      </c>
      <c r="W250" s="11">
        <v>45</v>
      </c>
      <c r="X250" s="11" t="s">
        <v>191</v>
      </c>
      <c r="Y250" s="11">
        <v>48</v>
      </c>
      <c r="Z250" s="11" t="s">
        <v>191</v>
      </c>
      <c r="AA250" s="11">
        <v>32</v>
      </c>
      <c r="AB250" s="11" t="s">
        <v>187</v>
      </c>
      <c r="AC250" s="11">
        <v>62</v>
      </c>
      <c r="AD250" s="11" t="s">
        <v>192</v>
      </c>
    </row>
    <row r="251" spans="1:30" x14ac:dyDescent="0.3">
      <c r="A251" s="11" t="s">
        <v>531</v>
      </c>
      <c r="B251" s="11">
        <v>10915</v>
      </c>
      <c r="C251" s="11">
        <v>2</v>
      </c>
      <c r="D251" s="11" t="s">
        <v>447</v>
      </c>
      <c r="E251" s="11" t="s">
        <v>194</v>
      </c>
      <c r="F251" s="11" t="s">
        <v>195</v>
      </c>
      <c r="G251" s="11">
        <v>32</v>
      </c>
      <c r="H251" s="11" t="s">
        <v>196</v>
      </c>
      <c r="I251" s="11">
        <v>31</v>
      </c>
      <c r="J251" s="11" t="s">
        <v>196</v>
      </c>
      <c r="K251" s="11">
        <v>26</v>
      </c>
      <c r="L251" s="11" t="s">
        <v>186</v>
      </c>
      <c r="M251" s="11">
        <v>0</v>
      </c>
      <c r="N251" s="11" t="s">
        <v>188</v>
      </c>
      <c r="O251" s="11">
        <v>1</v>
      </c>
      <c r="P251" s="11" t="s">
        <v>197</v>
      </c>
      <c r="Q251" s="11">
        <v>3</v>
      </c>
      <c r="R251" s="11" t="s">
        <v>190</v>
      </c>
      <c r="S251" s="11">
        <v>37</v>
      </c>
      <c r="T251" s="11" t="s">
        <v>187</v>
      </c>
      <c r="U251" s="11">
        <v>37</v>
      </c>
      <c r="V251" s="11" t="s">
        <v>187</v>
      </c>
      <c r="W251" s="11">
        <v>33</v>
      </c>
      <c r="X251" s="11" t="s">
        <v>187</v>
      </c>
      <c r="Y251" s="11">
        <v>36</v>
      </c>
      <c r="Z251" s="11" t="s">
        <v>187</v>
      </c>
      <c r="AA251" s="11">
        <v>32</v>
      </c>
      <c r="AB251" s="11" t="s">
        <v>187</v>
      </c>
      <c r="AC251" s="11">
        <v>36</v>
      </c>
      <c r="AD251" s="11" t="s">
        <v>187</v>
      </c>
    </row>
    <row r="252" spans="1:30" x14ac:dyDescent="0.3">
      <c r="A252" s="11" t="s">
        <v>531</v>
      </c>
      <c r="B252" s="11">
        <v>10917</v>
      </c>
      <c r="C252" s="11">
        <v>1</v>
      </c>
      <c r="D252" s="11" t="s">
        <v>448</v>
      </c>
      <c r="E252" s="11" t="s">
        <v>199</v>
      </c>
      <c r="F252" s="11" t="s">
        <v>200</v>
      </c>
      <c r="G252" s="11">
        <v>77</v>
      </c>
      <c r="H252" s="11" t="s">
        <v>201</v>
      </c>
      <c r="I252" s="11">
        <v>65</v>
      </c>
      <c r="J252" s="11" t="s">
        <v>202</v>
      </c>
      <c r="K252" s="11">
        <v>76</v>
      </c>
      <c r="L252" s="11" t="s">
        <v>201</v>
      </c>
      <c r="M252" s="11">
        <v>0</v>
      </c>
      <c r="N252" s="11" t="s">
        <v>188</v>
      </c>
      <c r="O252" s="11">
        <v>5</v>
      </c>
      <c r="P252" s="11" t="s">
        <v>189</v>
      </c>
      <c r="Q252" s="11">
        <v>0</v>
      </c>
      <c r="R252" s="11" t="s">
        <v>203</v>
      </c>
      <c r="S252" s="11">
        <v>85</v>
      </c>
      <c r="T252" s="11" t="s">
        <v>192</v>
      </c>
      <c r="U252" s="11">
        <v>79</v>
      </c>
      <c r="V252" s="11" t="s">
        <v>192</v>
      </c>
      <c r="W252" s="11">
        <v>81</v>
      </c>
      <c r="X252" s="11" t="s">
        <v>192</v>
      </c>
      <c r="Y252" s="11">
        <v>85</v>
      </c>
      <c r="Z252" s="11" t="s">
        <v>192</v>
      </c>
      <c r="AA252" s="11">
        <v>80</v>
      </c>
      <c r="AB252" s="11" t="s">
        <v>192</v>
      </c>
      <c r="AC252" s="11">
        <v>87</v>
      </c>
      <c r="AD252" s="11" t="s">
        <v>192</v>
      </c>
    </row>
    <row r="253" spans="1:30" x14ac:dyDescent="0.3">
      <c r="A253" s="11" t="s">
        <v>531</v>
      </c>
      <c r="B253" s="11">
        <v>10918</v>
      </c>
      <c r="C253" s="11">
        <v>1</v>
      </c>
      <c r="D253" s="11" t="s">
        <v>449</v>
      </c>
      <c r="E253" s="11" t="s">
        <v>205</v>
      </c>
      <c r="F253" s="11" t="s">
        <v>206</v>
      </c>
      <c r="G253" s="11">
        <v>81</v>
      </c>
      <c r="H253" s="11" t="s">
        <v>201</v>
      </c>
      <c r="I253" s="11">
        <v>86</v>
      </c>
      <c r="J253" s="11" t="s">
        <v>201</v>
      </c>
      <c r="K253" s="11">
        <v>76</v>
      </c>
      <c r="L253" s="11" t="s">
        <v>201</v>
      </c>
      <c r="M253" s="11">
        <v>0</v>
      </c>
      <c r="N253" s="11" t="s">
        <v>188</v>
      </c>
      <c r="O253" s="11">
        <v>1</v>
      </c>
      <c r="P253" s="11" t="s">
        <v>197</v>
      </c>
      <c r="Q253" s="11">
        <v>0</v>
      </c>
      <c r="R253" s="11" t="s">
        <v>203</v>
      </c>
      <c r="S253" s="11">
        <v>37</v>
      </c>
      <c r="T253" s="11" t="s">
        <v>187</v>
      </c>
      <c r="U253" s="11">
        <v>37</v>
      </c>
      <c r="V253" s="11" t="s">
        <v>187</v>
      </c>
      <c r="W253" s="11">
        <v>33</v>
      </c>
      <c r="X253" s="11" t="s">
        <v>187</v>
      </c>
      <c r="Y253" s="11">
        <v>36</v>
      </c>
      <c r="Z253" s="11" t="s">
        <v>187</v>
      </c>
      <c r="AA253" s="11">
        <v>32</v>
      </c>
      <c r="AB253" s="11" t="s">
        <v>187</v>
      </c>
      <c r="AC253" s="11">
        <v>36</v>
      </c>
      <c r="AD253" s="11" t="s">
        <v>187</v>
      </c>
    </row>
    <row r="254" spans="1:30" x14ac:dyDescent="0.3">
      <c r="A254" s="11" t="s">
        <v>531</v>
      </c>
      <c r="B254" s="11">
        <v>10919</v>
      </c>
      <c r="C254" s="11">
        <v>1</v>
      </c>
      <c r="D254" s="11" t="s">
        <v>450</v>
      </c>
      <c r="E254" s="11" t="s">
        <v>184</v>
      </c>
      <c r="F254" s="11" t="s">
        <v>185</v>
      </c>
      <c r="G254" s="11">
        <v>23</v>
      </c>
      <c r="H254" s="11" t="s">
        <v>186</v>
      </c>
      <c r="I254" s="11">
        <v>23</v>
      </c>
      <c r="J254" s="11" t="s">
        <v>186</v>
      </c>
      <c r="K254" s="11">
        <v>45</v>
      </c>
      <c r="L254" s="11" t="s">
        <v>187</v>
      </c>
      <c r="M254" s="11">
        <v>0</v>
      </c>
      <c r="N254" s="11" t="s">
        <v>188</v>
      </c>
      <c r="O254" s="11">
        <v>3</v>
      </c>
      <c r="P254" s="11" t="s">
        <v>189</v>
      </c>
      <c r="Q254" s="11">
        <v>3</v>
      </c>
      <c r="R254" s="11" t="s">
        <v>190</v>
      </c>
      <c r="S254" s="11">
        <v>37</v>
      </c>
      <c r="T254" s="11" t="s">
        <v>187</v>
      </c>
      <c r="U254" s="11">
        <v>58</v>
      </c>
      <c r="V254" s="11" t="s">
        <v>191</v>
      </c>
      <c r="W254" s="11">
        <v>45</v>
      </c>
      <c r="X254" s="11" t="s">
        <v>191</v>
      </c>
      <c r="Y254" s="11">
        <v>48</v>
      </c>
      <c r="Z254" s="11" t="s">
        <v>191</v>
      </c>
      <c r="AA254" s="11">
        <v>32</v>
      </c>
      <c r="AB254" s="11" t="s">
        <v>187</v>
      </c>
      <c r="AC254" s="11">
        <v>62</v>
      </c>
      <c r="AD254" s="11" t="s">
        <v>192</v>
      </c>
    </row>
    <row r="255" spans="1:30" x14ac:dyDescent="0.3">
      <c r="A255" s="11" t="s">
        <v>531</v>
      </c>
      <c r="B255" s="11">
        <v>10920</v>
      </c>
      <c r="C255" s="11">
        <v>1</v>
      </c>
      <c r="D255" s="11" t="s">
        <v>451</v>
      </c>
      <c r="E255" s="11" t="s">
        <v>194</v>
      </c>
      <c r="F255" s="11" t="s">
        <v>195</v>
      </c>
      <c r="G255" s="11">
        <v>32</v>
      </c>
      <c r="H255" s="11" t="s">
        <v>196</v>
      </c>
      <c r="I255" s="11">
        <v>31</v>
      </c>
      <c r="J255" s="11" t="s">
        <v>196</v>
      </c>
      <c r="K255" s="11">
        <v>26</v>
      </c>
      <c r="L255" s="11" t="s">
        <v>186</v>
      </c>
      <c r="M255" s="11">
        <v>0</v>
      </c>
      <c r="N255" s="11" t="s">
        <v>188</v>
      </c>
      <c r="O255" s="11">
        <v>1</v>
      </c>
      <c r="P255" s="11" t="s">
        <v>197</v>
      </c>
      <c r="Q255" s="11">
        <v>3</v>
      </c>
      <c r="R255" s="11" t="s">
        <v>190</v>
      </c>
      <c r="S255" s="11">
        <v>37</v>
      </c>
      <c r="T255" s="11" t="s">
        <v>187</v>
      </c>
      <c r="U255" s="11">
        <v>37</v>
      </c>
      <c r="V255" s="11" t="s">
        <v>187</v>
      </c>
      <c r="W255" s="11">
        <v>33</v>
      </c>
      <c r="X255" s="11" t="s">
        <v>187</v>
      </c>
      <c r="Y255" s="11">
        <v>36</v>
      </c>
      <c r="Z255" s="11" t="s">
        <v>187</v>
      </c>
      <c r="AA255" s="11">
        <v>32</v>
      </c>
      <c r="AB255" s="11" t="s">
        <v>187</v>
      </c>
      <c r="AC255" s="11">
        <v>36</v>
      </c>
      <c r="AD255" s="11" t="s">
        <v>187</v>
      </c>
    </row>
    <row r="256" spans="1:30" x14ac:dyDescent="0.3">
      <c r="A256" s="11" t="s">
        <v>531</v>
      </c>
      <c r="B256" s="11">
        <v>10921</v>
      </c>
      <c r="C256" s="11">
        <v>1</v>
      </c>
      <c r="D256" s="11" t="s">
        <v>452</v>
      </c>
      <c r="E256" s="11" t="s">
        <v>199</v>
      </c>
      <c r="F256" s="11" t="s">
        <v>200</v>
      </c>
      <c r="G256" s="11">
        <v>77</v>
      </c>
      <c r="H256" s="11" t="s">
        <v>201</v>
      </c>
      <c r="I256" s="11">
        <v>65</v>
      </c>
      <c r="J256" s="11" t="s">
        <v>202</v>
      </c>
      <c r="K256" s="11">
        <v>76</v>
      </c>
      <c r="L256" s="11" t="s">
        <v>201</v>
      </c>
      <c r="M256" s="11">
        <v>0</v>
      </c>
      <c r="N256" s="11" t="s">
        <v>188</v>
      </c>
      <c r="O256" s="11">
        <v>5</v>
      </c>
      <c r="P256" s="11" t="s">
        <v>189</v>
      </c>
      <c r="Q256" s="11">
        <v>0</v>
      </c>
      <c r="R256" s="11" t="s">
        <v>203</v>
      </c>
      <c r="S256" s="11">
        <v>85</v>
      </c>
      <c r="T256" s="11" t="s">
        <v>192</v>
      </c>
      <c r="U256" s="11">
        <v>79</v>
      </c>
      <c r="V256" s="11" t="s">
        <v>192</v>
      </c>
      <c r="W256" s="11">
        <v>81</v>
      </c>
      <c r="X256" s="11" t="s">
        <v>192</v>
      </c>
      <c r="Y256" s="11">
        <v>85</v>
      </c>
      <c r="Z256" s="11" t="s">
        <v>192</v>
      </c>
      <c r="AA256" s="11">
        <v>80</v>
      </c>
      <c r="AB256" s="11" t="s">
        <v>192</v>
      </c>
      <c r="AC256" s="11">
        <v>87</v>
      </c>
      <c r="AD256" s="11" t="s">
        <v>192</v>
      </c>
    </row>
    <row r="257" spans="1:30" x14ac:dyDescent="0.3">
      <c r="A257" s="11" t="s">
        <v>531</v>
      </c>
      <c r="B257" s="11">
        <v>10922</v>
      </c>
      <c r="C257" s="11">
        <v>1</v>
      </c>
      <c r="D257" s="11" t="s">
        <v>453</v>
      </c>
      <c r="E257" s="11" t="s">
        <v>205</v>
      </c>
      <c r="F257" s="11" t="s">
        <v>206</v>
      </c>
      <c r="G257" s="11">
        <v>81</v>
      </c>
      <c r="H257" s="11" t="s">
        <v>201</v>
      </c>
      <c r="I257" s="11">
        <v>86</v>
      </c>
      <c r="J257" s="11" t="s">
        <v>201</v>
      </c>
      <c r="K257" s="11">
        <v>76</v>
      </c>
      <c r="L257" s="11" t="s">
        <v>201</v>
      </c>
      <c r="M257" s="11">
        <v>0</v>
      </c>
      <c r="N257" s="11" t="s">
        <v>188</v>
      </c>
      <c r="O257" s="11">
        <v>1</v>
      </c>
      <c r="P257" s="11" t="s">
        <v>197</v>
      </c>
      <c r="Q257" s="11">
        <v>0</v>
      </c>
      <c r="R257" s="11" t="s">
        <v>203</v>
      </c>
      <c r="S257" s="11">
        <v>37</v>
      </c>
      <c r="T257" s="11" t="s">
        <v>187</v>
      </c>
      <c r="U257" s="11">
        <v>37</v>
      </c>
      <c r="V257" s="11" t="s">
        <v>187</v>
      </c>
      <c r="W257" s="11">
        <v>33</v>
      </c>
      <c r="X257" s="11" t="s">
        <v>187</v>
      </c>
      <c r="Y257" s="11">
        <v>36</v>
      </c>
      <c r="Z257" s="11" t="s">
        <v>187</v>
      </c>
      <c r="AA257" s="11">
        <v>32</v>
      </c>
      <c r="AB257" s="11" t="s">
        <v>187</v>
      </c>
      <c r="AC257" s="11">
        <v>36</v>
      </c>
      <c r="AD257" s="11" t="s">
        <v>187</v>
      </c>
    </row>
    <row r="258" spans="1:30" x14ac:dyDescent="0.3">
      <c r="A258" s="11" t="s">
        <v>531</v>
      </c>
      <c r="B258" s="11">
        <v>10923</v>
      </c>
      <c r="C258" s="11">
        <v>1</v>
      </c>
      <c r="D258" s="11" t="s">
        <v>454</v>
      </c>
      <c r="E258" s="11" t="s">
        <v>184</v>
      </c>
      <c r="F258" s="11" t="s">
        <v>185</v>
      </c>
      <c r="G258" s="11">
        <v>23</v>
      </c>
      <c r="H258" s="11" t="s">
        <v>186</v>
      </c>
      <c r="I258" s="11">
        <v>23</v>
      </c>
      <c r="J258" s="11" t="s">
        <v>186</v>
      </c>
      <c r="K258" s="11">
        <v>45</v>
      </c>
      <c r="L258" s="11" t="s">
        <v>187</v>
      </c>
      <c r="M258" s="11">
        <v>0</v>
      </c>
      <c r="N258" s="11" t="s">
        <v>188</v>
      </c>
      <c r="O258" s="11">
        <v>3</v>
      </c>
      <c r="P258" s="11" t="s">
        <v>189</v>
      </c>
      <c r="Q258" s="11">
        <v>3</v>
      </c>
      <c r="R258" s="11" t="s">
        <v>190</v>
      </c>
      <c r="S258" s="11">
        <v>37</v>
      </c>
      <c r="T258" s="11" t="s">
        <v>187</v>
      </c>
      <c r="U258" s="11">
        <v>58</v>
      </c>
      <c r="V258" s="11" t="s">
        <v>191</v>
      </c>
      <c r="W258" s="11">
        <v>45</v>
      </c>
      <c r="X258" s="11" t="s">
        <v>191</v>
      </c>
      <c r="Y258" s="11">
        <v>48</v>
      </c>
      <c r="Z258" s="11" t="s">
        <v>191</v>
      </c>
      <c r="AA258" s="11">
        <v>32</v>
      </c>
      <c r="AB258" s="11" t="s">
        <v>187</v>
      </c>
      <c r="AC258" s="11">
        <v>62</v>
      </c>
      <c r="AD258" s="11" t="s">
        <v>192</v>
      </c>
    </row>
    <row r="259" spans="1:30" x14ac:dyDescent="0.3">
      <c r="A259" s="11" t="s">
        <v>531</v>
      </c>
      <c r="B259" s="11">
        <v>10924</v>
      </c>
      <c r="C259" s="11">
        <v>1</v>
      </c>
      <c r="D259" s="11" t="s">
        <v>455</v>
      </c>
      <c r="E259" s="11" t="s">
        <v>194</v>
      </c>
      <c r="F259" s="11" t="s">
        <v>195</v>
      </c>
      <c r="G259" s="11">
        <v>32</v>
      </c>
      <c r="H259" s="11" t="s">
        <v>196</v>
      </c>
      <c r="I259" s="11">
        <v>31</v>
      </c>
      <c r="J259" s="11" t="s">
        <v>196</v>
      </c>
      <c r="K259" s="11">
        <v>26</v>
      </c>
      <c r="L259" s="11" t="s">
        <v>186</v>
      </c>
      <c r="M259" s="11">
        <v>0</v>
      </c>
      <c r="N259" s="11" t="s">
        <v>188</v>
      </c>
      <c r="O259" s="11">
        <v>1</v>
      </c>
      <c r="P259" s="11" t="s">
        <v>197</v>
      </c>
      <c r="Q259" s="11">
        <v>3</v>
      </c>
      <c r="R259" s="11" t="s">
        <v>190</v>
      </c>
      <c r="S259" s="11">
        <v>37</v>
      </c>
      <c r="T259" s="11" t="s">
        <v>187</v>
      </c>
      <c r="U259" s="11">
        <v>37</v>
      </c>
      <c r="V259" s="11" t="s">
        <v>187</v>
      </c>
      <c r="W259" s="11">
        <v>33</v>
      </c>
      <c r="X259" s="11" t="s">
        <v>187</v>
      </c>
      <c r="Y259" s="11">
        <v>36</v>
      </c>
      <c r="Z259" s="11" t="s">
        <v>187</v>
      </c>
      <c r="AA259" s="11">
        <v>32</v>
      </c>
      <c r="AB259" s="11" t="s">
        <v>187</v>
      </c>
      <c r="AC259" s="11">
        <v>36</v>
      </c>
      <c r="AD259" s="11" t="s">
        <v>187</v>
      </c>
    </row>
    <row r="260" spans="1:30" x14ac:dyDescent="0.3">
      <c r="A260" s="11" t="s">
        <v>531</v>
      </c>
      <c r="B260" s="11">
        <v>10925</v>
      </c>
      <c r="C260" s="11">
        <v>1</v>
      </c>
      <c r="D260" s="11" t="s">
        <v>456</v>
      </c>
      <c r="E260" s="11" t="s">
        <v>199</v>
      </c>
      <c r="F260" s="11" t="s">
        <v>200</v>
      </c>
      <c r="G260" s="11">
        <v>77</v>
      </c>
      <c r="H260" s="11" t="s">
        <v>201</v>
      </c>
      <c r="I260" s="11">
        <v>65</v>
      </c>
      <c r="J260" s="11" t="s">
        <v>202</v>
      </c>
      <c r="K260" s="11">
        <v>76</v>
      </c>
      <c r="L260" s="11" t="s">
        <v>201</v>
      </c>
      <c r="M260" s="11">
        <v>0</v>
      </c>
      <c r="N260" s="11" t="s">
        <v>188</v>
      </c>
      <c r="O260" s="11">
        <v>5</v>
      </c>
      <c r="P260" s="11" t="s">
        <v>189</v>
      </c>
      <c r="Q260" s="11">
        <v>0</v>
      </c>
      <c r="R260" s="11" t="s">
        <v>203</v>
      </c>
      <c r="S260" s="11">
        <v>85</v>
      </c>
      <c r="T260" s="11" t="s">
        <v>192</v>
      </c>
      <c r="U260" s="11">
        <v>79</v>
      </c>
      <c r="V260" s="11" t="s">
        <v>192</v>
      </c>
      <c r="W260" s="11">
        <v>81</v>
      </c>
      <c r="X260" s="11" t="s">
        <v>192</v>
      </c>
      <c r="Y260" s="11">
        <v>85</v>
      </c>
      <c r="Z260" s="11" t="s">
        <v>192</v>
      </c>
      <c r="AA260" s="11">
        <v>80</v>
      </c>
      <c r="AB260" s="11" t="s">
        <v>192</v>
      </c>
      <c r="AC260" s="11">
        <v>87</v>
      </c>
      <c r="AD260" s="11" t="s">
        <v>192</v>
      </c>
    </row>
    <row r="261" spans="1:30" x14ac:dyDescent="0.3">
      <c r="A261" s="11" t="s">
        <v>531</v>
      </c>
      <c r="B261" s="11">
        <v>10926</v>
      </c>
      <c r="C261" s="11">
        <v>1</v>
      </c>
      <c r="D261" s="11" t="s">
        <v>457</v>
      </c>
      <c r="E261" s="11" t="s">
        <v>205</v>
      </c>
      <c r="F261" s="11" t="s">
        <v>206</v>
      </c>
      <c r="G261" s="11">
        <v>81</v>
      </c>
      <c r="H261" s="11" t="s">
        <v>201</v>
      </c>
      <c r="I261" s="11">
        <v>86</v>
      </c>
      <c r="J261" s="11" t="s">
        <v>201</v>
      </c>
      <c r="K261" s="11">
        <v>76</v>
      </c>
      <c r="L261" s="11" t="s">
        <v>201</v>
      </c>
      <c r="M261" s="11">
        <v>0</v>
      </c>
      <c r="N261" s="11" t="s">
        <v>188</v>
      </c>
      <c r="O261" s="11">
        <v>1</v>
      </c>
      <c r="P261" s="11" t="s">
        <v>197</v>
      </c>
      <c r="Q261" s="11">
        <v>0</v>
      </c>
      <c r="R261" s="11" t="s">
        <v>203</v>
      </c>
      <c r="S261" s="11">
        <v>37</v>
      </c>
      <c r="T261" s="11" t="s">
        <v>187</v>
      </c>
      <c r="U261" s="11">
        <v>37</v>
      </c>
      <c r="V261" s="11" t="s">
        <v>187</v>
      </c>
      <c r="W261" s="11">
        <v>33</v>
      </c>
      <c r="X261" s="11" t="s">
        <v>187</v>
      </c>
      <c r="Y261" s="11">
        <v>36</v>
      </c>
      <c r="Z261" s="11" t="s">
        <v>187</v>
      </c>
      <c r="AA261" s="11">
        <v>32</v>
      </c>
      <c r="AB261" s="11" t="s">
        <v>187</v>
      </c>
      <c r="AC261" s="11">
        <v>36</v>
      </c>
      <c r="AD261" s="11" t="s">
        <v>187</v>
      </c>
    </row>
    <row r="262" spans="1:30" x14ac:dyDescent="0.3">
      <c r="A262" s="11" t="s">
        <v>531</v>
      </c>
      <c r="B262" s="11">
        <v>10927</v>
      </c>
      <c r="C262" s="11">
        <v>1</v>
      </c>
      <c r="D262" s="11" t="s">
        <v>458</v>
      </c>
      <c r="E262" s="11" t="s">
        <v>184</v>
      </c>
      <c r="F262" s="11" t="s">
        <v>185</v>
      </c>
      <c r="G262" s="11">
        <v>23</v>
      </c>
      <c r="H262" s="11" t="s">
        <v>186</v>
      </c>
      <c r="I262" s="11">
        <v>23</v>
      </c>
      <c r="J262" s="11" t="s">
        <v>186</v>
      </c>
      <c r="K262" s="11">
        <v>45</v>
      </c>
      <c r="L262" s="11" t="s">
        <v>187</v>
      </c>
      <c r="M262" s="11">
        <v>0</v>
      </c>
      <c r="N262" s="11" t="s">
        <v>188</v>
      </c>
      <c r="O262" s="11">
        <v>3</v>
      </c>
      <c r="P262" s="11" t="s">
        <v>189</v>
      </c>
      <c r="Q262" s="11">
        <v>3</v>
      </c>
      <c r="R262" s="11" t="s">
        <v>190</v>
      </c>
      <c r="S262" s="11">
        <v>37</v>
      </c>
      <c r="T262" s="11" t="s">
        <v>187</v>
      </c>
      <c r="U262" s="11">
        <v>58</v>
      </c>
      <c r="V262" s="11" t="s">
        <v>191</v>
      </c>
      <c r="W262" s="11">
        <v>45</v>
      </c>
      <c r="X262" s="11" t="s">
        <v>191</v>
      </c>
      <c r="Y262" s="11">
        <v>48</v>
      </c>
      <c r="Z262" s="11" t="s">
        <v>191</v>
      </c>
      <c r="AA262" s="11">
        <v>32</v>
      </c>
      <c r="AB262" s="11" t="s">
        <v>187</v>
      </c>
      <c r="AC262" s="11">
        <v>62</v>
      </c>
      <c r="AD262" s="11" t="s">
        <v>192</v>
      </c>
    </row>
    <row r="263" spans="1:30" x14ac:dyDescent="0.3">
      <c r="A263" s="11" t="s">
        <v>531</v>
      </c>
      <c r="B263" s="11">
        <v>10928</v>
      </c>
      <c r="C263" s="11">
        <v>1</v>
      </c>
      <c r="D263" s="11" t="s">
        <v>459</v>
      </c>
      <c r="E263" s="11" t="s">
        <v>194</v>
      </c>
      <c r="F263" s="11" t="s">
        <v>195</v>
      </c>
      <c r="G263" s="11">
        <v>32</v>
      </c>
      <c r="H263" s="11" t="s">
        <v>196</v>
      </c>
      <c r="I263" s="11">
        <v>31</v>
      </c>
      <c r="J263" s="11" t="s">
        <v>196</v>
      </c>
      <c r="K263" s="11">
        <v>26</v>
      </c>
      <c r="L263" s="11" t="s">
        <v>186</v>
      </c>
      <c r="M263" s="11">
        <v>0</v>
      </c>
      <c r="N263" s="11" t="s">
        <v>188</v>
      </c>
      <c r="O263" s="11">
        <v>1</v>
      </c>
      <c r="P263" s="11" t="s">
        <v>197</v>
      </c>
      <c r="Q263" s="11">
        <v>3</v>
      </c>
      <c r="R263" s="11" t="s">
        <v>190</v>
      </c>
      <c r="S263" s="11">
        <v>37</v>
      </c>
      <c r="T263" s="11" t="s">
        <v>187</v>
      </c>
      <c r="U263" s="11">
        <v>37</v>
      </c>
      <c r="V263" s="11" t="s">
        <v>187</v>
      </c>
      <c r="W263" s="11">
        <v>33</v>
      </c>
      <c r="X263" s="11" t="s">
        <v>187</v>
      </c>
      <c r="Y263" s="11">
        <v>36</v>
      </c>
      <c r="Z263" s="11" t="s">
        <v>187</v>
      </c>
      <c r="AA263" s="11">
        <v>32</v>
      </c>
      <c r="AB263" s="11" t="s">
        <v>187</v>
      </c>
      <c r="AC263" s="11">
        <v>36</v>
      </c>
      <c r="AD263" s="11" t="s">
        <v>187</v>
      </c>
    </row>
    <row r="264" spans="1:30" x14ac:dyDescent="0.3">
      <c r="A264" s="11" t="s">
        <v>531</v>
      </c>
      <c r="B264" s="11">
        <v>10929</v>
      </c>
      <c r="C264" s="11">
        <v>1</v>
      </c>
      <c r="D264" s="11" t="s">
        <v>256</v>
      </c>
      <c r="E264" s="11" t="s">
        <v>199</v>
      </c>
      <c r="F264" s="11" t="s">
        <v>200</v>
      </c>
      <c r="G264" s="11">
        <v>77</v>
      </c>
      <c r="H264" s="11" t="s">
        <v>201</v>
      </c>
      <c r="I264" s="11">
        <v>65</v>
      </c>
      <c r="J264" s="11" t="s">
        <v>202</v>
      </c>
      <c r="K264" s="11">
        <v>76</v>
      </c>
      <c r="L264" s="11" t="s">
        <v>201</v>
      </c>
      <c r="M264" s="11">
        <v>0</v>
      </c>
      <c r="N264" s="11" t="s">
        <v>188</v>
      </c>
      <c r="O264" s="11">
        <v>5</v>
      </c>
      <c r="P264" s="11" t="s">
        <v>189</v>
      </c>
      <c r="Q264" s="11">
        <v>0</v>
      </c>
      <c r="R264" s="11" t="s">
        <v>203</v>
      </c>
      <c r="S264" s="11">
        <v>85</v>
      </c>
      <c r="T264" s="11" t="s">
        <v>192</v>
      </c>
      <c r="U264" s="11">
        <v>79</v>
      </c>
      <c r="V264" s="11" t="s">
        <v>192</v>
      </c>
      <c r="W264" s="11">
        <v>81</v>
      </c>
      <c r="X264" s="11" t="s">
        <v>192</v>
      </c>
      <c r="Y264" s="11">
        <v>85</v>
      </c>
      <c r="Z264" s="11" t="s">
        <v>192</v>
      </c>
      <c r="AA264" s="11">
        <v>80</v>
      </c>
      <c r="AB264" s="11" t="s">
        <v>192</v>
      </c>
      <c r="AC264" s="11">
        <v>87</v>
      </c>
      <c r="AD264" s="11" t="s">
        <v>192</v>
      </c>
    </row>
    <row r="265" spans="1:30" x14ac:dyDescent="0.3">
      <c r="A265" s="11" t="s">
        <v>531</v>
      </c>
      <c r="B265" s="11">
        <v>10930</v>
      </c>
      <c r="C265" s="11">
        <v>1</v>
      </c>
      <c r="D265" s="11" t="s">
        <v>460</v>
      </c>
      <c r="E265" s="11" t="s">
        <v>205</v>
      </c>
      <c r="F265" s="11" t="s">
        <v>206</v>
      </c>
      <c r="G265" s="11">
        <v>81</v>
      </c>
      <c r="H265" s="11" t="s">
        <v>201</v>
      </c>
      <c r="I265" s="11">
        <v>86</v>
      </c>
      <c r="J265" s="11" t="s">
        <v>201</v>
      </c>
      <c r="K265" s="11">
        <v>76</v>
      </c>
      <c r="L265" s="11" t="s">
        <v>201</v>
      </c>
      <c r="M265" s="11">
        <v>0</v>
      </c>
      <c r="N265" s="11" t="s">
        <v>188</v>
      </c>
      <c r="O265" s="11">
        <v>1</v>
      </c>
      <c r="P265" s="11" t="s">
        <v>197</v>
      </c>
      <c r="Q265" s="11">
        <v>0</v>
      </c>
      <c r="R265" s="11" t="s">
        <v>203</v>
      </c>
      <c r="S265" s="11">
        <v>37</v>
      </c>
      <c r="T265" s="11" t="s">
        <v>187</v>
      </c>
      <c r="U265" s="11">
        <v>37</v>
      </c>
      <c r="V265" s="11" t="s">
        <v>187</v>
      </c>
      <c r="W265" s="11">
        <v>33</v>
      </c>
      <c r="X265" s="11" t="s">
        <v>187</v>
      </c>
      <c r="Y265" s="11">
        <v>36</v>
      </c>
      <c r="Z265" s="11" t="s">
        <v>187</v>
      </c>
      <c r="AA265" s="11">
        <v>32</v>
      </c>
      <c r="AB265" s="11" t="s">
        <v>187</v>
      </c>
      <c r="AC265" s="11">
        <v>36</v>
      </c>
      <c r="AD265" s="11" t="s">
        <v>187</v>
      </c>
    </row>
    <row r="266" spans="1:30" x14ac:dyDescent="0.3">
      <c r="A266" s="11" t="s">
        <v>531</v>
      </c>
      <c r="B266" s="11">
        <v>10931</v>
      </c>
      <c r="C266" s="11">
        <v>2</v>
      </c>
      <c r="D266" s="11" t="s">
        <v>461</v>
      </c>
      <c r="E266" s="11" t="s">
        <v>184</v>
      </c>
      <c r="F266" s="11" t="s">
        <v>185</v>
      </c>
      <c r="G266" s="11">
        <v>23</v>
      </c>
      <c r="H266" s="11" t="s">
        <v>186</v>
      </c>
      <c r="I266" s="11">
        <v>23</v>
      </c>
      <c r="J266" s="11" t="s">
        <v>186</v>
      </c>
      <c r="K266" s="11">
        <v>45</v>
      </c>
      <c r="L266" s="11" t="s">
        <v>187</v>
      </c>
      <c r="M266" s="11">
        <v>0</v>
      </c>
      <c r="N266" s="11" t="s">
        <v>188</v>
      </c>
      <c r="O266" s="11">
        <v>3</v>
      </c>
      <c r="P266" s="11" t="s">
        <v>189</v>
      </c>
      <c r="Q266" s="11">
        <v>3</v>
      </c>
      <c r="R266" s="11" t="s">
        <v>190</v>
      </c>
      <c r="S266" s="11">
        <v>37</v>
      </c>
      <c r="T266" s="11" t="s">
        <v>187</v>
      </c>
      <c r="U266" s="11">
        <v>58</v>
      </c>
      <c r="V266" s="11" t="s">
        <v>191</v>
      </c>
      <c r="W266" s="11">
        <v>45</v>
      </c>
      <c r="X266" s="11" t="s">
        <v>191</v>
      </c>
      <c r="Y266" s="11">
        <v>48</v>
      </c>
      <c r="Z266" s="11" t="s">
        <v>191</v>
      </c>
      <c r="AA266" s="11">
        <v>32</v>
      </c>
      <c r="AB266" s="11" t="s">
        <v>187</v>
      </c>
      <c r="AC266" s="11">
        <v>62</v>
      </c>
      <c r="AD266" s="11" t="s">
        <v>192</v>
      </c>
    </row>
    <row r="267" spans="1:30" x14ac:dyDescent="0.3">
      <c r="A267" s="11" t="s">
        <v>531</v>
      </c>
      <c r="B267" s="11">
        <v>11001</v>
      </c>
      <c r="C267" s="11">
        <v>2</v>
      </c>
      <c r="D267" s="11" t="s">
        <v>462</v>
      </c>
      <c r="E267" s="11" t="s">
        <v>194</v>
      </c>
      <c r="F267" s="11" t="s">
        <v>195</v>
      </c>
      <c r="G267" s="11">
        <v>32</v>
      </c>
      <c r="H267" s="11" t="s">
        <v>196</v>
      </c>
      <c r="I267" s="11">
        <v>31</v>
      </c>
      <c r="J267" s="11" t="s">
        <v>196</v>
      </c>
      <c r="K267" s="11">
        <v>26</v>
      </c>
      <c r="L267" s="11" t="s">
        <v>186</v>
      </c>
      <c r="M267" s="11">
        <v>0</v>
      </c>
      <c r="N267" s="11" t="s">
        <v>188</v>
      </c>
      <c r="O267" s="11">
        <v>1</v>
      </c>
      <c r="P267" s="11" t="s">
        <v>197</v>
      </c>
      <c r="Q267" s="11">
        <v>3</v>
      </c>
      <c r="R267" s="11" t="s">
        <v>190</v>
      </c>
      <c r="S267" s="11">
        <v>37</v>
      </c>
      <c r="T267" s="11" t="s">
        <v>187</v>
      </c>
      <c r="U267" s="11">
        <v>37</v>
      </c>
      <c r="V267" s="11" t="s">
        <v>187</v>
      </c>
      <c r="W267" s="11">
        <v>33</v>
      </c>
      <c r="X267" s="11" t="s">
        <v>187</v>
      </c>
      <c r="Y267" s="11">
        <v>36</v>
      </c>
      <c r="Z267" s="11" t="s">
        <v>187</v>
      </c>
      <c r="AA267" s="11">
        <v>32</v>
      </c>
      <c r="AB267" s="11" t="s">
        <v>187</v>
      </c>
      <c r="AC267" s="11">
        <v>36</v>
      </c>
      <c r="AD267" s="11" t="s">
        <v>187</v>
      </c>
    </row>
    <row r="268" spans="1:30" x14ac:dyDescent="0.3">
      <c r="A268" s="11" t="s">
        <v>531</v>
      </c>
      <c r="B268" s="11">
        <v>11002</v>
      </c>
      <c r="C268" s="11">
        <v>2</v>
      </c>
      <c r="D268" s="11" t="s">
        <v>463</v>
      </c>
      <c r="E268" s="11" t="s">
        <v>199</v>
      </c>
      <c r="F268" s="11" t="s">
        <v>200</v>
      </c>
      <c r="G268" s="11">
        <v>77</v>
      </c>
      <c r="H268" s="11" t="s">
        <v>201</v>
      </c>
      <c r="I268" s="11">
        <v>65</v>
      </c>
      <c r="J268" s="11" t="s">
        <v>202</v>
      </c>
      <c r="K268" s="11">
        <v>76</v>
      </c>
      <c r="L268" s="11" t="s">
        <v>201</v>
      </c>
      <c r="M268" s="11">
        <v>0</v>
      </c>
      <c r="N268" s="11" t="s">
        <v>188</v>
      </c>
      <c r="O268" s="11">
        <v>5</v>
      </c>
      <c r="P268" s="11" t="s">
        <v>189</v>
      </c>
      <c r="Q268" s="11">
        <v>0</v>
      </c>
      <c r="R268" s="11" t="s">
        <v>203</v>
      </c>
      <c r="S268" s="11">
        <v>85</v>
      </c>
      <c r="T268" s="11" t="s">
        <v>192</v>
      </c>
      <c r="U268" s="11">
        <v>79</v>
      </c>
      <c r="V268" s="11" t="s">
        <v>192</v>
      </c>
      <c r="W268" s="11">
        <v>81</v>
      </c>
      <c r="X268" s="11" t="s">
        <v>192</v>
      </c>
      <c r="Y268" s="11">
        <v>85</v>
      </c>
      <c r="Z268" s="11" t="s">
        <v>192</v>
      </c>
      <c r="AA268" s="11">
        <v>80</v>
      </c>
      <c r="AB268" s="11" t="s">
        <v>192</v>
      </c>
      <c r="AC268" s="11">
        <v>87</v>
      </c>
      <c r="AD268" s="11" t="s">
        <v>192</v>
      </c>
    </row>
    <row r="269" spans="1:30" x14ac:dyDescent="0.3">
      <c r="A269" s="11" t="s">
        <v>531</v>
      </c>
      <c r="B269" s="11">
        <v>11003</v>
      </c>
      <c r="C269" s="11">
        <v>2</v>
      </c>
      <c r="D269" s="11" t="s">
        <v>464</v>
      </c>
      <c r="E269" s="11" t="s">
        <v>205</v>
      </c>
      <c r="F269" s="11" t="s">
        <v>206</v>
      </c>
      <c r="G269" s="11">
        <v>81</v>
      </c>
      <c r="H269" s="11" t="s">
        <v>201</v>
      </c>
      <c r="I269" s="11">
        <v>86</v>
      </c>
      <c r="J269" s="11" t="s">
        <v>201</v>
      </c>
      <c r="K269" s="11">
        <v>76</v>
      </c>
      <c r="L269" s="11" t="s">
        <v>201</v>
      </c>
      <c r="M269" s="11">
        <v>0</v>
      </c>
      <c r="N269" s="11" t="s">
        <v>188</v>
      </c>
      <c r="O269" s="11">
        <v>1</v>
      </c>
      <c r="P269" s="11" t="s">
        <v>197</v>
      </c>
      <c r="Q269" s="11">
        <v>0</v>
      </c>
      <c r="R269" s="11" t="s">
        <v>203</v>
      </c>
      <c r="S269" s="11">
        <v>37</v>
      </c>
      <c r="T269" s="11" t="s">
        <v>187</v>
      </c>
      <c r="U269" s="11">
        <v>37</v>
      </c>
      <c r="V269" s="11" t="s">
        <v>187</v>
      </c>
      <c r="W269" s="11">
        <v>33</v>
      </c>
      <c r="X269" s="11" t="s">
        <v>187</v>
      </c>
      <c r="Y269" s="11">
        <v>36</v>
      </c>
      <c r="Z269" s="11" t="s">
        <v>187</v>
      </c>
      <c r="AA269" s="11">
        <v>32</v>
      </c>
      <c r="AB269" s="11" t="s">
        <v>187</v>
      </c>
      <c r="AC269" s="11">
        <v>36</v>
      </c>
      <c r="AD269" s="11" t="s">
        <v>187</v>
      </c>
    </row>
    <row r="270" spans="1:30" x14ac:dyDescent="0.3">
      <c r="A270" s="11" t="s">
        <v>531</v>
      </c>
      <c r="B270" s="11">
        <v>11004</v>
      </c>
      <c r="C270" s="11">
        <v>2</v>
      </c>
      <c r="D270" s="11" t="s">
        <v>465</v>
      </c>
      <c r="E270" s="11" t="s">
        <v>184</v>
      </c>
      <c r="F270" s="11" t="s">
        <v>185</v>
      </c>
      <c r="G270" s="11">
        <v>23</v>
      </c>
      <c r="H270" s="11" t="s">
        <v>186</v>
      </c>
      <c r="I270" s="11">
        <v>23</v>
      </c>
      <c r="J270" s="11" t="s">
        <v>186</v>
      </c>
      <c r="K270" s="11">
        <v>45</v>
      </c>
      <c r="L270" s="11" t="s">
        <v>187</v>
      </c>
      <c r="M270" s="11">
        <v>0</v>
      </c>
      <c r="N270" s="11" t="s">
        <v>188</v>
      </c>
      <c r="O270" s="11">
        <v>3</v>
      </c>
      <c r="P270" s="11" t="s">
        <v>189</v>
      </c>
      <c r="Q270" s="11">
        <v>3</v>
      </c>
      <c r="R270" s="11" t="s">
        <v>190</v>
      </c>
      <c r="S270" s="11">
        <v>37</v>
      </c>
      <c r="T270" s="11" t="s">
        <v>187</v>
      </c>
      <c r="U270" s="11">
        <v>58</v>
      </c>
      <c r="V270" s="11" t="s">
        <v>191</v>
      </c>
      <c r="W270" s="11">
        <v>45</v>
      </c>
      <c r="X270" s="11" t="s">
        <v>191</v>
      </c>
      <c r="Y270" s="11">
        <v>48</v>
      </c>
      <c r="Z270" s="11" t="s">
        <v>191</v>
      </c>
      <c r="AA270" s="11">
        <v>32</v>
      </c>
      <c r="AB270" s="11" t="s">
        <v>187</v>
      </c>
      <c r="AC270" s="11">
        <v>62</v>
      </c>
      <c r="AD270" s="11" t="s">
        <v>192</v>
      </c>
    </row>
    <row r="271" spans="1:30" x14ac:dyDescent="0.3">
      <c r="A271" s="11" t="s">
        <v>531</v>
      </c>
      <c r="B271" s="11">
        <v>11005</v>
      </c>
      <c r="C271" s="11">
        <v>2</v>
      </c>
      <c r="D271" s="11" t="s">
        <v>466</v>
      </c>
      <c r="E271" s="11" t="s">
        <v>194</v>
      </c>
      <c r="F271" s="11" t="s">
        <v>195</v>
      </c>
      <c r="G271" s="11">
        <v>32</v>
      </c>
      <c r="H271" s="11" t="s">
        <v>196</v>
      </c>
      <c r="I271" s="11">
        <v>31</v>
      </c>
      <c r="J271" s="11" t="s">
        <v>196</v>
      </c>
      <c r="K271" s="11">
        <v>26</v>
      </c>
      <c r="L271" s="11" t="s">
        <v>186</v>
      </c>
      <c r="M271" s="11">
        <v>0</v>
      </c>
      <c r="N271" s="11" t="s">
        <v>188</v>
      </c>
      <c r="O271" s="11">
        <v>1</v>
      </c>
      <c r="P271" s="11" t="s">
        <v>197</v>
      </c>
      <c r="Q271" s="11">
        <v>3</v>
      </c>
      <c r="R271" s="11" t="s">
        <v>190</v>
      </c>
      <c r="S271" s="11">
        <v>37</v>
      </c>
      <c r="T271" s="11" t="s">
        <v>187</v>
      </c>
      <c r="U271" s="11">
        <v>37</v>
      </c>
      <c r="V271" s="11" t="s">
        <v>187</v>
      </c>
      <c r="W271" s="11">
        <v>33</v>
      </c>
      <c r="X271" s="11" t="s">
        <v>187</v>
      </c>
      <c r="Y271" s="11">
        <v>36</v>
      </c>
      <c r="Z271" s="11" t="s">
        <v>187</v>
      </c>
      <c r="AA271" s="11">
        <v>32</v>
      </c>
      <c r="AB271" s="11" t="s">
        <v>187</v>
      </c>
      <c r="AC271" s="11">
        <v>36</v>
      </c>
      <c r="AD271" s="11" t="s">
        <v>187</v>
      </c>
    </row>
    <row r="272" spans="1:30" x14ac:dyDescent="0.3">
      <c r="A272" s="11" t="s">
        <v>531</v>
      </c>
      <c r="B272" s="11">
        <v>11006</v>
      </c>
      <c r="C272" s="11">
        <v>2</v>
      </c>
      <c r="D272" s="11" t="s">
        <v>467</v>
      </c>
      <c r="E272" s="11" t="s">
        <v>199</v>
      </c>
      <c r="F272" s="11" t="s">
        <v>200</v>
      </c>
      <c r="G272" s="11">
        <v>77</v>
      </c>
      <c r="H272" s="11" t="s">
        <v>201</v>
      </c>
      <c r="I272" s="11">
        <v>65</v>
      </c>
      <c r="J272" s="11" t="s">
        <v>202</v>
      </c>
      <c r="K272" s="11">
        <v>76</v>
      </c>
      <c r="L272" s="11" t="s">
        <v>201</v>
      </c>
      <c r="M272" s="11">
        <v>0</v>
      </c>
      <c r="N272" s="11" t="s">
        <v>188</v>
      </c>
      <c r="O272" s="11">
        <v>5</v>
      </c>
      <c r="P272" s="11" t="s">
        <v>189</v>
      </c>
      <c r="Q272" s="11">
        <v>0</v>
      </c>
      <c r="R272" s="11" t="s">
        <v>203</v>
      </c>
      <c r="S272" s="11">
        <v>85</v>
      </c>
      <c r="T272" s="11" t="s">
        <v>192</v>
      </c>
      <c r="U272" s="11">
        <v>79</v>
      </c>
      <c r="V272" s="11" t="s">
        <v>192</v>
      </c>
      <c r="W272" s="11">
        <v>81</v>
      </c>
      <c r="X272" s="11" t="s">
        <v>192</v>
      </c>
      <c r="Y272" s="11">
        <v>85</v>
      </c>
      <c r="Z272" s="11" t="s">
        <v>192</v>
      </c>
      <c r="AA272" s="11">
        <v>80</v>
      </c>
      <c r="AB272" s="11" t="s">
        <v>192</v>
      </c>
      <c r="AC272" s="11">
        <v>87</v>
      </c>
      <c r="AD272" s="11" t="s">
        <v>192</v>
      </c>
    </row>
    <row r="273" spans="1:30" x14ac:dyDescent="0.3">
      <c r="A273" s="11" t="s">
        <v>531</v>
      </c>
      <c r="B273" s="11">
        <v>11007</v>
      </c>
      <c r="C273" s="11">
        <v>2</v>
      </c>
      <c r="D273" s="11" t="s">
        <v>468</v>
      </c>
      <c r="E273" s="11" t="s">
        <v>205</v>
      </c>
      <c r="F273" s="11" t="s">
        <v>206</v>
      </c>
      <c r="G273" s="11">
        <v>81</v>
      </c>
      <c r="H273" s="11" t="s">
        <v>201</v>
      </c>
      <c r="I273" s="11">
        <v>86</v>
      </c>
      <c r="J273" s="11" t="s">
        <v>201</v>
      </c>
      <c r="K273" s="11">
        <v>76</v>
      </c>
      <c r="L273" s="11" t="s">
        <v>201</v>
      </c>
      <c r="M273" s="11">
        <v>0</v>
      </c>
      <c r="N273" s="11" t="s">
        <v>188</v>
      </c>
      <c r="O273" s="11">
        <v>1</v>
      </c>
      <c r="P273" s="11" t="s">
        <v>197</v>
      </c>
      <c r="Q273" s="11">
        <v>0</v>
      </c>
      <c r="R273" s="11" t="s">
        <v>203</v>
      </c>
      <c r="S273" s="11">
        <v>37</v>
      </c>
      <c r="T273" s="11" t="s">
        <v>187</v>
      </c>
      <c r="U273" s="11">
        <v>37</v>
      </c>
      <c r="V273" s="11" t="s">
        <v>187</v>
      </c>
      <c r="W273" s="11">
        <v>33</v>
      </c>
      <c r="X273" s="11" t="s">
        <v>187</v>
      </c>
      <c r="Y273" s="11">
        <v>36</v>
      </c>
      <c r="Z273" s="11" t="s">
        <v>187</v>
      </c>
      <c r="AA273" s="11">
        <v>32</v>
      </c>
      <c r="AB273" s="11" t="s">
        <v>187</v>
      </c>
      <c r="AC273" s="11">
        <v>36</v>
      </c>
      <c r="AD273" s="11" t="s">
        <v>187</v>
      </c>
    </row>
    <row r="274" spans="1:30" x14ac:dyDescent="0.3">
      <c r="A274" s="11" t="s">
        <v>531</v>
      </c>
      <c r="B274" s="11">
        <v>11008</v>
      </c>
      <c r="C274" s="11">
        <v>2</v>
      </c>
      <c r="D274" s="11" t="s">
        <v>327</v>
      </c>
      <c r="E274" s="11" t="s">
        <v>184</v>
      </c>
      <c r="F274" s="11" t="s">
        <v>185</v>
      </c>
      <c r="G274" s="11">
        <v>23</v>
      </c>
      <c r="H274" s="11" t="s">
        <v>186</v>
      </c>
      <c r="I274" s="11">
        <v>23</v>
      </c>
      <c r="J274" s="11" t="s">
        <v>186</v>
      </c>
      <c r="K274" s="11">
        <v>45</v>
      </c>
      <c r="L274" s="11" t="s">
        <v>187</v>
      </c>
      <c r="M274" s="11">
        <v>0</v>
      </c>
      <c r="N274" s="11" t="s">
        <v>188</v>
      </c>
      <c r="O274" s="11">
        <v>3</v>
      </c>
      <c r="P274" s="11" t="s">
        <v>189</v>
      </c>
      <c r="Q274" s="11">
        <v>3</v>
      </c>
      <c r="R274" s="11" t="s">
        <v>190</v>
      </c>
      <c r="S274" s="11">
        <v>37</v>
      </c>
      <c r="T274" s="11" t="s">
        <v>187</v>
      </c>
      <c r="U274" s="11">
        <v>58</v>
      </c>
      <c r="V274" s="11" t="s">
        <v>191</v>
      </c>
      <c r="W274" s="11">
        <v>45</v>
      </c>
      <c r="X274" s="11" t="s">
        <v>191</v>
      </c>
      <c r="Y274" s="11">
        <v>48</v>
      </c>
      <c r="Z274" s="11" t="s">
        <v>191</v>
      </c>
      <c r="AA274" s="11">
        <v>32</v>
      </c>
      <c r="AB274" s="11" t="s">
        <v>187</v>
      </c>
      <c r="AC274" s="11">
        <v>62</v>
      </c>
      <c r="AD274" s="11" t="s">
        <v>192</v>
      </c>
    </row>
    <row r="275" spans="1:30" x14ac:dyDescent="0.3">
      <c r="A275" s="11" t="s">
        <v>531</v>
      </c>
      <c r="B275" s="11">
        <v>11009</v>
      </c>
      <c r="C275" s="11">
        <v>2</v>
      </c>
      <c r="D275" s="11" t="s">
        <v>469</v>
      </c>
      <c r="E275" s="11" t="s">
        <v>194</v>
      </c>
      <c r="F275" s="11" t="s">
        <v>195</v>
      </c>
      <c r="G275" s="11">
        <v>32</v>
      </c>
      <c r="H275" s="11" t="s">
        <v>196</v>
      </c>
      <c r="I275" s="11">
        <v>31</v>
      </c>
      <c r="J275" s="11" t="s">
        <v>196</v>
      </c>
      <c r="K275" s="11">
        <v>26</v>
      </c>
      <c r="L275" s="11" t="s">
        <v>186</v>
      </c>
      <c r="M275" s="11">
        <v>0</v>
      </c>
      <c r="N275" s="11" t="s">
        <v>188</v>
      </c>
      <c r="O275" s="11">
        <v>1</v>
      </c>
      <c r="P275" s="11" t="s">
        <v>197</v>
      </c>
      <c r="Q275" s="11">
        <v>3</v>
      </c>
      <c r="R275" s="11" t="s">
        <v>190</v>
      </c>
      <c r="S275" s="11">
        <v>37</v>
      </c>
      <c r="T275" s="11" t="s">
        <v>187</v>
      </c>
      <c r="U275" s="11">
        <v>37</v>
      </c>
      <c r="V275" s="11" t="s">
        <v>187</v>
      </c>
      <c r="W275" s="11">
        <v>33</v>
      </c>
      <c r="X275" s="11" t="s">
        <v>187</v>
      </c>
      <c r="Y275" s="11">
        <v>36</v>
      </c>
      <c r="Z275" s="11" t="s">
        <v>187</v>
      </c>
      <c r="AA275" s="11">
        <v>32</v>
      </c>
      <c r="AB275" s="11" t="s">
        <v>187</v>
      </c>
      <c r="AC275" s="11">
        <v>36</v>
      </c>
      <c r="AD275" s="11" t="s">
        <v>187</v>
      </c>
    </row>
    <row r="276" spans="1:30" x14ac:dyDescent="0.3">
      <c r="A276" s="11" t="s">
        <v>531</v>
      </c>
      <c r="B276" s="11">
        <v>11010</v>
      </c>
      <c r="C276" s="11">
        <v>2</v>
      </c>
      <c r="D276" s="11" t="s">
        <v>470</v>
      </c>
      <c r="E276" s="11" t="s">
        <v>199</v>
      </c>
      <c r="F276" s="11" t="s">
        <v>200</v>
      </c>
      <c r="G276" s="11">
        <v>77</v>
      </c>
      <c r="H276" s="11" t="s">
        <v>201</v>
      </c>
      <c r="I276" s="11">
        <v>65</v>
      </c>
      <c r="J276" s="11" t="s">
        <v>202</v>
      </c>
      <c r="K276" s="11">
        <v>76</v>
      </c>
      <c r="L276" s="11" t="s">
        <v>201</v>
      </c>
      <c r="M276" s="11">
        <v>0</v>
      </c>
      <c r="N276" s="11" t="s">
        <v>188</v>
      </c>
      <c r="O276" s="11">
        <v>5</v>
      </c>
      <c r="P276" s="11" t="s">
        <v>189</v>
      </c>
      <c r="Q276" s="11">
        <v>0</v>
      </c>
      <c r="R276" s="11" t="s">
        <v>203</v>
      </c>
      <c r="S276" s="11">
        <v>85</v>
      </c>
      <c r="T276" s="11" t="s">
        <v>192</v>
      </c>
      <c r="U276" s="11">
        <v>79</v>
      </c>
      <c r="V276" s="11" t="s">
        <v>192</v>
      </c>
      <c r="W276" s="11">
        <v>81</v>
      </c>
      <c r="X276" s="11" t="s">
        <v>192</v>
      </c>
      <c r="Y276" s="11">
        <v>85</v>
      </c>
      <c r="Z276" s="11" t="s">
        <v>192</v>
      </c>
      <c r="AA276" s="11">
        <v>80</v>
      </c>
      <c r="AB276" s="11" t="s">
        <v>192</v>
      </c>
      <c r="AC276" s="11">
        <v>87</v>
      </c>
      <c r="AD276" s="11" t="s">
        <v>192</v>
      </c>
    </row>
    <row r="277" spans="1:30" x14ac:dyDescent="0.3">
      <c r="A277" s="11" t="s">
        <v>531</v>
      </c>
      <c r="B277" s="11">
        <v>11011</v>
      </c>
      <c r="C277" s="11">
        <v>2</v>
      </c>
      <c r="D277" s="11" t="s">
        <v>471</v>
      </c>
      <c r="E277" s="11" t="s">
        <v>205</v>
      </c>
      <c r="F277" s="11" t="s">
        <v>206</v>
      </c>
      <c r="G277" s="11">
        <v>81</v>
      </c>
      <c r="H277" s="11" t="s">
        <v>201</v>
      </c>
      <c r="I277" s="11">
        <v>86</v>
      </c>
      <c r="J277" s="11" t="s">
        <v>201</v>
      </c>
      <c r="K277" s="11">
        <v>76</v>
      </c>
      <c r="L277" s="11" t="s">
        <v>201</v>
      </c>
      <c r="M277" s="11">
        <v>0</v>
      </c>
      <c r="N277" s="11" t="s">
        <v>188</v>
      </c>
      <c r="O277" s="11">
        <v>1</v>
      </c>
      <c r="P277" s="11" t="s">
        <v>197</v>
      </c>
      <c r="Q277" s="11">
        <v>0</v>
      </c>
      <c r="R277" s="11" t="s">
        <v>203</v>
      </c>
      <c r="S277" s="11">
        <v>37</v>
      </c>
      <c r="T277" s="11" t="s">
        <v>187</v>
      </c>
      <c r="U277" s="11">
        <v>37</v>
      </c>
      <c r="V277" s="11" t="s">
        <v>187</v>
      </c>
      <c r="W277" s="11">
        <v>33</v>
      </c>
      <c r="X277" s="11" t="s">
        <v>187</v>
      </c>
      <c r="Y277" s="11">
        <v>36</v>
      </c>
      <c r="Z277" s="11" t="s">
        <v>187</v>
      </c>
      <c r="AA277" s="11">
        <v>32</v>
      </c>
      <c r="AB277" s="11" t="s">
        <v>187</v>
      </c>
      <c r="AC277" s="11">
        <v>36</v>
      </c>
      <c r="AD277" s="11" t="s">
        <v>187</v>
      </c>
    </row>
    <row r="278" spans="1:30" x14ac:dyDescent="0.3">
      <c r="A278" s="11" t="s">
        <v>531</v>
      </c>
      <c r="B278" s="11">
        <v>11012</v>
      </c>
      <c r="C278" s="11">
        <v>2</v>
      </c>
      <c r="D278" s="11" t="s">
        <v>472</v>
      </c>
      <c r="E278" s="11" t="s">
        <v>184</v>
      </c>
      <c r="F278" s="11" t="s">
        <v>185</v>
      </c>
      <c r="G278" s="11">
        <v>23</v>
      </c>
      <c r="H278" s="11" t="s">
        <v>186</v>
      </c>
      <c r="I278" s="11">
        <v>23</v>
      </c>
      <c r="J278" s="11" t="s">
        <v>186</v>
      </c>
      <c r="K278" s="11">
        <v>45</v>
      </c>
      <c r="L278" s="11" t="s">
        <v>187</v>
      </c>
      <c r="M278" s="11">
        <v>0</v>
      </c>
      <c r="N278" s="11" t="s">
        <v>188</v>
      </c>
      <c r="O278" s="11">
        <v>3</v>
      </c>
      <c r="P278" s="11" t="s">
        <v>189</v>
      </c>
      <c r="Q278" s="11">
        <v>3</v>
      </c>
      <c r="R278" s="11" t="s">
        <v>190</v>
      </c>
      <c r="S278" s="11">
        <v>37</v>
      </c>
      <c r="T278" s="11" t="s">
        <v>187</v>
      </c>
      <c r="U278" s="11">
        <v>58</v>
      </c>
      <c r="V278" s="11" t="s">
        <v>191</v>
      </c>
      <c r="W278" s="11">
        <v>45</v>
      </c>
      <c r="X278" s="11" t="s">
        <v>191</v>
      </c>
      <c r="Y278" s="11">
        <v>48</v>
      </c>
      <c r="Z278" s="11" t="s">
        <v>191</v>
      </c>
      <c r="AA278" s="11">
        <v>32</v>
      </c>
      <c r="AB278" s="11" t="s">
        <v>187</v>
      </c>
      <c r="AC278" s="11">
        <v>62</v>
      </c>
      <c r="AD278" s="11" t="s">
        <v>192</v>
      </c>
    </row>
    <row r="279" spans="1:30" x14ac:dyDescent="0.3">
      <c r="A279" s="11" t="s">
        <v>531</v>
      </c>
      <c r="B279" s="11">
        <v>11014</v>
      </c>
      <c r="C279" s="11">
        <v>2</v>
      </c>
      <c r="D279" s="11" t="s">
        <v>473</v>
      </c>
      <c r="E279" s="11" t="s">
        <v>194</v>
      </c>
      <c r="F279" s="11" t="s">
        <v>195</v>
      </c>
      <c r="G279" s="11">
        <v>32</v>
      </c>
      <c r="H279" s="11" t="s">
        <v>196</v>
      </c>
      <c r="I279" s="11">
        <v>31</v>
      </c>
      <c r="J279" s="11" t="s">
        <v>196</v>
      </c>
      <c r="K279" s="11">
        <v>26</v>
      </c>
      <c r="L279" s="11" t="s">
        <v>186</v>
      </c>
      <c r="M279" s="11">
        <v>0</v>
      </c>
      <c r="N279" s="11" t="s">
        <v>188</v>
      </c>
      <c r="O279" s="11">
        <v>1</v>
      </c>
      <c r="P279" s="11" t="s">
        <v>197</v>
      </c>
      <c r="Q279" s="11">
        <v>3</v>
      </c>
      <c r="R279" s="11" t="s">
        <v>190</v>
      </c>
      <c r="S279" s="11">
        <v>37</v>
      </c>
      <c r="T279" s="11" t="s">
        <v>187</v>
      </c>
      <c r="U279" s="11">
        <v>37</v>
      </c>
      <c r="V279" s="11" t="s">
        <v>187</v>
      </c>
      <c r="W279" s="11">
        <v>33</v>
      </c>
      <c r="X279" s="11" t="s">
        <v>187</v>
      </c>
      <c r="Y279" s="11">
        <v>36</v>
      </c>
      <c r="Z279" s="11" t="s">
        <v>187</v>
      </c>
      <c r="AA279" s="11">
        <v>32</v>
      </c>
      <c r="AB279" s="11" t="s">
        <v>187</v>
      </c>
      <c r="AC279" s="11">
        <v>36</v>
      </c>
      <c r="AD279" s="11" t="s">
        <v>187</v>
      </c>
    </row>
    <row r="280" spans="1:30" x14ac:dyDescent="0.3">
      <c r="A280" s="11" t="s">
        <v>531</v>
      </c>
      <c r="B280" s="11">
        <v>11015</v>
      </c>
      <c r="C280" s="11">
        <v>1</v>
      </c>
      <c r="D280" s="11" t="s">
        <v>474</v>
      </c>
      <c r="E280" s="11" t="s">
        <v>199</v>
      </c>
      <c r="F280" s="11" t="s">
        <v>200</v>
      </c>
      <c r="G280" s="11">
        <v>77</v>
      </c>
      <c r="H280" s="11" t="s">
        <v>201</v>
      </c>
      <c r="I280" s="11">
        <v>65</v>
      </c>
      <c r="J280" s="11" t="s">
        <v>202</v>
      </c>
      <c r="K280" s="11">
        <v>76</v>
      </c>
      <c r="L280" s="11" t="s">
        <v>201</v>
      </c>
      <c r="M280" s="11">
        <v>0</v>
      </c>
      <c r="N280" s="11" t="s">
        <v>188</v>
      </c>
      <c r="O280" s="11">
        <v>5</v>
      </c>
      <c r="P280" s="11" t="s">
        <v>189</v>
      </c>
      <c r="Q280" s="11">
        <v>0</v>
      </c>
      <c r="R280" s="11" t="s">
        <v>203</v>
      </c>
      <c r="S280" s="11">
        <v>85</v>
      </c>
      <c r="T280" s="11" t="s">
        <v>192</v>
      </c>
      <c r="U280" s="11">
        <v>79</v>
      </c>
      <c r="V280" s="11" t="s">
        <v>192</v>
      </c>
      <c r="W280" s="11">
        <v>81</v>
      </c>
      <c r="X280" s="11" t="s">
        <v>192</v>
      </c>
      <c r="Y280" s="11">
        <v>85</v>
      </c>
      <c r="Z280" s="11" t="s">
        <v>192</v>
      </c>
      <c r="AA280" s="11">
        <v>80</v>
      </c>
      <c r="AB280" s="11" t="s">
        <v>192</v>
      </c>
      <c r="AC280" s="11">
        <v>87</v>
      </c>
      <c r="AD280" s="11" t="s">
        <v>192</v>
      </c>
    </row>
    <row r="281" spans="1:30" x14ac:dyDescent="0.3">
      <c r="A281" s="11" t="s">
        <v>531</v>
      </c>
      <c r="B281" s="11">
        <v>11016</v>
      </c>
      <c r="C281" s="11">
        <v>1</v>
      </c>
      <c r="D281" s="11" t="s">
        <v>475</v>
      </c>
      <c r="E281" s="11" t="s">
        <v>205</v>
      </c>
      <c r="F281" s="11" t="s">
        <v>206</v>
      </c>
      <c r="G281" s="11">
        <v>81</v>
      </c>
      <c r="H281" s="11" t="s">
        <v>201</v>
      </c>
      <c r="I281" s="11">
        <v>86</v>
      </c>
      <c r="J281" s="11" t="s">
        <v>201</v>
      </c>
      <c r="K281" s="11">
        <v>76</v>
      </c>
      <c r="L281" s="11" t="s">
        <v>201</v>
      </c>
      <c r="M281" s="11">
        <v>0</v>
      </c>
      <c r="N281" s="11" t="s">
        <v>188</v>
      </c>
      <c r="O281" s="11">
        <v>1</v>
      </c>
      <c r="P281" s="11" t="s">
        <v>197</v>
      </c>
      <c r="Q281" s="11">
        <v>0</v>
      </c>
      <c r="R281" s="11" t="s">
        <v>203</v>
      </c>
      <c r="S281" s="11">
        <v>37</v>
      </c>
      <c r="T281" s="11" t="s">
        <v>187</v>
      </c>
      <c r="U281" s="11">
        <v>37</v>
      </c>
      <c r="V281" s="11" t="s">
        <v>187</v>
      </c>
      <c r="W281" s="11">
        <v>33</v>
      </c>
      <c r="X281" s="11" t="s">
        <v>187</v>
      </c>
      <c r="Y281" s="11">
        <v>36</v>
      </c>
      <c r="Z281" s="11" t="s">
        <v>187</v>
      </c>
      <c r="AA281" s="11">
        <v>32</v>
      </c>
      <c r="AB281" s="11" t="s">
        <v>187</v>
      </c>
      <c r="AC281" s="11">
        <v>36</v>
      </c>
      <c r="AD281" s="11" t="s">
        <v>187</v>
      </c>
    </row>
    <row r="282" spans="1:30" x14ac:dyDescent="0.3">
      <c r="A282" s="11" t="s">
        <v>531</v>
      </c>
      <c r="B282" s="11">
        <v>11017</v>
      </c>
      <c r="C282" s="11">
        <v>1</v>
      </c>
      <c r="D282" s="11" t="s">
        <v>476</v>
      </c>
      <c r="E282" s="11" t="s">
        <v>184</v>
      </c>
      <c r="F282" s="11" t="s">
        <v>185</v>
      </c>
      <c r="G282" s="11">
        <v>23</v>
      </c>
      <c r="H282" s="11" t="s">
        <v>186</v>
      </c>
      <c r="I282" s="11">
        <v>23</v>
      </c>
      <c r="J282" s="11" t="s">
        <v>186</v>
      </c>
      <c r="K282" s="11">
        <v>45</v>
      </c>
      <c r="L282" s="11" t="s">
        <v>187</v>
      </c>
      <c r="M282" s="11">
        <v>0</v>
      </c>
      <c r="N282" s="11" t="s">
        <v>188</v>
      </c>
      <c r="O282" s="11">
        <v>3</v>
      </c>
      <c r="P282" s="11" t="s">
        <v>189</v>
      </c>
      <c r="Q282" s="11">
        <v>3</v>
      </c>
      <c r="R282" s="11" t="s">
        <v>190</v>
      </c>
      <c r="S282" s="11">
        <v>37</v>
      </c>
      <c r="T282" s="11" t="s">
        <v>187</v>
      </c>
      <c r="U282" s="11">
        <v>58</v>
      </c>
      <c r="V282" s="11" t="s">
        <v>191</v>
      </c>
      <c r="W282" s="11">
        <v>45</v>
      </c>
      <c r="X282" s="11" t="s">
        <v>191</v>
      </c>
      <c r="Y282" s="11">
        <v>48</v>
      </c>
      <c r="Z282" s="11" t="s">
        <v>191</v>
      </c>
      <c r="AA282" s="11">
        <v>32</v>
      </c>
      <c r="AB282" s="11" t="s">
        <v>187</v>
      </c>
      <c r="AC282" s="11">
        <v>62</v>
      </c>
      <c r="AD282" s="11" t="s">
        <v>192</v>
      </c>
    </row>
    <row r="283" spans="1:30" x14ac:dyDescent="0.3">
      <c r="A283" s="11" t="s">
        <v>531</v>
      </c>
      <c r="B283" s="11">
        <v>11019</v>
      </c>
      <c r="C283" s="11">
        <v>1</v>
      </c>
      <c r="D283" s="11" t="s">
        <v>477</v>
      </c>
      <c r="E283" s="11" t="s">
        <v>194</v>
      </c>
      <c r="F283" s="11" t="s">
        <v>195</v>
      </c>
      <c r="G283" s="11">
        <v>32</v>
      </c>
      <c r="H283" s="11" t="s">
        <v>196</v>
      </c>
      <c r="I283" s="11">
        <v>31</v>
      </c>
      <c r="J283" s="11" t="s">
        <v>196</v>
      </c>
      <c r="K283" s="11">
        <v>26</v>
      </c>
      <c r="L283" s="11" t="s">
        <v>186</v>
      </c>
      <c r="M283" s="11">
        <v>0</v>
      </c>
      <c r="N283" s="11" t="s">
        <v>188</v>
      </c>
      <c r="O283" s="11">
        <v>1</v>
      </c>
      <c r="P283" s="11" t="s">
        <v>197</v>
      </c>
      <c r="Q283" s="11">
        <v>3</v>
      </c>
      <c r="R283" s="11" t="s">
        <v>190</v>
      </c>
      <c r="S283" s="11">
        <v>37</v>
      </c>
      <c r="T283" s="11" t="s">
        <v>187</v>
      </c>
      <c r="U283" s="11">
        <v>37</v>
      </c>
      <c r="V283" s="11" t="s">
        <v>187</v>
      </c>
      <c r="W283" s="11">
        <v>33</v>
      </c>
      <c r="X283" s="11" t="s">
        <v>187</v>
      </c>
      <c r="Y283" s="11">
        <v>36</v>
      </c>
      <c r="Z283" s="11" t="s">
        <v>187</v>
      </c>
      <c r="AA283" s="11">
        <v>32</v>
      </c>
      <c r="AB283" s="11" t="s">
        <v>187</v>
      </c>
      <c r="AC283" s="11">
        <v>36</v>
      </c>
      <c r="AD283" s="11" t="s">
        <v>187</v>
      </c>
    </row>
    <row r="284" spans="1:30" x14ac:dyDescent="0.3">
      <c r="A284" s="11" t="s">
        <v>531</v>
      </c>
      <c r="B284" s="11">
        <v>11020</v>
      </c>
      <c r="C284" s="11">
        <v>1</v>
      </c>
      <c r="D284" s="11" t="s">
        <v>478</v>
      </c>
      <c r="E284" s="11" t="s">
        <v>199</v>
      </c>
      <c r="F284" s="11" t="s">
        <v>200</v>
      </c>
      <c r="G284" s="11">
        <v>77</v>
      </c>
      <c r="H284" s="11" t="s">
        <v>201</v>
      </c>
      <c r="I284" s="11">
        <v>65</v>
      </c>
      <c r="J284" s="11" t="s">
        <v>202</v>
      </c>
      <c r="K284" s="11">
        <v>76</v>
      </c>
      <c r="L284" s="11" t="s">
        <v>201</v>
      </c>
      <c r="M284" s="11">
        <v>0</v>
      </c>
      <c r="N284" s="11" t="s">
        <v>188</v>
      </c>
      <c r="O284" s="11">
        <v>5</v>
      </c>
      <c r="P284" s="11" t="s">
        <v>189</v>
      </c>
      <c r="Q284" s="11">
        <v>0</v>
      </c>
      <c r="R284" s="11" t="s">
        <v>203</v>
      </c>
      <c r="S284" s="11">
        <v>85</v>
      </c>
      <c r="T284" s="11" t="s">
        <v>192</v>
      </c>
      <c r="U284" s="11">
        <v>79</v>
      </c>
      <c r="V284" s="11" t="s">
        <v>192</v>
      </c>
      <c r="W284" s="11">
        <v>81</v>
      </c>
      <c r="X284" s="11" t="s">
        <v>192</v>
      </c>
      <c r="Y284" s="11">
        <v>85</v>
      </c>
      <c r="Z284" s="11" t="s">
        <v>192</v>
      </c>
      <c r="AA284" s="11">
        <v>80</v>
      </c>
      <c r="AB284" s="11" t="s">
        <v>192</v>
      </c>
      <c r="AC284" s="11">
        <v>87</v>
      </c>
      <c r="AD284" s="11" t="s">
        <v>192</v>
      </c>
    </row>
    <row r="285" spans="1:30" x14ac:dyDescent="0.3">
      <c r="A285" s="11" t="s">
        <v>531</v>
      </c>
      <c r="B285" s="11">
        <v>11021</v>
      </c>
      <c r="C285" s="11">
        <v>1</v>
      </c>
      <c r="D285" s="11" t="s">
        <v>479</v>
      </c>
      <c r="E285" s="11" t="s">
        <v>205</v>
      </c>
      <c r="F285" s="11" t="s">
        <v>206</v>
      </c>
      <c r="G285" s="11">
        <v>81</v>
      </c>
      <c r="H285" s="11" t="s">
        <v>201</v>
      </c>
      <c r="I285" s="11">
        <v>86</v>
      </c>
      <c r="J285" s="11" t="s">
        <v>201</v>
      </c>
      <c r="K285" s="11">
        <v>76</v>
      </c>
      <c r="L285" s="11" t="s">
        <v>201</v>
      </c>
      <c r="M285" s="11">
        <v>0</v>
      </c>
      <c r="N285" s="11" t="s">
        <v>188</v>
      </c>
      <c r="O285" s="11">
        <v>1</v>
      </c>
      <c r="P285" s="11" t="s">
        <v>197</v>
      </c>
      <c r="Q285" s="11">
        <v>0</v>
      </c>
      <c r="R285" s="11" t="s">
        <v>203</v>
      </c>
      <c r="S285" s="11">
        <v>37</v>
      </c>
      <c r="T285" s="11" t="s">
        <v>187</v>
      </c>
      <c r="U285" s="11">
        <v>37</v>
      </c>
      <c r="V285" s="11" t="s">
        <v>187</v>
      </c>
      <c r="W285" s="11">
        <v>33</v>
      </c>
      <c r="X285" s="11" t="s">
        <v>187</v>
      </c>
      <c r="Y285" s="11">
        <v>36</v>
      </c>
      <c r="Z285" s="11" t="s">
        <v>187</v>
      </c>
      <c r="AA285" s="11">
        <v>32</v>
      </c>
      <c r="AB285" s="11" t="s">
        <v>187</v>
      </c>
      <c r="AC285" s="11">
        <v>36</v>
      </c>
      <c r="AD285" s="11" t="s">
        <v>187</v>
      </c>
    </row>
    <row r="286" spans="1:30" x14ac:dyDescent="0.3">
      <c r="A286" s="11" t="s">
        <v>531</v>
      </c>
      <c r="B286" s="11">
        <v>11022</v>
      </c>
      <c r="C286" s="11">
        <v>1</v>
      </c>
      <c r="D286" s="11" t="s">
        <v>480</v>
      </c>
      <c r="E286" s="11" t="s">
        <v>184</v>
      </c>
      <c r="F286" s="11" t="s">
        <v>185</v>
      </c>
      <c r="G286" s="11">
        <v>23</v>
      </c>
      <c r="H286" s="11" t="s">
        <v>186</v>
      </c>
      <c r="I286" s="11">
        <v>23</v>
      </c>
      <c r="J286" s="11" t="s">
        <v>186</v>
      </c>
      <c r="K286" s="11">
        <v>45</v>
      </c>
      <c r="L286" s="11" t="s">
        <v>187</v>
      </c>
      <c r="M286" s="11">
        <v>0</v>
      </c>
      <c r="N286" s="11" t="s">
        <v>188</v>
      </c>
      <c r="O286" s="11">
        <v>3</v>
      </c>
      <c r="P286" s="11" t="s">
        <v>189</v>
      </c>
      <c r="Q286" s="11">
        <v>3</v>
      </c>
      <c r="R286" s="11" t="s">
        <v>190</v>
      </c>
      <c r="S286" s="11">
        <v>37</v>
      </c>
      <c r="T286" s="11" t="s">
        <v>187</v>
      </c>
      <c r="U286" s="11">
        <v>58</v>
      </c>
      <c r="V286" s="11" t="s">
        <v>191</v>
      </c>
      <c r="W286" s="11">
        <v>45</v>
      </c>
      <c r="X286" s="11" t="s">
        <v>191</v>
      </c>
      <c r="Y286" s="11">
        <v>48</v>
      </c>
      <c r="Z286" s="11" t="s">
        <v>191</v>
      </c>
      <c r="AA286" s="11">
        <v>32</v>
      </c>
      <c r="AB286" s="11" t="s">
        <v>187</v>
      </c>
      <c r="AC286" s="11">
        <v>62</v>
      </c>
      <c r="AD286" s="11" t="s">
        <v>192</v>
      </c>
    </row>
    <row r="287" spans="1:30" x14ac:dyDescent="0.3">
      <c r="A287" s="11" t="s">
        <v>531</v>
      </c>
      <c r="B287" s="11">
        <v>11023</v>
      </c>
      <c r="C287" s="11">
        <v>1</v>
      </c>
      <c r="D287" s="11" t="s">
        <v>481</v>
      </c>
      <c r="E287" s="11" t="s">
        <v>194</v>
      </c>
      <c r="F287" s="11" t="s">
        <v>195</v>
      </c>
      <c r="G287" s="11">
        <v>32</v>
      </c>
      <c r="H287" s="11" t="s">
        <v>196</v>
      </c>
      <c r="I287" s="11">
        <v>31</v>
      </c>
      <c r="J287" s="11" t="s">
        <v>196</v>
      </c>
      <c r="K287" s="11">
        <v>26</v>
      </c>
      <c r="L287" s="11" t="s">
        <v>186</v>
      </c>
      <c r="M287" s="11">
        <v>0</v>
      </c>
      <c r="N287" s="11" t="s">
        <v>188</v>
      </c>
      <c r="O287" s="11">
        <v>1</v>
      </c>
      <c r="P287" s="11" t="s">
        <v>197</v>
      </c>
      <c r="Q287" s="11">
        <v>3</v>
      </c>
      <c r="R287" s="11" t="s">
        <v>190</v>
      </c>
      <c r="S287" s="11">
        <v>37</v>
      </c>
      <c r="T287" s="11" t="s">
        <v>187</v>
      </c>
      <c r="U287" s="11">
        <v>37</v>
      </c>
      <c r="V287" s="11" t="s">
        <v>187</v>
      </c>
      <c r="W287" s="11">
        <v>33</v>
      </c>
      <c r="X287" s="11" t="s">
        <v>187</v>
      </c>
      <c r="Y287" s="11">
        <v>36</v>
      </c>
      <c r="Z287" s="11" t="s">
        <v>187</v>
      </c>
      <c r="AA287" s="11">
        <v>32</v>
      </c>
      <c r="AB287" s="11" t="s">
        <v>187</v>
      </c>
      <c r="AC287" s="11">
        <v>36</v>
      </c>
      <c r="AD287" s="11" t="s">
        <v>187</v>
      </c>
    </row>
    <row r="288" spans="1:30" x14ac:dyDescent="0.3">
      <c r="A288" s="11" t="s">
        <v>531</v>
      </c>
      <c r="B288" s="11">
        <v>11024</v>
      </c>
      <c r="C288" s="11">
        <v>1</v>
      </c>
      <c r="D288" s="11" t="s">
        <v>482</v>
      </c>
      <c r="E288" s="11" t="s">
        <v>199</v>
      </c>
      <c r="F288" s="11" t="s">
        <v>200</v>
      </c>
      <c r="G288" s="11">
        <v>77</v>
      </c>
      <c r="H288" s="11" t="s">
        <v>201</v>
      </c>
      <c r="I288" s="11">
        <v>65</v>
      </c>
      <c r="J288" s="11" t="s">
        <v>202</v>
      </c>
      <c r="K288" s="11">
        <v>76</v>
      </c>
      <c r="L288" s="11" t="s">
        <v>201</v>
      </c>
      <c r="M288" s="11">
        <v>0</v>
      </c>
      <c r="N288" s="11" t="s">
        <v>188</v>
      </c>
      <c r="O288" s="11">
        <v>5</v>
      </c>
      <c r="P288" s="11" t="s">
        <v>189</v>
      </c>
      <c r="Q288" s="11">
        <v>0</v>
      </c>
      <c r="R288" s="11" t="s">
        <v>203</v>
      </c>
      <c r="S288" s="11">
        <v>85</v>
      </c>
      <c r="T288" s="11" t="s">
        <v>192</v>
      </c>
      <c r="U288" s="11">
        <v>79</v>
      </c>
      <c r="V288" s="11" t="s">
        <v>192</v>
      </c>
      <c r="W288" s="11">
        <v>81</v>
      </c>
      <c r="X288" s="11" t="s">
        <v>192</v>
      </c>
      <c r="Y288" s="11">
        <v>85</v>
      </c>
      <c r="Z288" s="11" t="s">
        <v>192</v>
      </c>
      <c r="AA288" s="11">
        <v>80</v>
      </c>
      <c r="AB288" s="11" t="s">
        <v>192</v>
      </c>
      <c r="AC288" s="11">
        <v>87</v>
      </c>
      <c r="AD288" s="11" t="s">
        <v>192</v>
      </c>
    </row>
    <row r="289" spans="1:30" x14ac:dyDescent="0.3">
      <c r="A289" s="11" t="s">
        <v>531</v>
      </c>
      <c r="B289" s="11">
        <v>11025</v>
      </c>
      <c r="C289" s="11">
        <v>1</v>
      </c>
      <c r="D289" s="11" t="s">
        <v>483</v>
      </c>
      <c r="E289" s="11" t="s">
        <v>205</v>
      </c>
      <c r="F289" s="11" t="s">
        <v>206</v>
      </c>
      <c r="G289" s="11">
        <v>81</v>
      </c>
      <c r="H289" s="11" t="s">
        <v>201</v>
      </c>
      <c r="I289" s="11">
        <v>86</v>
      </c>
      <c r="J289" s="11" t="s">
        <v>201</v>
      </c>
      <c r="K289" s="11">
        <v>76</v>
      </c>
      <c r="L289" s="11" t="s">
        <v>201</v>
      </c>
      <c r="M289" s="11">
        <v>0</v>
      </c>
      <c r="N289" s="11" t="s">
        <v>188</v>
      </c>
      <c r="O289" s="11">
        <v>1</v>
      </c>
      <c r="P289" s="11" t="s">
        <v>197</v>
      </c>
      <c r="Q289" s="11">
        <v>0</v>
      </c>
      <c r="R289" s="11" t="s">
        <v>203</v>
      </c>
      <c r="S289" s="11">
        <v>37</v>
      </c>
      <c r="T289" s="11" t="s">
        <v>187</v>
      </c>
      <c r="U289" s="11">
        <v>37</v>
      </c>
      <c r="V289" s="11" t="s">
        <v>187</v>
      </c>
      <c r="W289" s="11">
        <v>33</v>
      </c>
      <c r="X289" s="11" t="s">
        <v>187</v>
      </c>
      <c r="Y289" s="11">
        <v>36</v>
      </c>
      <c r="Z289" s="11" t="s">
        <v>187</v>
      </c>
      <c r="AA289" s="11">
        <v>32</v>
      </c>
      <c r="AB289" s="11" t="s">
        <v>187</v>
      </c>
      <c r="AC289" s="11">
        <v>36</v>
      </c>
      <c r="AD289" s="11" t="s">
        <v>187</v>
      </c>
    </row>
    <row r="290" spans="1:30" x14ac:dyDescent="0.3">
      <c r="A290" s="11" t="s">
        <v>531</v>
      </c>
      <c r="B290" s="11">
        <v>11026</v>
      </c>
      <c r="C290" s="11">
        <v>1</v>
      </c>
      <c r="D290" s="11" t="s">
        <v>484</v>
      </c>
      <c r="E290" s="11" t="s">
        <v>184</v>
      </c>
      <c r="F290" s="11" t="s">
        <v>185</v>
      </c>
      <c r="G290" s="11">
        <v>23</v>
      </c>
      <c r="H290" s="11" t="s">
        <v>186</v>
      </c>
      <c r="I290" s="11">
        <v>23</v>
      </c>
      <c r="J290" s="11" t="s">
        <v>186</v>
      </c>
      <c r="K290" s="11">
        <v>45</v>
      </c>
      <c r="L290" s="11" t="s">
        <v>187</v>
      </c>
      <c r="M290" s="11">
        <v>0</v>
      </c>
      <c r="N290" s="11" t="s">
        <v>188</v>
      </c>
      <c r="O290" s="11">
        <v>3</v>
      </c>
      <c r="P290" s="11" t="s">
        <v>189</v>
      </c>
      <c r="Q290" s="11">
        <v>3</v>
      </c>
      <c r="R290" s="11" t="s">
        <v>190</v>
      </c>
      <c r="S290" s="11">
        <v>37</v>
      </c>
      <c r="T290" s="11" t="s">
        <v>187</v>
      </c>
      <c r="U290" s="11">
        <v>58</v>
      </c>
      <c r="V290" s="11" t="s">
        <v>191</v>
      </c>
      <c r="W290" s="11">
        <v>45</v>
      </c>
      <c r="X290" s="11" t="s">
        <v>191</v>
      </c>
      <c r="Y290" s="11">
        <v>48</v>
      </c>
      <c r="Z290" s="11" t="s">
        <v>191</v>
      </c>
      <c r="AA290" s="11">
        <v>32</v>
      </c>
      <c r="AB290" s="11" t="s">
        <v>187</v>
      </c>
      <c r="AC290" s="11">
        <v>62</v>
      </c>
      <c r="AD290" s="11" t="s">
        <v>192</v>
      </c>
    </row>
    <row r="291" spans="1:30" x14ac:dyDescent="0.3">
      <c r="A291" s="11" t="s">
        <v>531</v>
      </c>
      <c r="B291" s="11">
        <v>11027</v>
      </c>
      <c r="C291" s="11">
        <v>1</v>
      </c>
      <c r="D291" s="11" t="s">
        <v>485</v>
      </c>
      <c r="E291" s="11" t="s">
        <v>194</v>
      </c>
      <c r="F291" s="11" t="s">
        <v>195</v>
      </c>
      <c r="G291" s="11">
        <v>32</v>
      </c>
      <c r="H291" s="11" t="s">
        <v>196</v>
      </c>
      <c r="I291" s="11">
        <v>31</v>
      </c>
      <c r="J291" s="11" t="s">
        <v>196</v>
      </c>
      <c r="K291" s="11">
        <v>26</v>
      </c>
      <c r="L291" s="11" t="s">
        <v>186</v>
      </c>
      <c r="M291" s="11">
        <v>0</v>
      </c>
      <c r="N291" s="11" t="s">
        <v>188</v>
      </c>
      <c r="O291" s="11">
        <v>1</v>
      </c>
      <c r="P291" s="11" t="s">
        <v>197</v>
      </c>
      <c r="Q291" s="11">
        <v>3</v>
      </c>
      <c r="R291" s="11" t="s">
        <v>190</v>
      </c>
      <c r="S291" s="11">
        <v>37</v>
      </c>
      <c r="T291" s="11" t="s">
        <v>187</v>
      </c>
      <c r="U291" s="11">
        <v>37</v>
      </c>
      <c r="V291" s="11" t="s">
        <v>187</v>
      </c>
      <c r="W291" s="11">
        <v>33</v>
      </c>
      <c r="X291" s="11" t="s">
        <v>187</v>
      </c>
      <c r="Y291" s="11">
        <v>36</v>
      </c>
      <c r="Z291" s="11" t="s">
        <v>187</v>
      </c>
      <c r="AA291" s="11">
        <v>32</v>
      </c>
      <c r="AB291" s="11" t="s">
        <v>187</v>
      </c>
      <c r="AC291" s="11">
        <v>36</v>
      </c>
      <c r="AD291" s="11" t="s">
        <v>187</v>
      </c>
    </row>
    <row r="292" spans="1:30" x14ac:dyDescent="0.3">
      <c r="A292" s="11" t="s">
        <v>531</v>
      </c>
      <c r="B292" s="11">
        <v>11028</v>
      </c>
      <c r="C292" s="11">
        <v>1</v>
      </c>
      <c r="D292" s="11" t="s">
        <v>486</v>
      </c>
      <c r="E292" s="11" t="s">
        <v>199</v>
      </c>
      <c r="F292" s="11" t="s">
        <v>200</v>
      </c>
      <c r="G292" s="11">
        <v>77</v>
      </c>
      <c r="H292" s="11" t="s">
        <v>201</v>
      </c>
      <c r="I292" s="11">
        <v>65</v>
      </c>
      <c r="J292" s="11" t="s">
        <v>202</v>
      </c>
      <c r="K292" s="11">
        <v>76</v>
      </c>
      <c r="L292" s="11" t="s">
        <v>201</v>
      </c>
      <c r="M292" s="11">
        <v>0</v>
      </c>
      <c r="N292" s="11" t="s">
        <v>188</v>
      </c>
      <c r="O292" s="11">
        <v>5</v>
      </c>
      <c r="P292" s="11" t="s">
        <v>189</v>
      </c>
      <c r="Q292" s="11">
        <v>0</v>
      </c>
      <c r="R292" s="11" t="s">
        <v>203</v>
      </c>
      <c r="S292" s="11">
        <v>85</v>
      </c>
      <c r="T292" s="11" t="s">
        <v>192</v>
      </c>
      <c r="U292" s="11">
        <v>79</v>
      </c>
      <c r="V292" s="11" t="s">
        <v>192</v>
      </c>
      <c r="W292" s="11">
        <v>81</v>
      </c>
      <c r="X292" s="11" t="s">
        <v>192</v>
      </c>
      <c r="Y292" s="11">
        <v>85</v>
      </c>
      <c r="Z292" s="11" t="s">
        <v>192</v>
      </c>
      <c r="AA292" s="11">
        <v>80</v>
      </c>
      <c r="AB292" s="11" t="s">
        <v>192</v>
      </c>
      <c r="AC292" s="11">
        <v>87</v>
      </c>
      <c r="AD292" s="11" t="s">
        <v>192</v>
      </c>
    </row>
    <row r="293" spans="1:30" x14ac:dyDescent="0.3">
      <c r="A293" s="11" t="s">
        <v>531</v>
      </c>
      <c r="B293" s="11">
        <v>11029</v>
      </c>
      <c r="C293" s="11">
        <v>1</v>
      </c>
      <c r="D293" s="11" t="s">
        <v>487</v>
      </c>
      <c r="E293" s="11" t="s">
        <v>205</v>
      </c>
      <c r="F293" s="11" t="s">
        <v>206</v>
      </c>
      <c r="G293" s="11">
        <v>81</v>
      </c>
      <c r="H293" s="11" t="s">
        <v>201</v>
      </c>
      <c r="I293" s="11">
        <v>86</v>
      </c>
      <c r="J293" s="11" t="s">
        <v>201</v>
      </c>
      <c r="K293" s="11">
        <v>76</v>
      </c>
      <c r="L293" s="11" t="s">
        <v>201</v>
      </c>
      <c r="M293" s="11">
        <v>0</v>
      </c>
      <c r="N293" s="11" t="s">
        <v>188</v>
      </c>
      <c r="O293" s="11">
        <v>1</v>
      </c>
      <c r="P293" s="11" t="s">
        <v>197</v>
      </c>
      <c r="Q293" s="11">
        <v>0</v>
      </c>
      <c r="R293" s="11" t="s">
        <v>203</v>
      </c>
      <c r="S293" s="11">
        <v>37</v>
      </c>
      <c r="T293" s="11" t="s">
        <v>187</v>
      </c>
      <c r="U293" s="11">
        <v>37</v>
      </c>
      <c r="V293" s="11" t="s">
        <v>187</v>
      </c>
      <c r="W293" s="11">
        <v>33</v>
      </c>
      <c r="X293" s="11" t="s">
        <v>187</v>
      </c>
      <c r="Y293" s="11">
        <v>36</v>
      </c>
      <c r="Z293" s="11" t="s">
        <v>187</v>
      </c>
      <c r="AA293" s="11">
        <v>32</v>
      </c>
      <c r="AB293" s="11" t="s">
        <v>187</v>
      </c>
      <c r="AC293" s="11">
        <v>36</v>
      </c>
      <c r="AD293" s="11" t="s">
        <v>187</v>
      </c>
    </row>
    <row r="294" spans="1:30" x14ac:dyDescent="0.3">
      <c r="A294" s="11" t="s">
        <v>531</v>
      </c>
      <c r="B294" s="11">
        <v>11030</v>
      </c>
      <c r="C294" s="11">
        <v>1</v>
      </c>
      <c r="D294" s="11" t="s">
        <v>488</v>
      </c>
      <c r="E294" s="11" t="s">
        <v>184</v>
      </c>
      <c r="F294" s="11" t="s">
        <v>185</v>
      </c>
      <c r="G294" s="11">
        <v>81</v>
      </c>
      <c r="H294" s="11" t="s">
        <v>201</v>
      </c>
      <c r="I294" s="11">
        <v>86</v>
      </c>
      <c r="J294" s="11" t="s">
        <v>201</v>
      </c>
      <c r="K294" s="11">
        <v>76</v>
      </c>
      <c r="L294" s="11" t="s">
        <v>201</v>
      </c>
      <c r="M294" s="11">
        <v>0</v>
      </c>
      <c r="N294" s="11" t="s">
        <v>188</v>
      </c>
      <c r="O294" s="11">
        <v>1</v>
      </c>
      <c r="P294" s="11" t="s">
        <v>197</v>
      </c>
      <c r="Q294" s="11">
        <v>0</v>
      </c>
      <c r="R294" s="11" t="s">
        <v>203</v>
      </c>
      <c r="S294" s="11">
        <v>37</v>
      </c>
      <c r="T294" s="11" t="s">
        <v>187</v>
      </c>
      <c r="U294" s="11">
        <v>37</v>
      </c>
      <c r="V294" s="11" t="s">
        <v>187</v>
      </c>
      <c r="W294" s="11">
        <v>33</v>
      </c>
      <c r="X294" s="11" t="s">
        <v>187</v>
      </c>
      <c r="Y294" s="11">
        <v>36</v>
      </c>
      <c r="Z294" s="11" t="s">
        <v>187</v>
      </c>
      <c r="AA294" s="11">
        <v>32</v>
      </c>
      <c r="AB294" s="11" t="s">
        <v>187</v>
      </c>
      <c r="AC294" s="11">
        <v>36</v>
      </c>
      <c r="AD294" s="11" t="s">
        <v>187</v>
      </c>
    </row>
    <row r="295" spans="1:30" x14ac:dyDescent="0.3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</row>
    <row r="296" spans="1:30" x14ac:dyDescent="0.3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</row>
    <row r="297" spans="1:30" x14ac:dyDescent="0.3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</row>
    <row r="298" spans="1:30" x14ac:dyDescent="0.3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</row>
    <row r="299" spans="1:30" x14ac:dyDescent="0.3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</row>
    <row r="300" spans="1:30" x14ac:dyDescent="0.3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</row>
    <row r="301" spans="1:30" x14ac:dyDescent="0.3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</row>
    <row r="302" spans="1:30" x14ac:dyDescent="0.3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</row>
    <row r="303" spans="1:30" x14ac:dyDescent="0.3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</row>
    <row r="304" spans="1:30" x14ac:dyDescent="0.3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</row>
    <row r="305" spans="1:30" x14ac:dyDescent="0.3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</row>
    <row r="306" spans="1:30" x14ac:dyDescent="0.3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</row>
    <row r="307" spans="1:30" x14ac:dyDescent="0.3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</row>
    <row r="308" spans="1:30" x14ac:dyDescent="0.3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</row>
    <row r="309" spans="1:30" x14ac:dyDescent="0.3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</row>
    <row r="310" spans="1:30" x14ac:dyDescent="0.3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</row>
    <row r="311" spans="1:30" x14ac:dyDescent="0.3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</row>
    <row r="312" spans="1:30" x14ac:dyDescent="0.3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</row>
    <row r="313" spans="1:30" x14ac:dyDescent="0.3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</row>
    <row r="314" spans="1:30" x14ac:dyDescent="0.3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</row>
    <row r="315" spans="1:30" x14ac:dyDescent="0.3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</row>
    <row r="316" spans="1:30" x14ac:dyDescent="0.3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</row>
    <row r="317" spans="1:30" x14ac:dyDescent="0.3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</row>
    <row r="318" spans="1:30" x14ac:dyDescent="0.3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</row>
    <row r="319" spans="1:30" x14ac:dyDescent="0.3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</row>
    <row r="320" spans="1:30" x14ac:dyDescent="0.3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</row>
    <row r="321" spans="1:30" x14ac:dyDescent="0.3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</row>
    <row r="322" spans="1:30" x14ac:dyDescent="0.3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</row>
    <row r="323" spans="1:30" x14ac:dyDescent="0.3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</row>
    <row r="324" spans="1:30" x14ac:dyDescent="0.3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</row>
    <row r="325" spans="1:30" x14ac:dyDescent="0.3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</row>
    <row r="326" spans="1:30" x14ac:dyDescent="0.3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</row>
    <row r="327" spans="1:30" x14ac:dyDescent="0.3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</row>
    <row r="328" spans="1:30" x14ac:dyDescent="0.3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</row>
    <row r="329" spans="1:30" x14ac:dyDescent="0.3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</row>
    <row r="330" spans="1:30" x14ac:dyDescent="0.3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</row>
    <row r="331" spans="1:30" x14ac:dyDescent="0.3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</row>
    <row r="332" spans="1:30" x14ac:dyDescent="0.3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</row>
    <row r="333" spans="1:30" x14ac:dyDescent="0.3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</row>
    <row r="334" spans="1:30" x14ac:dyDescent="0.3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</row>
    <row r="335" spans="1:30" x14ac:dyDescent="0.3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</row>
    <row r="336" spans="1:30" x14ac:dyDescent="0.3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</row>
    <row r="337" spans="1:30" x14ac:dyDescent="0.3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</row>
    <row r="338" spans="1:30" x14ac:dyDescent="0.3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</row>
    <row r="339" spans="1:30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</row>
    <row r="340" spans="1:30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</row>
    <row r="341" spans="1:30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</row>
    <row r="342" spans="1:30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</row>
    <row r="343" spans="1:30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</row>
    <row r="344" spans="1:30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</row>
    <row r="345" spans="1:30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</row>
    <row r="346" spans="1:30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</row>
    <row r="347" spans="1:30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</row>
    <row r="348" spans="1:30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</row>
    <row r="349" spans="1:30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</row>
    <row r="350" spans="1:30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</row>
    <row r="351" spans="1:30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</row>
    <row r="352" spans="1:30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</row>
    <row r="353" spans="1:30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</row>
    <row r="354" spans="1:30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</row>
    <row r="355" spans="1:30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</row>
    <row r="356" spans="1:30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</row>
    <row r="357" spans="1:30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</row>
    <row r="358" spans="1:30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</row>
    <row r="359" spans="1:30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</row>
    <row r="360" spans="1:30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</row>
    <row r="361" spans="1:30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</row>
    <row r="362" spans="1:30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</row>
    <row r="363" spans="1:30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</row>
    <row r="364" spans="1:30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</row>
    <row r="365" spans="1:30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</row>
    <row r="366" spans="1:30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</row>
    <row r="367" spans="1:30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</row>
    <row r="368" spans="1:30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</row>
    <row r="369" spans="1:30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</row>
    <row r="370" spans="1:30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</row>
    <row r="371" spans="1:30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</row>
    <row r="372" spans="1:30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</row>
    <row r="373" spans="1:30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</row>
    <row r="374" spans="1:30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</row>
    <row r="375" spans="1:30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</row>
    <row r="376" spans="1:30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</row>
    <row r="377" spans="1:30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</row>
    <row r="378" spans="1:30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</row>
    <row r="379" spans="1:30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</row>
    <row r="380" spans="1:30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</row>
    <row r="381" spans="1:30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</row>
    <row r="382" spans="1:30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</row>
    <row r="383" spans="1:30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</row>
    <row r="384" spans="1:30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</row>
    <row r="385" spans="1:30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</row>
    <row r="386" spans="1:30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</row>
    <row r="387" spans="1:30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</row>
    <row r="388" spans="1:30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</row>
    <row r="389" spans="1:30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</row>
    <row r="390" spans="1:30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</row>
    <row r="391" spans="1:30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</row>
    <row r="392" spans="1:30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</row>
    <row r="393" spans="1:30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</row>
    <row r="394" spans="1:30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</row>
    <row r="395" spans="1:30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</row>
    <row r="396" spans="1:30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</row>
    <row r="397" spans="1:30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</row>
    <row r="398" spans="1:30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</row>
    <row r="399" spans="1:30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</row>
    <row r="400" spans="1:30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</row>
    <row r="401" spans="1:30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</row>
    <row r="402" spans="1:30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</row>
    <row r="403" spans="1:30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</row>
    <row r="404" spans="1:30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</row>
    <row r="405" spans="1:30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</row>
    <row r="406" spans="1:30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</row>
    <row r="407" spans="1:30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</row>
    <row r="408" spans="1:30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</row>
    <row r="409" spans="1:30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</row>
    <row r="410" spans="1:30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</row>
    <row r="411" spans="1:30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</row>
    <row r="412" spans="1:30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</row>
    <row r="413" spans="1:30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</row>
    <row r="414" spans="1:30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</row>
    <row r="415" spans="1:30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</row>
    <row r="416" spans="1:30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</row>
    <row r="417" spans="1:30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</row>
    <row r="418" spans="1:30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</row>
    <row r="419" spans="1:30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</row>
    <row r="420" spans="1:30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</row>
    <row r="421" spans="1:30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</row>
    <row r="422" spans="1:30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</row>
    <row r="423" spans="1:30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</row>
    <row r="424" spans="1:30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</row>
    <row r="425" spans="1:30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</row>
    <row r="426" spans="1:30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</row>
    <row r="427" spans="1:30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</row>
    <row r="428" spans="1:30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</row>
    <row r="429" spans="1:30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</row>
    <row r="430" spans="1:30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</row>
    <row r="431" spans="1:30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</row>
    <row r="432" spans="1:30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</row>
    <row r="433" spans="1:30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</row>
    <row r="434" spans="1:30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</row>
    <row r="435" spans="1:30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</row>
    <row r="436" spans="1:30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</row>
    <row r="437" spans="1:30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</row>
    <row r="438" spans="1:30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</row>
    <row r="439" spans="1:30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</row>
    <row r="440" spans="1:30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</row>
    <row r="441" spans="1:30" x14ac:dyDescent="0.3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</row>
    <row r="442" spans="1:30" x14ac:dyDescent="0.3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</row>
    <row r="443" spans="1:30" x14ac:dyDescent="0.3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</row>
    <row r="444" spans="1:30" x14ac:dyDescent="0.3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</row>
    <row r="445" spans="1:30" x14ac:dyDescent="0.3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</row>
    <row r="446" spans="1:30" x14ac:dyDescent="0.3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</row>
    <row r="447" spans="1:30" x14ac:dyDescent="0.3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</row>
    <row r="448" spans="1:30" x14ac:dyDescent="0.3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</row>
    <row r="449" spans="1:30" x14ac:dyDescent="0.3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</row>
    <row r="450" spans="1:30" x14ac:dyDescent="0.3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</row>
    <row r="451" spans="1:30" x14ac:dyDescent="0.3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</row>
    <row r="452" spans="1:30" x14ac:dyDescent="0.3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</row>
    <row r="453" spans="1:30" x14ac:dyDescent="0.3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</row>
    <row r="454" spans="1:30" x14ac:dyDescent="0.3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</row>
    <row r="455" spans="1:30" x14ac:dyDescent="0.3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</row>
    <row r="456" spans="1:30" x14ac:dyDescent="0.3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</row>
    <row r="457" spans="1:30" x14ac:dyDescent="0.3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</row>
    <row r="458" spans="1:30" x14ac:dyDescent="0.3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</row>
    <row r="459" spans="1:30" x14ac:dyDescent="0.3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</row>
    <row r="460" spans="1:30" x14ac:dyDescent="0.3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</row>
    <row r="461" spans="1:30" x14ac:dyDescent="0.3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</row>
    <row r="462" spans="1:30" x14ac:dyDescent="0.3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</row>
    <row r="463" spans="1:30" x14ac:dyDescent="0.3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</row>
    <row r="464" spans="1:30" x14ac:dyDescent="0.3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</row>
    <row r="465" spans="1:30" x14ac:dyDescent="0.3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</row>
    <row r="466" spans="1:30" x14ac:dyDescent="0.3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</row>
    <row r="467" spans="1:30" x14ac:dyDescent="0.3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</row>
    <row r="468" spans="1:30" x14ac:dyDescent="0.3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</row>
    <row r="469" spans="1:30" x14ac:dyDescent="0.3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</row>
    <row r="470" spans="1:30" x14ac:dyDescent="0.3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</row>
    <row r="471" spans="1:30" x14ac:dyDescent="0.3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</row>
    <row r="472" spans="1:30" x14ac:dyDescent="0.3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</row>
    <row r="473" spans="1:30" x14ac:dyDescent="0.3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</row>
    <row r="474" spans="1:30" x14ac:dyDescent="0.3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</row>
    <row r="475" spans="1:30" x14ac:dyDescent="0.3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</row>
    <row r="476" spans="1:30" x14ac:dyDescent="0.3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</row>
    <row r="477" spans="1:30" x14ac:dyDescent="0.3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</row>
    <row r="478" spans="1:30" x14ac:dyDescent="0.3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</row>
    <row r="479" spans="1:30" x14ac:dyDescent="0.3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</row>
    <row r="480" spans="1:30" x14ac:dyDescent="0.3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</row>
    <row r="481" spans="1:30" x14ac:dyDescent="0.3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</row>
    <row r="482" spans="1:30" x14ac:dyDescent="0.3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</row>
    <row r="483" spans="1:30" x14ac:dyDescent="0.3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</row>
    <row r="484" spans="1:30" x14ac:dyDescent="0.3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</row>
    <row r="485" spans="1:30" x14ac:dyDescent="0.3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</row>
    <row r="486" spans="1:30" x14ac:dyDescent="0.3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</row>
    <row r="487" spans="1:30" x14ac:dyDescent="0.3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</row>
    <row r="488" spans="1:30" x14ac:dyDescent="0.3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</row>
    <row r="489" spans="1:30" x14ac:dyDescent="0.3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</row>
    <row r="490" spans="1:30" x14ac:dyDescent="0.3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</row>
    <row r="491" spans="1:30" x14ac:dyDescent="0.3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</row>
    <row r="492" spans="1:30" x14ac:dyDescent="0.3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</row>
    <row r="493" spans="1:30" x14ac:dyDescent="0.3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</row>
    <row r="494" spans="1:30" x14ac:dyDescent="0.3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</row>
    <row r="495" spans="1:30" x14ac:dyDescent="0.3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</row>
    <row r="496" spans="1:30" x14ac:dyDescent="0.3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</row>
    <row r="497" spans="1:30" x14ac:dyDescent="0.3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</row>
    <row r="498" spans="1:30" x14ac:dyDescent="0.3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</row>
    <row r="499" spans="1:30" x14ac:dyDescent="0.3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</row>
  </sheetData>
  <phoneticPr fontId="3" type="noConversion"/>
  <pageMargins left="0.75" right="0.75" top="1" bottom="1" header="0.5" footer="0.5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623C-D242-4CCA-95F6-AFA4B6F59014}">
  <sheetPr codeName="Sheet11"/>
  <dimension ref="A1:S499"/>
  <sheetViews>
    <sheetView showGridLines="0" zoomScale="71" zoomScaleNormal="71" workbookViewId="0">
      <selection sqref="A1:S600"/>
    </sheetView>
  </sheetViews>
  <sheetFormatPr defaultRowHeight="16.5" x14ac:dyDescent="0.3"/>
  <cols>
    <col min="1" max="1" width="6.875" bestFit="1" customWidth="1"/>
    <col min="2" max="2" width="10" bestFit="1" customWidth="1"/>
    <col min="3" max="4" width="5.25" bestFit="1" customWidth="1"/>
    <col min="5" max="7" width="5.25" customWidth="1"/>
    <col min="8" max="8" width="11.125" bestFit="1" customWidth="1"/>
    <col min="9" max="9" width="15.25" bestFit="1" customWidth="1"/>
    <col min="10" max="10" width="11.125" bestFit="1" customWidth="1"/>
    <col min="11" max="11" width="7.375" bestFit="1" customWidth="1"/>
    <col min="12" max="12" width="11.25" bestFit="1" customWidth="1"/>
    <col min="13" max="13" width="14.625" bestFit="1" customWidth="1"/>
    <col min="14" max="14" width="9.875" bestFit="1" customWidth="1"/>
    <col min="15" max="15" width="14" bestFit="1" customWidth="1"/>
    <col min="16" max="17" width="11.875" bestFit="1" customWidth="1"/>
    <col min="18" max="18" width="20.875" bestFit="1" customWidth="1"/>
    <col min="19" max="19" width="14" bestFit="1" customWidth="1"/>
  </cols>
  <sheetData>
    <row r="1" spans="1:19" x14ac:dyDescent="0.3">
      <c r="A1" s="106" t="s">
        <v>11</v>
      </c>
      <c r="B1" s="106" t="s">
        <v>0</v>
      </c>
      <c r="C1" s="106" t="s">
        <v>114</v>
      </c>
      <c r="D1" s="106" t="s">
        <v>3</v>
      </c>
      <c r="E1" s="106" t="s">
        <v>18</v>
      </c>
      <c r="F1" s="106" t="s">
        <v>19</v>
      </c>
      <c r="G1" s="106" t="s">
        <v>20</v>
      </c>
      <c r="H1" s="105" t="s">
        <v>117</v>
      </c>
      <c r="I1" s="105" t="s">
        <v>119</v>
      </c>
      <c r="J1" s="105" t="s">
        <v>121</v>
      </c>
      <c r="K1" s="105" t="s">
        <v>123</v>
      </c>
      <c r="L1" s="105" t="s">
        <v>125</v>
      </c>
      <c r="M1" s="105" t="s">
        <v>127</v>
      </c>
      <c r="N1" s="105" t="s">
        <v>130</v>
      </c>
      <c r="O1" s="105" t="s">
        <v>132</v>
      </c>
      <c r="P1" s="105" t="s">
        <v>134</v>
      </c>
      <c r="Q1" s="105" t="s">
        <v>136</v>
      </c>
      <c r="R1" s="105" t="s">
        <v>138</v>
      </c>
      <c r="S1" s="105" t="s">
        <v>140</v>
      </c>
    </row>
    <row r="2" spans="1:19" x14ac:dyDescent="0.3">
      <c r="A2" s="11" t="s">
        <v>531</v>
      </c>
      <c r="B2" s="11">
        <v>10101</v>
      </c>
      <c r="C2" s="11">
        <v>2</v>
      </c>
      <c r="D2" s="11" t="s">
        <v>183</v>
      </c>
      <c r="E2" s="11"/>
      <c r="F2" s="11"/>
      <c r="G2" s="11"/>
      <c r="H2" s="11">
        <v>23</v>
      </c>
      <c r="I2" s="11">
        <v>23</v>
      </c>
      <c r="J2" s="11">
        <v>45</v>
      </c>
      <c r="K2" s="11">
        <v>0</v>
      </c>
      <c r="L2" s="11">
        <v>3</v>
      </c>
      <c r="M2" s="11">
        <v>3</v>
      </c>
      <c r="N2" s="11" t="s">
        <v>187</v>
      </c>
      <c r="O2" s="11" t="s">
        <v>191</v>
      </c>
      <c r="P2" s="11" t="s">
        <v>191</v>
      </c>
      <c r="Q2" s="2" t="s">
        <v>191</v>
      </c>
      <c r="R2" s="2" t="s">
        <v>187</v>
      </c>
      <c r="S2" s="2" t="s">
        <v>192</v>
      </c>
    </row>
    <row r="3" spans="1:19" x14ac:dyDescent="0.3">
      <c r="A3" s="11" t="s">
        <v>531</v>
      </c>
      <c r="B3" s="11">
        <v>10102</v>
      </c>
      <c r="C3" s="11">
        <v>2</v>
      </c>
      <c r="D3" s="11" t="s">
        <v>193</v>
      </c>
      <c r="E3" s="11"/>
      <c r="F3" s="11"/>
      <c r="G3" s="11"/>
      <c r="H3" s="11">
        <v>32</v>
      </c>
      <c r="I3" s="11">
        <v>31</v>
      </c>
      <c r="J3" s="11">
        <v>26</v>
      </c>
      <c r="K3" s="11">
        <v>0</v>
      </c>
      <c r="L3" s="11">
        <v>1</v>
      </c>
      <c r="M3" s="11">
        <v>3</v>
      </c>
      <c r="N3" s="11" t="s">
        <v>187</v>
      </c>
      <c r="O3" s="11" t="s">
        <v>187</v>
      </c>
      <c r="P3" s="11" t="s">
        <v>187</v>
      </c>
      <c r="Q3" s="2" t="s">
        <v>187</v>
      </c>
      <c r="R3" s="2" t="s">
        <v>187</v>
      </c>
      <c r="S3" s="2" t="s">
        <v>187</v>
      </c>
    </row>
    <row r="4" spans="1:19" x14ac:dyDescent="0.3">
      <c r="A4" s="11" t="s">
        <v>531</v>
      </c>
      <c r="B4" s="11">
        <v>10103</v>
      </c>
      <c r="C4" s="11">
        <v>2</v>
      </c>
      <c r="D4" s="11" t="s">
        <v>198</v>
      </c>
      <c r="E4" s="11"/>
      <c r="F4" s="11"/>
      <c r="G4" s="11"/>
      <c r="H4" s="11">
        <v>77</v>
      </c>
      <c r="I4" s="11">
        <v>65</v>
      </c>
      <c r="J4" s="11">
        <v>76</v>
      </c>
      <c r="K4" s="11">
        <v>0</v>
      </c>
      <c r="L4" s="11">
        <v>5</v>
      </c>
      <c r="M4" s="11">
        <v>0</v>
      </c>
      <c r="N4" s="11" t="s">
        <v>192</v>
      </c>
      <c r="O4" s="11" t="s">
        <v>192</v>
      </c>
      <c r="P4" s="11" t="s">
        <v>192</v>
      </c>
      <c r="Q4" s="2" t="s">
        <v>192</v>
      </c>
      <c r="R4" s="2" t="s">
        <v>192</v>
      </c>
      <c r="S4" s="2" t="s">
        <v>192</v>
      </c>
    </row>
    <row r="5" spans="1:19" x14ac:dyDescent="0.3">
      <c r="A5" s="11" t="s">
        <v>531</v>
      </c>
      <c r="B5" s="11">
        <v>10104</v>
      </c>
      <c r="C5" s="11">
        <v>2</v>
      </c>
      <c r="D5" s="11" t="s">
        <v>204</v>
      </c>
      <c r="E5" s="11"/>
      <c r="F5" s="11"/>
      <c r="G5" s="11"/>
      <c r="H5" s="11">
        <v>81</v>
      </c>
      <c r="I5" s="11">
        <v>86</v>
      </c>
      <c r="J5" s="11">
        <v>76</v>
      </c>
      <c r="K5" s="11">
        <v>0</v>
      </c>
      <c r="L5" s="11">
        <v>1</v>
      </c>
      <c r="M5" s="11">
        <v>0</v>
      </c>
      <c r="N5" s="11" t="s">
        <v>187</v>
      </c>
      <c r="O5" s="11" t="s">
        <v>187</v>
      </c>
      <c r="P5" s="11" t="s">
        <v>187</v>
      </c>
      <c r="Q5" s="2" t="s">
        <v>187</v>
      </c>
      <c r="R5" s="2" t="s">
        <v>187</v>
      </c>
      <c r="S5" s="2" t="s">
        <v>187</v>
      </c>
    </row>
    <row r="6" spans="1:19" x14ac:dyDescent="0.3">
      <c r="A6" s="11" t="s">
        <v>531</v>
      </c>
      <c r="B6" s="11">
        <v>10105</v>
      </c>
      <c r="C6" s="11">
        <v>2</v>
      </c>
      <c r="D6" s="11" t="s">
        <v>207</v>
      </c>
      <c r="E6" s="11"/>
      <c r="F6" s="11"/>
      <c r="G6" s="11"/>
      <c r="H6" s="11">
        <v>23</v>
      </c>
      <c r="I6" s="11">
        <v>23</v>
      </c>
      <c r="J6" s="11">
        <v>45</v>
      </c>
      <c r="K6" s="11">
        <v>0</v>
      </c>
      <c r="L6" s="11">
        <v>3</v>
      </c>
      <c r="M6" s="11">
        <v>3</v>
      </c>
      <c r="N6" s="11" t="s">
        <v>187</v>
      </c>
      <c r="O6" s="11" t="s">
        <v>191</v>
      </c>
      <c r="P6" s="11" t="s">
        <v>191</v>
      </c>
      <c r="Q6" s="2" t="s">
        <v>191</v>
      </c>
      <c r="R6" s="2" t="s">
        <v>187</v>
      </c>
      <c r="S6" s="2" t="s">
        <v>192</v>
      </c>
    </row>
    <row r="7" spans="1:19" x14ac:dyDescent="0.3">
      <c r="A7" s="11" t="s">
        <v>531</v>
      </c>
      <c r="B7" s="11">
        <v>10106</v>
      </c>
      <c r="C7" s="11">
        <v>2</v>
      </c>
      <c r="D7" s="11" t="s">
        <v>208</v>
      </c>
      <c r="E7" s="11"/>
      <c r="F7" s="11"/>
      <c r="G7" s="11"/>
      <c r="H7" s="11">
        <v>32</v>
      </c>
      <c r="I7" s="11">
        <v>31</v>
      </c>
      <c r="J7" s="11">
        <v>26</v>
      </c>
      <c r="K7" s="11">
        <v>0</v>
      </c>
      <c r="L7" s="11">
        <v>1</v>
      </c>
      <c r="M7" s="11">
        <v>3</v>
      </c>
      <c r="N7" s="11" t="s">
        <v>187</v>
      </c>
      <c r="O7" s="11" t="s">
        <v>187</v>
      </c>
      <c r="P7" s="11" t="s">
        <v>187</v>
      </c>
      <c r="Q7" s="2" t="s">
        <v>187</v>
      </c>
      <c r="R7" s="2" t="s">
        <v>187</v>
      </c>
      <c r="S7" s="2" t="s">
        <v>187</v>
      </c>
    </row>
    <row r="8" spans="1:19" x14ac:dyDescent="0.3">
      <c r="A8" s="11" t="s">
        <v>531</v>
      </c>
      <c r="B8" s="11">
        <v>10107</v>
      </c>
      <c r="C8" s="11">
        <v>2</v>
      </c>
      <c r="D8" s="11" t="s">
        <v>209</v>
      </c>
      <c r="E8" s="11"/>
      <c r="F8" s="11"/>
      <c r="G8" s="11"/>
      <c r="H8" s="11">
        <v>77</v>
      </c>
      <c r="I8" s="11">
        <v>65</v>
      </c>
      <c r="J8" s="11">
        <v>76</v>
      </c>
      <c r="K8" s="11">
        <v>0</v>
      </c>
      <c r="L8" s="11">
        <v>5</v>
      </c>
      <c r="M8" s="11">
        <v>0</v>
      </c>
      <c r="N8" s="11" t="s">
        <v>192</v>
      </c>
      <c r="O8" s="11" t="s">
        <v>192</v>
      </c>
      <c r="P8" s="11" t="s">
        <v>192</v>
      </c>
      <c r="Q8" s="2" t="s">
        <v>192</v>
      </c>
      <c r="R8" s="2" t="s">
        <v>192</v>
      </c>
      <c r="S8" s="2" t="s">
        <v>192</v>
      </c>
    </row>
    <row r="9" spans="1:19" x14ac:dyDescent="0.3">
      <c r="A9" s="11" t="s">
        <v>531</v>
      </c>
      <c r="B9" s="11">
        <v>10108</v>
      </c>
      <c r="C9" s="11">
        <v>2</v>
      </c>
      <c r="D9" s="11" t="s">
        <v>210</v>
      </c>
      <c r="E9" s="11"/>
      <c r="F9" s="11"/>
      <c r="G9" s="11"/>
      <c r="H9" s="11">
        <v>81</v>
      </c>
      <c r="I9" s="11">
        <v>86</v>
      </c>
      <c r="J9" s="11">
        <v>76</v>
      </c>
      <c r="K9" s="11">
        <v>0</v>
      </c>
      <c r="L9" s="11">
        <v>1</v>
      </c>
      <c r="M9" s="11">
        <v>0</v>
      </c>
      <c r="N9" s="11" t="s">
        <v>187</v>
      </c>
      <c r="O9" s="11" t="s">
        <v>187</v>
      </c>
      <c r="P9" s="11" t="s">
        <v>187</v>
      </c>
      <c r="Q9" s="2" t="s">
        <v>187</v>
      </c>
      <c r="R9" s="2" t="s">
        <v>187</v>
      </c>
      <c r="S9" s="2" t="s">
        <v>187</v>
      </c>
    </row>
    <row r="10" spans="1:19" x14ac:dyDescent="0.3">
      <c r="A10" s="11" t="s">
        <v>531</v>
      </c>
      <c r="B10" s="11">
        <v>10109</v>
      </c>
      <c r="C10" s="11">
        <v>2</v>
      </c>
      <c r="D10" s="11" t="s">
        <v>211</v>
      </c>
      <c r="E10" s="11"/>
      <c r="F10" s="11"/>
      <c r="G10" s="11"/>
      <c r="H10" s="11">
        <v>23</v>
      </c>
      <c r="I10" s="11">
        <v>23</v>
      </c>
      <c r="J10" s="11">
        <v>45</v>
      </c>
      <c r="K10" s="11">
        <v>0</v>
      </c>
      <c r="L10" s="11">
        <v>3</v>
      </c>
      <c r="M10" s="11">
        <v>3</v>
      </c>
      <c r="N10" s="11" t="s">
        <v>187</v>
      </c>
      <c r="O10" s="11" t="s">
        <v>191</v>
      </c>
      <c r="P10" s="11" t="s">
        <v>191</v>
      </c>
      <c r="Q10" s="2" t="s">
        <v>191</v>
      </c>
      <c r="R10" s="2" t="s">
        <v>187</v>
      </c>
      <c r="S10" s="2" t="s">
        <v>192</v>
      </c>
    </row>
    <row r="11" spans="1:19" x14ac:dyDescent="0.3">
      <c r="A11" s="11" t="s">
        <v>531</v>
      </c>
      <c r="B11" s="11">
        <v>10110</v>
      </c>
      <c r="C11" s="11">
        <v>2</v>
      </c>
      <c r="D11" s="11" t="s">
        <v>212</v>
      </c>
      <c r="E11" s="11"/>
      <c r="F11" s="11"/>
      <c r="G11" s="11"/>
      <c r="H11" s="11">
        <v>32</v>
      </c>
      <c r="I11" s="11">
        <v>31</v>
      </c>
      <c r="J11" s="11">
        <v>26</v>
      </c>
      <c r="K11" s="11">
        <v>0</v>
      </c>
      <c r="L11" s="11">
        <v>1</v>
      </c>
      <c r="M11" s="11">
        <v>3</v>
      </c>
      <c r="N11" s="11" t="s">
        <v>187</v>
      </c>
      <c r="O11" s="11" t="s">
        <v>187</v>
      </c>
      <c r="P11" s="11" t="s">
        <v>187</v>
      </c>
      <c r="Q11" s="2" t="s">
        <v>187</v>
      </c>
      <c r="R11" s="2" t="s">
        <v>187</v>
      </c>
      <c r="S11" s="2" t="s">
        <v>187</v>
      </c>
    </row>
    <row r="12" spans="1:19" x14ac:dyDescent="0.3">
      <c r="A12" s="11" t="s">
        <v>531</v>
      </c>
      <c r="B12" s="11">
        <v>10111</v>
      </c>
      <c r="C12" s="11">
        <v>2</v>
      </c>
      <c r="D12" s="11" t="s">
        <v>213</v>
      </c>
      <c r="E12" s="11"/>
      <c r="F12" s="11"/>
      <c r="G12" s="11"/>
      <c r="H12" s="11">
        <v>77</v>
      </c>
      <c r="I12" s="11">
        <v>65</v>
      </c>
      <c r="J12" s="11">
        <v>76</v>
      </c>
      <c r="K12" s="11">
        <v>0</v>
      </c>
      <c r="L12" s="11">
        <v>5</v>
      </c>
      <c r="M12" s="11">
        <v>0</v>
      </c>
      <c r="N12" s="11" t="s">
        <v>192</v>
      </c>
      <c r="O12" s="11" t="s">
        <v>192</v>
      </c>
      <c r="P12" s="11" t="s">
        <v>192</v>
      </c>
      <c r="Q12" s="2" t="s">
        <v>192</v>
      </c>
      <c r="R12" s="2" t="s">
        <v>192</v>
      </c>
      <c r="S12" s="2" t="s">
        <v>192</v>
      </c>
    </row>
    <row r="13" spans="1:19" x14ac:dyDescent="0.3">
      <c r="A13" s="11" t="s">
        <v>531</v>
      </c>
      <c r="B13" s="11">
        <v>10112</v>
      </c>
      <c r="C13" s="11">
        <v>2</v>
      </c>
      <c r="D13" s="11" t="s">
        <v>214</v>
      </c>
      <c r="E13" s="11"/>
      <c r="F13" s="11"/>
      <c r="G13" s="11"/>
      <c r="H13" s="11">
        <v>81</v>
      </c>
      <c r="I13" s="11">
        <v>86</v>
      </c>
      <c r="J13" s="11">
        <v>76</v>
      </c>
      <c r="K13" s="11">
        <v>0</v>
      </c>
      <c r="L13" s="11">
        <v>1</v>
      </c>
      <c r="M13" s="11">
        <v>0</v>
      </c>
      <c r="N13" s="11" t="s">
        <v>187</v>
      </c>
      <c r="O13" s="11" t="s">
        <v>187</v>
      </c>
      <c r="P13" s="11" t="s">
        <v>187</v>
      </c>
      <c r="Q13" s="2" t="s">
        <v>187</v>
      </c>
      <c r="R13" s="2" t="s">
        <v>187</v>
      </c>
      <c r="S13" s="2" t="s">
        <v>187</v>
      </c>
    </row>
    <row r="14" spans="1:19" x14ac:dyDescent="0.3">
      <c r="A14" s="11" t="s">
        <v>531</v>
      </c>
      <c r="B14" s="11">
        <v>10113</v>
      </c>
      <c r="C14" s="11">
        <v>2</v>
      </c>
      <c r="D14" s="11" t="s">
        <v>215</v>
      </c>
      <c r="E14" s="11"/>
      <c r="F14" s="11"/>
      <c r="G14" s="11"/>
      <c r="H14" s="11">
        <v>23</v>
      </c>
      <c r="I14" s="11">
        <v>23</v>
      </c>
      <c r="J14" s="11">
        <v>45</v>
      </c>
      <c r="K14" s="11">
        <v>0</v>
      </c>
      <c r="L14" s="11">
        <v>3</v>
      </c>
      <c r="M14" s="11">
        <v>3</v>
      </c>
      <c r="N14" s="11" t="s">
        <v>187</v>
      </c>
      <c r="O14" s="11" t="s">
        <v>191</v>
      </c>
      <c r="P14" s="11" t="s">
        <v>191</v>
      </c>
      <c r="Q14" s="2" t="s">
        <v>191</v>
      </c>
      <c r="R14" s="2" t="s">
        <v>187</v>
      </c>
      <c r="S14" s="2" t="s">
        <v>192</v>
      </c>
    </row>
    <row r="15" spans="1:19" x14ac:dyDescent="0.3">
      <c r="A15" s="11" t="s">
        <v>531</v>
      </c>
      <c r="B15" s="11">
        <v>10114</v>
      </c>
      <c r="C15" s="11">
        <v>2</v>
      </c>
      <c r="D15" s="11" t="s">
        <v>216</v>
      </c>
      <c r="E15" s="11"/>
      <c r="F15" s="11"/>
      <c r="G15" s="11"/>
      <c r="H15" s="11">
        <v>32</v>
      </c>
      <c r="I15" s="11">
        <v>31</v>
      </c>
      <c r="J15" s="11">
        <v>26</v>
      </c>
      <c r="K15" s="11">
        <v>0</v>
      </c>
      <c r="L15" s="11">
        <v>1</v>
      </c>
      <c r="M15" s="11">
        <v>3</v>
      </c>
      <c r="N15" s="11" t="s">
        <v>187</v>
      </c>
      <c r="O15" s="11" t="s">
        <v>187</v>
      </c>
      <c r="P15" s="11" t="s">
        <v>187</v>
      </c>
      <c r="Q15" s="2" t="s">
        <v>187</v>
      </c>
      <c r="R15" s="2" t="s">
        <v>187</v>
      </c>
      <c r="S15" s="2" t="s">
        <v>187</v>
      </c>
    </row>
    <row r="16" spans="1:19" x14ac:dyDescent="0.3">
      <c r="A16" s="11" t="s">
        <v>531</v>
      </c>
      <c r="B16" s="11">
        <v>10115</v>
      </c>
      <c r="C16" s="11">
        <v>2</v>
      </c>
      <c r="D16" s="11" t="s">
        <v>217</v>
      </c>
      <c r="E16" s="11"/>
      <c r="F16" s="11"/>
      <c r="G16" s="11"/>
      <c r="H16" s="11">
        <v>77</v>
      </c>
      <c r="I16" s="11">
        <v>65</v>
      </c>
      <c r="J16" s="11">
        <v>76</v>
      </c>
      <c r="K16" s="11">
        <v>0</v>
      </c>
      <c r="L16" s="11">
        <v>5</v>
      </c>
      <c r="M16" s="11">
        <v>0</v>
      </c>
      <c r="N16" s="11" t="s">
        <v>192</v>
      </c>
      <c r="O16" s="11" t="s">
        <v>192</v>
      </c>
      <c r="P16" s="11" t="s">
        <v>192</v>
      </c>
      <c r="Q16" s="2" t="s">
        <v>192</v>
      </c>
      <c r="R16" s="2" t="s">
        <v>192</v>
      </c>
      <c r="S16" s="2" t="s">
        <v>192</v>
      </c>
    </row>
    <row r="17" spans="1:19" x14ac:dyDescent="0.3">
      <c r="A17" s="11" t="s">
        <v>531</v>
      </c>
      <c r="B17" s="11">
        <v>10116</v>
      </c>
      <c r="C17" s="11">
        <v>1</v>
      </c>
      <c r="D17" s="11" t="s">
        <v>218</v>
      </c>
      <c r="E17" s="11"/>
      <c r="F17" s="11"/>
      <c r="G17" s="11"/>
      <c r="H17" s="11">
        <v>81</v>
      </c>
      <c r="I17" s="11">
        <v>86</v>
      </c>
      <c r="J17" s="11">
        <v>76</v>
      </c>
      <c r="K17" s="11">
        <v>0</v>
      </c>
      <c r="L17" s="11">
        <v>1</v>
      </c>
      <c r="M17" s="11">
        <v>0</v>
      </c>
      <c r="N17" s="11" t="s">
        <v>187</v>
      </c>
      <c r="O17" s="11" t="s">
        <v>187</v>
      </c>
      <c r="P17" s="11" t="s">
        <v>187</v>
      </c>
      <c r="Q17" s="2" t="s">
        <v>187</v>
      </c>
      <c r="R17" s="2" t="s">
        <v>187</v>
      </c>
      <c r="S17" s="2" t="s">
        <v>187</v>
      </c>
    </row>
    <row r="18" spans="1:19" x14ac:dyDescent="0.3">
      <c r="A18" s="11" t="s">
        <v>531</v>
      </c>
      <c r="B18" s="11">
        <v>10117</v>
      </c>
      <c r="C18" s="11">
        <v>1</v>
      </c>
      <c r="D18" s="11" t="s">
        <v>219</v>
      </c>
      <c r="E18" s="11"/>
      <c r="F18" s="11"/>
      <c r="G18" s="11"/>
      <c r="H18" s="11">
        <v>23</v>
      </c>
      <c r="I18" s="11">
        <v>23</v>
      </c>
      <c r="J18" s="11">
        <v>45</v>
      </c>
      <c r="K18" s="11">
        <v>0</v>
      </c>
      <c r="L18" s="11">
        <v>3</v>
      </c>
      <c r="M18" s="11">
        <v>3</v>
      </c>
      <c r="N18" s="11" t="s">
        <v>187</v>
      </c>
      <c r="O18" s="11" t="s">
        <v>191</v>
      </c>
      <c r="P18" s="11" t="s">
        <v>191</v>
      </c>
      <c r="Q18" s="2" t="s">
        <v>191</v>
      </c>
      <c r="R18" s="2" t="s">
        <v>187</v>
      </c>
      <c r="S18" s="2" t="s">
        <v>192</v>
      </c>
    </row>
    <row r="19" spans="1:19" x14ac:dyDescent="0.3">
      <c r="A19" s="11" t="s">
        <v>531</v>
      </c>
      <c r="B19" s="11">
        <v>10118</v>
      </c>
      <c r="C19" s="11">
        <v>1</v>
      </c>
      <c r="D19" s="11" t="s">
        <v>220</v>
      </c>
      <c r="E19" s="11"/>
      <c r="F19" s="11"/>
      <c r="G19" s="11"/>
      <c r="H19" s="11">
        <v>32</v>
      </c>
      <c r="I19" s="11">
        <v>31</v>
      </c>
      <c r="J19" s="11">
        <v>26</v>
      </c>
      <c r="K19" s="11">
        <v>0</v>
      </c>
      <c r="L19" s="11">
        <v>1</v>
      </c>
      <c r="M19" s="11">
        <v>3</v>
      </c>
      <c r="N19" s="11" t="s">
        <v>187</v>
      </c>
      <c r="O19" s="11" t="s">
        <v>187</v>
      </c>
      <c r="P19" s="11" t="s">
        <v>187</v>
      </c>
      <c r="Q19" s="2" t="s">
        <v>187</v>
      </c>
      <c r="R19" s="2" t="s">
        <v>187</v>
      </c>
      <c r="S19" s="2" t="s">
        <v>187</v>
      </c>
    </row>
    <row r="20" spans="1:19" x14ac:dyDescent="0.3">
      <c r="A20" s="11" t="s">
        <v>531</v>
      </c>
      <c r="B20" s="11">
        <v>10119</v>
      </c>
      <c r="C20" s="11">
        <v>1</v>
      </c>
      <c r="D20" s="11" t="s">
        <v>221</v>
      </c>
      <c r="E20" s="11"/>
      <c r="F20" s="11"/>
      <c r="G20" s="11"/>
      <c r="H20" s="11">
        <v>77</v>
      </c>
      <c r="I20" s="11">
        <v>65</v>
      </c>
      <c r="J20" s="11">
        <v>76</v>
      </c>
      <c r="K20" s="11">
        <v>0</v>
      </c>
      <c r="L20" s="11">
        <v>5</v>
      </c>
      <c r="M20" s="11">
        <v>0</v>
      </c>
      <c r="N20" s="11" t="s">
        <v>192</v>
      </c>
      <c r="O20" s="11" t="s">
        <v>192</v>
      </c>
      <c r="P20" s="11" t="s">
        <v>192</v>
      </c>
      <c r="Q20" s="2" t="s">
        <v>192</v>
      </c>
      <c r="R20" s="2" t="s">
        <v>192</v>
      </c>
      <c r="S20" s="2" t="s">
        <v>192</v>
      </c>
    </row>
    <row r="21" spans="1:19" x14ac:dyDescent="0.3">
      <c r="A21" s="11" t="s">
        <v>531</v>
      </c>
      <c r="B21" s="11">
        <v>10120</v>
      </c>
      <c r="C21" s="11">
        <v>1</v>
      </c>
      <c r="D21" s="11" t="s">
        <v>222</v>
      </c>
      <c r="E21" s="11"/>
      <c r="F21" s="11"/>
      <c r="G21" s="11"/>
      <c r="H21" s="11">
        <v>81</v>
      </c>
      <c r="I21" s="11">
        <v>86</v>
      </c>
      <c r="J21" s="11">
        <v>76</v>
      </c>
      <c r="K21" s="11">
        <v>0</v>
      </c>
      <c r="L21" s="11">
        <v>1</v>
      </c>
      <c r="M21" s="11">
        <v>0</v>
      </c>
      <c r="N21" s="11" t="s">
        <v>187</v>
      </c>
      <c r="O21" s="11" t="s">
        <v>187</v>
      </c>
      <c r="P21" s="11" t="s">
        <v>187</v>
      </c>
      <c r="Q21" s="2" t="s">
        <v>187</v>
      </c>
      <c r="R21" s="2" t="s">
        <v>187</v>
      </c>
      <c r="S21" s="2" t="s">
        <v>187</v>
      </c>
    </row>
    <row r="22" spans="1:19" x14ac:dyDescent="0.3">
      <c r="A22" s="11" t="s">
        <v>531</v>
      </c>
      <c r="B22" s="11">
        <v>10121</v>
      </c>
      <c r="C22" s="11">
        <v>1</v>
      </c>
      <c r="D22" s="11" t="s">
        <v>223</v>
      </c>
      <c r="E22" s="11"/>
      <c r="F22" s="11"/>
      <c r="G22" s="11"/>
      <c r="H22" s="11">
        <v>23</v>
      </c>
      <c r="I22" s="11">
        <v>23</v>
      </c>
      <c r="J22" s="11">
        <v>45</v>
      </c>
      <c r="K22" s="11">
        <v>0</v>
      </c>
      <c r="L22" s="11">
        <v>3</v>
      </c>
      <c r="M22" s="11">
        <v>3</v>
      </c>
      <c r="N22" s="11" t="s">
        <v>187</v>
      </c>
      <c r="O22" s="11" t="s">
        <v>191</v>
      </c>
      <c r="P22" s="11" t="s">
        <v>191</v>
      </c>
      <c r="Q22" s="2" t="s">
        <v>191</v>
      </c>
      <c r="R22" s="2" t="s">
        <v>187</v>
      </c>
      <c r="S22" s="2" t="s">
        <v>192</v>
      </c>
    </row>
    <row r="23" spans="1:19" x14ac:dyDescent="0.3">
      <c r="A23" s="11" t="s">
        <v>531</v>
      </c>
      <c r="B23" s="11">
        <v>10122</v>
      </c>
      <c r="C23" s="11">
        <v>1</v>
      </c>
      <c r="D23" s="11" t="s">
        <v>224</v>
      </c>
      <c r="E23" s="11"/>
      <c r="F23" s="11"/>
      <c r="G23" s="11"/>
      <c r="H23" s="11">
        <v>32</v>
      </c>
      <c r="I23" s="11">
        <v>31</v>
      </c>
      <c r="J23" s="11">
        <v>26</v>
      </c>
      <c r="K23" s="11">
        <v>0</v>
      </c>
      <c r="L23" s="11">
        <v>1</v>
      </c>
      <c r="M23" s="11">
        <v>3</v>
      </c>
      <c r="N23" s="11" t="s">
        <v>187</v>
      </c>
      <c r="O23" s="11" t="s">
        <v>187</v>
      </c>
      <c r="P23" s="11" t="s">
        <v>187</v>
      </c>
      <c r="Q23" s="2" t="s">
        <v>187</v>
      </c>
      <c r="R23" s="2" t="s">
        <v>187</v>
      </c>
      <c r="S23" s="2" t="s">
        <v>187</v>
      </c>
    </row>
    <row r="24" spans="1:19" x14ac:dyDescent="0.3">
      <c r="A24" s="11" t="s">
        <v>531</v>
      </c>
      <c r="B24" s="11">
        <v>10123</v>
      </c>
      <c r="C24" s="11">
        <v>1</v>
      </c>
      <c r="D24" s="11" t="s">
        <v>225</v>
      </c>
      <c r="E24" s="11"/>
      <c r="F24" s="11"/>
      <c r="G24" s="11"/>
      <c r="H24" s="11">
        <v>77</v>
      </c>
      <c r="I24" s="11">
        <v>65</v>
      </c>
      <c r="J24" s="11">
        <v>76</v>
      </c>
      <c r="K24" s="11">
        <v>0</v>
      </c>
      <c r="L24" s="11">
        <v>5</v>
      </c>
      <c r="M24" s="11">
        <v>0</v>
      </c>
      <c r="N24" s="11" t="s">
        <v>192</v>
      </c>
      <c r="O24" s="11" t="s">
        <v>192</v>
      </c>
      <c r="P24" s="11" t="s">
        <v>192</v>
      </c>
      <c r="Q24" s="2" t="s">
        <v>192</v>
      </c>
      <c r="R24" s="2" t="s">
        <v>192</v>
      </c>
      <c r="S24" s="2" t="s">
        <v>192</v>
      </c>
    </row>
    <row r="25" spans="1:19" x14ac:dyDescent="0.3">
      <c r="A25" s="11" t="s">
        <v>531</v>
      </c>
      <c r="B25" s="11">
        <v>10124</v>
      </c>
      <c r="C25" s="11">
        <v>1</v>
      </c>
      <c r="D25" s="11" t="s">
        <v>226</v>
      </c>
      <c r="E25" s="11"/>
      <c r="F25" s="11"/>
      <c r="G25" s="11"/>
      <c r="H25" s="11">
        <v>81</v>
      </c>
      <c r="I25" s="11">
        <v>86</v>
      </c>
      <c r="J25" s="11">
        <v>76</v>
      </c>
      <c r="K25" s="11">
        <v>0</v>
      </c>
      <c r="L25" s="11">
        <v>1</v>
      </c>
      <c r="M25" s="11">
        <v>0</v>
      </c>
      <c r="N25" s="11" t="s">
        <v>187</v>
      </c>
      <c r="O25" s="11" t="s">
        <v>187</v>
      </c>
      <c r="P25" s="11" t="s">
        <v>187</v>
      </c>
      <c r="Q25" s="2" t="s">
        <v>187</v>
      </c>
      <c r="R25" s="2" t="s">
        <v>187</v>
      </c>
      <c r="S25" s="2" t="s">
        <v>187</v>
      </c>
    </row>
    <row r="26" spans="1:19" x14ac:dyDescent="0.3">
      <c r="A26" s="11" t="s">
        <v>531</v>
      </c>
      <c r="B26" s="11">
        <v>10125</v>
      </c>
      <c r="C26" s="11">
        <v>1</v>
      </c>
      <c r="D26" s="11" t="s">
        <v>227</v>
      </c>
      <c r="E26" s="11"/>
      <c r="F26" s="11"/>
      <c r="G26" s="11"/>
      <c r="H26" s="11">
        <v>23</v>
      </c>
      <c r="I26" s="11">
        <v>23</v>
      </c>
      <c r="J26" s="11">
        <v>45</v>
      </c>
      <c r="K26" s="11">
        <v>0</v>
      </c>
      <c r="L26" s="11">
        <v>3</v>
      </c>
      <c r="M26" s="11">
        <v>3</v>
      </c>
      <c r="N26" s="11" t="s">
        <v>187</v>
      </c>
      <c r="O26" s="11" t="s">
        <v>191</v>
      </c>
      <c r="P26" s="11" t="s">
        <v>191</v>
      </c>
      <c r="Q26" s="2" t="s">
        <v>191</v>
      </c>
      <c r="R26" s="2" t="s">
        <v>187</v>
      </c>
      <c r="S26" s="2" t="s">
        <v>192</v>
      </c>
    </row>
    <row r="27" spans="1:19" x14ac:dyDescent="0.3">
      <c r="A27" s="11" t="s">
        <v>531</v>
      </c>
      <c r="B27" s="11">
        <v>10126</v>
      </c>
      <c r="C27" s="11">
        <v>1</v>
      </c>
      <c r="D27" s="11" t="s">
        <v>228</v>
      </c>
      <c r="E27" s="11"/>
      <c r="F27" s="11"/>
      <c r="G27" s="11"/>
      <c r="H27" s="11">
        <v>32</v>
      </c>
      <c r="I27" s="11">
        <v>31</v>
      </c>
      <c r="J27" s="11">
        <v>26</v>
      </c>
      <c r="K27" s="11">
        <v>0</v>
      </c>
      <c r="L27" s="11">
        <v>1</v>
      </c>
      <c r="M27" s="11">
        <v>3</v>
      </c>
      <c r="N27" s="11" t="s">
        <v>187</v>
      </c>
      <c r="O27" s="11" t="s">
        <v>187</v>
      </c>
      <c r="P27" s="11" t="s">
        <v>187</v>
      </c>
      <c r="Q27" s="2" t="s">
        <v>187</v>
      </c>
      <c r="R27" s="2" t="s">
        <v>187</v>
      </c>
      <c r="S27" s="2" t="s">
        <v>187</v>
      </c>
    </row>
    <row r="28" spans="1:19" x14ac:dyDescent="0.3">
      <c r="A28" s="11" t="s">
        <v>531</v>
      </c>
      <c r="B28" s="11">
        <v>10127</v>
      </c>
      <c r="C28" s="11">
        <v>1</v>
      </c>
      <c r="D28" s="11" t="s">
        <v>229</v>
      </c>
      <c r="E28" s="11"/>
      <c r="F28" s="11"/>
      <c r="G28" s="11"/>
      <c r="H28" s="11">
        <v>77</v>
      </c>
      <c r="I28" s="11">
        <v>65</v>
      </c>
      <c r="J28" s="11">
        <v>76</v>
      </c>
      <c r="K28" s="11">
        <v>0</v>
      </c>
      <c r="L28" s="11">
        <v>5</v>
      </c>
      <c r="M28" s="11">
        <v>0</v>
      </c>
      <c r="N28" s="11" t="s">
        <v>192</v>
      </c>
      <c r="O28" s="11" t="s">
        <v>192</v>
      </c>
      <c r="P28" s="11" t="s">
        <v>192</v>
      </c>
      <c r="Q28" s="2" t="s">
        <v>192</v>
      </c>
      <c r="R28" s="2" t="s">
        <v>192</v>
      </c>
      <c r="S28" s="2" t="s">
        <v>192</v>
      </c>
    </row>
    <row r="29" spans="1:19" x14ac:dyDescent="0.3">
      <c r="A29" s="11" t="s">
        <v>531</v>
      </c>
      <c r="B29" s="11">
        <v>10128</v>
      </c>
      <c r="C29" s="11">
        <v>1</v>
      </c>
      <c r="D29" s="11" t="s">
        <v>230</v>
      </c>
      <c r="E29" s="11"/>
      <c r="F29" s="11"/>
      <c r="G29" s="11"/>
      <c r="H29" s="11">
        <v>81</v>
      </c>
      <c r="I29" s="11">
        <v>86</v>
      </c>
      <c r="J29" s="11">
        <v>76</v>
      </c>
      <c r="K29" s="11">
        <v>0</v>
      </c>
      <c r="L29" s="11">
        <v>1</v>
      </c>
      <c r="M29" s="11">
        <v>0</v>
      </c>
      <c r="N29" s="11" t="s">
        <v>187</v>
      </c>
      <c r="O29" s="11" t="s">
        <v>187</v>
      </c>
      <c r="P29" s="11" t="s">
        <v>187</v>
      </c>
      <c r="Q29" s="2" t="s">
        <v>187</v>
      </c>
      <c r="R29" s="2" t="s">
        <v>187</v>
      </c>
      <c r="S29" s="2" t="s">
        <v>187</v>
      </c>
    </row>
    <row r="30" spans="1:19" x14ac:dyDescent="0.3">
      <c r="A30" s="11" t="s">
        <v>531</v>
      </c>
      <c r="B30" s="11">
        <v>10130</v>
      </c>
      <c r="C30" s="11">
        <v>1</v>
      </c>
      <c r="D30" s="11" t="s">
        <v>231</v>
      </c>
      <c r="E30" s="11"/>
      <c r="F30" s="11"/>
      <c r="G30" s="11"/>
      <c r="H30" s="11">
        <v>23</v>
      </c>
      <c r="I30" s="11">
        <v>23</v>
      </c>
      <c r="J30" s="11">
        <v>45</v>
      </c>
      <c r="K30" s="11">
        <v>0</v>
      </c>
      <c r="L30" s="11">
        <v>3</v>
      </c>
      <c r="M30" s="11">
        <v>3</v>
      </c>
      <c r="N30" s="11" t="s">
        <v>187</v>
      </c>
      <c r="O30" s="11" t="s">
        <v>191</v>
      </c>
      <c r="P30" s="11" t="s">
        <v>191</v>
      </c>
      <c r="Q30" s="2" t="s">
        <v>191</v>
      </c>
      <c r="R30" s="2" t="s">
        <v>187</v>
      </c>
      <c r="S30" s="2" t="s">
        <v>192</v>
      </c>
    </row>
    <row r="31" spans="1:19" x14ac:dyDescent="0.3">
      <c r="A31" s="11" t="s">
        <v>531</v>
      </c>
      <c r="B31" s="11">
        <v>10201</v>
      </c>
      <c r="C31" s="11">
        <v>2</v>
      </c>
      <c r="D31" s="11" t="s">
        <v>232</v>
      </c>
      <c r="E31" s="11"/>
      <c r="F31" s="11"/>
      <c r="G31" s="11"/>
      <c r="H31" s="11">
        <v>32</v>
      </c>
      <c r="I31" s="11">
        <v>31</v>
      </c>
      <c r="J31" s="11">
        <v>26</v>
      </c>
      <c r="K31" s="11">
        <v>0</v>
      </c>
      <c r="L31" s="11">
        <v>1</v>
      </c>
      <c r="M31" s="11">
        <v>3</v>
      </c>
      <c r="N31" s="11" t="s">
        <v>187</v>
      </c>
      <c r="O31" s="11" t="s">
        <v>187</v>
      </c>
      <c r="P31" s="11" t="s">
        <v>187</v>
      </c>
      <c r="Q31" s="2" t="s">
        <v>187</v>
      </c>
      <c r="R31" s="2" t="s">
        <v>187</v>
      </c>
      <c r="S31" s="2" t="s">
        <v>187</v>
      </c>
    </row>
    <row r="32" spans="1:19" x14ac:dyDescent="0.3">
      <c r="A32" s="11" t="s">
        <v>531</v>
      </c>
      <c r="B32" s="11">
        <v>10202</v>
      </c>
      <c r="C32" s="11">
        <v>2</v>
      </c>
      <c r="D32" s="11" t="s">
        <v>233</v>
      </c>
      <c r="E32" s="11"/>
      <c r="F32" s="11"/>
      <c r="G32" s="11"/>
      <c r="H32" s="11">
        <v>77</v>
      </c>
      <c r="I32" s="11">
        <v>65</v>
      </c>
      <c r="J32" s="11">
        <v>76</v>
      </c>
      <c r="K32" s="11">
        <v>0</v>
      </c>
      <c r="L32" s="11">
        <v>5</v>
      </c>
      <c r="M32" s="11">
        <v>0</v>
      </c>
      <c r="N32" s="11" t="s">
        <v>192</v>
      </c>
      <c r="O32" s="11" t="s">
        <v>192</v>
      </c>
      <c r="P32" s="11" t="s">
        <v>192</v>
      </c>
      <c r="Q32" s="2" t="s">
        <v>192</v>
      </c>
      <c r="R32" s="2" t="s">
        <v>192</v>
      </c>
      <c r="S32" s="2" t="s">
        <v>192</v>
      </c>
    </row>
    <row r="33" spans="1:19" x14ac:dyDescent="0.3">
      <c r="A33" s="11" t="s">
        <v>531</v>
      </c>
      <c r="B33" s="11">
        <v>10203</v>
      </c>
      <c r="C33" s="11">
        <v>2</v>
      </c>
      <c r="D33" s="11" t="s">
        <v>234</v>
      </c>
      <c r="E33" s="11"/>
      <c r="F33" s="11"/>
      <c r="G33" s="11"/>
      <c r="H33" s="11">
        <v>81</v>
      </c>
      <c r="I33" s="11">
        <v>86</v>
      </c>
      <c r="J33" s="11">
        <v>76</v>
      </c>
      <c r="K33" s="11">
        <v>0</v>
      </c>
      <c r="L33" s="11">
        <v>1</v>
      </c>
      <c r="M33" s="11">
        <v>0</v>
      </c>
      <c r="N33" s="11" t="s">
        <v>187</v>
      </c>
      <c r="O33" s="11" t="s">
        <v>187</v>
      </c>
      <c r="P33" s="11" t="s">
        <v>187</v>
      </c>
      <c r="Q33" s="2" t="s">
        <v>187</v>
      </c>
      <c r="R33" s="2" t="s">
        <v>187</v>
      </c>
      <c r="S33" s="2" t="s">
        <v>187</v>
      </c>
    </row>
    <row r="34" spans="1:19" x14ac:dyDescent="0.3">
      <c r="A34" s="11" t="s">
        <v>531</v>
      </c>
      <c r="B34" s="11">
        <v>10204</v>
      </c>
      <c r="C34" s="11">
        <v>2</v>
      </c>
      <c r="D34" s="11" t="s">
        <v>235</v>
      </c>
      <c r="E34" s="11"/>
      <c r="F34" s="11"/>
      <c r="G34" s="11"/>
      <c r="H34" s="11">
        <v>23</v>
      </c>
      <c r="I34" s="11">
        <v>23</v>
      </c>
      <c r="J34" s="11">
        <v>45</v>
      </c>
      <c r="K34" s="11">
        <v>0</v>
      </c>
      <c r="L34" s="11">
        <v>3</v>
      </c>
      <c r="M34" s="11">
        <v>3</v>
      </c>
      <c r="N34" s="11" t="s">
        <v>187</v>
      </c>
      <c r="O34" s="11" t="s">
        <v>191</v>
      </c>
      <c r="P34" s="11" t="s">
        <v>191</v>
      </c>
      <c r="Q34" s="2" t="s">
        <v>191</v>
      </c>
      <c r="R34" s="2" t="s">
        <v>187</v>
      </c>
      <c r="S34" s="2" t="s">
        <v>192</v>
      </c>
    </row>
    <row r="35" spans="1:19" x14ac:dyDescent="0.3">
      <c r="A35" s="11" t="s">
        <v>531</v>
      </c>
      <c r="B35" s="11">
        <v>10205</v>
      </c>
      <c r="C35" s="11">
        <v>2</v>
      </c>
      <c r="D35" s="11" t="s">
        <v>236</v>
      </c>
      <c r="E35" s="11"/>
      <c r="F35" s="11"/>
      <c r="G35" s="11"/>
      <c r="H35" s="11">
        <v>32</v>
      </c>
      <c r="I35" s="11">
        <v>31</v>
      </c>
      <c r="J35" s="11">
        <v>26</v>
      </c>
      <c r="K35" s="11">
        <v>0</v>
      </c>
      <c r="L35" s="11">
        <v>1</v>
      </c>
      <c r="M35" s="11">
        <v>3</v>
      </c>
      <c r="N35" s="11" t="s">
        <v>187</v>
      </c>
      <c r="O35" s="11" t="s">
        <v>187</v>
      </c>
      <c r="P35" s="11" t="s">
        <v>187</v>
      </c>
      <c r="Q35" s="2" t="s">
        <v>187</v>
      </c>
      <c r="R35" s="2" t="s">
        <v>187</v>
      </c>
      <c r="S35" s="2" t="s">
        <v>187</v>
      </c>
    </row>
    <row r="36" spans="1:19" x14ac:dyDescent="0.3">
      <c r="A36" s="11" t="s">
        <v>531</v>
      </c>
      <c r="B36" s="11">
        <v>10206</v>
      </c>
      <c r="C36" s="11">
        <v>2</v>
      </c>
      <c r="D36" s="11" t="s">
        <v>237</v>
      </c>
      <c r="E36" s="11"/>
      <c r="F36" s="11"/>
      <c r="G36" s="11"/>
      <c r="H36" s="11">
        <v>77</v>
      </c>
      <c r="I36" s="11">
        <v>65</v>
      </c>
      <c r="J36" s="11">
        <v>76</v>
      </c>
      <c r="K36" s="11">
        <v>0</v>
      </c>
      <c r="L36" s="11">
        <v>5</v>
      </c>
      <c r="M36" s="11">
        <v>0</v>
      </c>
      <c r="N36" s="11" t="s">
        <v>192</v>
      </c>
      <c r="O36" s="11" t="s">
        <v>192</v>
      </c>
      <c r="P36" s="11" t="s">
        <v>192</v>
      </c>
      <c r="Q36" s="2" t="s">
        <v>192</v>
      </c>
      <c r="R36" s="2" t="s">
        <v>192</v>
      </c>
      <c r="S36" s="2" t="s">
        <v>192</v>
      </c>
    </row>
    <row r="37" spans="1:19" x14ac:dyDescent="0.3">
      <c r="A37" s="11" t="s">
        <v>531</v>
      </c>
      <c r="B37" s="11">
        <v>10207</v>
      </c>
      <c r="C37" s="11">
        <v>2</v>
      </c>
      <c r="D37" s="11" t="s">
        <v>238</v>
      </c>
      <c r="E37" s="11"/>
      <c r="F37" s="11"/>
      <c r="G37" s="11"/>
      <c r="H37" s="11">
        <v>81</v>
      </c>
      <c r="I37" s="11">
        <v>86</v>
      </c>
      <c r="J37" s="11">
        <v>76</v>
      </c>
      <c r="K37" s="11">
        <v>0</v>
      </c>
      <c r="L37" s="11">
        <v>1</v>
      </c>
      <c r="M37" s="11">
        <v>0</v>
      </c>
      <c r="N37" s="11" t="s">
        <v>187</v>
      </c>
      <c r="O37" s="11" t="s">
        <v>187</v>
      </c>
      <c r="P37" s="11" t="s">
        <v>187</v>
      </c>
      <c r="Q37" s="2" t="s">
        <v>187</v>
      </c>
      <c r="R37" s="2" t="s">
        <v>187</v>
      </c>
      <c r="S37" s="2" t="s">
        <v>187</v>
      </c>
    </row>
    <row r="38" spans="1:19" x14ac:dyDescent="0.3">
      <c r="A38" s="11" t="s">
        <v>531</v>
      </c>
      <c r="B38" s="11">
        <v>10208</v>
      </c>
      <c r="C38" s="11">
        <v>2</v>
      </c>
      <c r="D38" s="11" t="s">
        <v>239</v>
      </c>
      <c r="E38" s="11"/>
      <c r="F38" s="11"/>
      <c r="G38" s="11"/>
      <c r="H38" s="11">
        <v>23</v>
      </c>
      <c r="I38" s="11">
        <v>23</v>
      </c>
      <c r="J38" s="11">
        <v>45</v>
      </c>
      <c r="K38" s="11">
        <v>0</v>
      </c>
      <c r="L38" s="11">
        <v>3</v>
      </c>
      <c r="M38" s="11">
        <v>3</v>
      </c>
      <c r="N38" s="11" t="s">
        <v>187</v>
      </c>
      <c r="O38" s="11" t="s">
        <v>191</v>
      </c>
      <c r="P38" s="11" t="s">
        <v>191</v>
      </c>
      <c r="Q38" s="2" t="s">
        <v>191</v>
      </c>
      <c r="R38" s="2" t="s">
        <v>187</v>
      </c>
      <c r="S38" s="2" t="s">
        <v>192</v>
      </c>
    </row>
    <row r="39" spans="1:19" x14ac:dyDescent="0.3">
      <c r="A39" s="11" t="s">
        <v>531</v>
      </c>
      <c r="B39" s="11">
        <v>10209</v>
      </c>
      <c r="C39" s="11">
        <v>2</v>
      </c>
      <c r="D39" s="11" t="s">
        <v>240</v>
      </c>
      <c r="E39" s="11"/>
      <c r="F39" s="11"/>
      <c r="G39" s="11"/>
      <c r="H39" s="11">
        <v>32</v>
      </c>
      <c r="I39" s="11">
        <v>31</v>
      </c>
      <c r="J39" s="11">
        <v>26</v>
      </c>
      <c r="K39" s="11">
        <v>0</v>
      </c>
      <c r="L39" s="11">
        <v>1</v>
      </c>
      <c r="M39" s="11">
        <v>3</v>
      </c>
      <c r="N39" s="11" t="s">
        <v>187</v>
      </c>
      <c r="O39" s="11" t="s">
        <v>187</v>
      </c>
      <c r="P39" s="11" t="s">
        <v>187</v>
      </c>
      <c r="Q39" s="2" t="s">
        <v>187</v>
      </c>
      <c r="R39" s="2" t="s">
        <v>187</v>
      </c>
      <c r="S39" s="2" t="s">
        <v>187</v>
      </c>
    </row>
    <row r="40" spans="1:19" x14ac:dyDescent="0.3">
      <c r="A40" s="11" t="s">
        <v>531</v>
      </c>
      <c r="B40" s="11">
        <v>10210</v>
      </c>
      <c r="C40" s="11">
        <v>2</v>
      </c>
      <c r="D40" s="11" t="s">
        <v>241</v>
      </c>
      <c r="E40" s="11"/>
      <c r="F40" s="11"/>
      <c r="G40" s="11"/>
      <c r="H40" s="11">
        <v>77</v>
      </c>
      <c r="I40" s="11">
        <v>65</v>
      </c>
      <c r="J40" s="11">
        <v>76</v>
      </c>
      <c r="K40" s="11">
        <v>0</v>
      </c>
      <c r="L40" s="11">
        <v>5</v>
      </c>
      <c r="M40" s="11">
        <v>0</v>
      </c>
      <c r="N40" s="11" t="s">
        <v>192</v>
      </c>
      <c r="O40" s="11" t="s">
        <v>192</v>
      </c>
      <c r="P40" s="11" t="s">
        <v>192</v>
      </c>
      <c r="Q40" s="2" t="s">
        <v>192</v>
      </c>
      <c r="R40" s="2" t="s">
        <v>192</v>
      </c>
      <c r="S40" s="2" t="s">
        <v>192</v>
      </c>
    </row>
    <row r="41" spans="1:19" x14ac:dyDescent="0.3">
      <c r="A41" s="11" t="s">
        <v>531</v>
      </c>
      <c r="B41" s="11">
        <v>10211</v>
      </c>
      <c r="C41" s="11">
        <v>2</v>
      </c>
      <c r="D41" s="11" t="s">
        <v>242</v>
      </c>
      <c r="E41" s="11"/>
      <c r="F41" s="11"/>
      <c r="G41" s="11"/>
      <c r="H41" s="11">
        <v>81</v>
      </c>
      <c r="I41" s="11">
        <v>86</v>
      </c>
      <c r="J41" s="11">
        <v>76</v>
      </c>
      <c r="K41" s="11">
        <v>0</v>
      </c>
      <c r="L41" s="11">
        <v>1</v>
      </c>
      <c r="M41" s="11">
        <v>0</v>
      </c>
      <c r="N41" s="11" t="s">
        <v>187</v>
      </c>
      <c r="O41" s="11" t="s">
        <v>187</v>
      </c>
      <c r="P41" s="11" t="s">
        <v>187</v>
      </c>
      <c r="Q41" s="2" t="s">
        <v>187</v>
      </c>
      <c r="R41" s="2" t="s">
        <v>187</v>
      </c>
      <c r="S41" s="2" t="s">
        <v>187</v>
      </c>
    </row>
    <row r="42" spans="1:19" x14ac:dyDescent="0.3">
      <c r="A42" s="11" t="s">
        <v>531</v>
      </c>
      <c r="B42" s="11">
        <v>10212</v>
      </c>
      <c r="C42" s="11">
        <v>2</v>
      </c>
      <c r="D42" s="11" t="s">
        <v>243</v>
      </c>
      <c r="E42" s="11"/>
      <c r="F42" s="11"/>
      <c r="G42" s="11"/>
      <c r="H42" s="11">
        <v>23</v>
      </c>
      <c r="I42" s="11">
        <v>23</v>
      </c>
      <c r="J42" s="11">
        <v>45</v>
      </c>
      <c r="K42" s="11">
        <v>0</v>
      </c>
      <c r="L42" s="11">
        <v>3</v>
      </c>
      <c r="M42" s="11">
        <v>3</v>
      </c>
      <c r="N42" s="11" t="s">
        <v>187</v>
      </c>
      <c r="O42" s="11" t="s">
        <v>191</v>
      </c>
      <c r="P42" s="11" t="s">
        <v>191</v>
      </c>
      <c r="Q42" s="2" t="s">
        <v>191</v>
      </c>
      <c r="R42" s="2" t="s">
        <v>187</v>
      </c>
      <c r="S42" s="2" t="s">
        <v>192</v>
      </c>
    </row>
    <row r="43" spans="1:19" x14ac:dyDescent="0.3">
      <c r="A43" s="11" t="s">
        <v>531</v>
      </c>
      <c r="B43" s="11">
        <v>10213</v>
      </c>
      <c r="C43" s="11">
        <v>2</v>
      </c>
      <c r="D43" s="11" t="s">
        <v>244</v>
      </c>
      <c r="E43" s="11"/>
      <c r="F43" s="11"/>
      <c r="G43" s="11"/>
      <c r="H43" s="11">
        <v>32</v>
      </c>
      <c r="I43" s="11">
        <v>31</v>
      </c>
      <c r="J43" s="11">
        <v>26</v>
      </c>
      <c r="K43" s="11">
        <v>0</v>
      </c>
      <c r="L43" s="11">
        <v>1</v>
      </c>
      <c r="M43" s="11">
        <v>3</v>
      </c>
      <c r="N43" s="11" t="s">
        <v>187</v>
      </c>
      <c r="O43" s="11" t="s">
        <v>187</v>
      </c>
      <c r="P43" s="11" t="s">
        <v>187</v>
      </c>
      <c r="Q43" s="2" t="s">
        <v>187</v>
      </c>
      <c r="R43" s="2" t="s">
        <v>187</v>
      </c>
      <c r="S43" s="2" t="s">
        <v>187</v>
      </c>
    </row>
    <row r="44" spans="1:19" x14ac:dyDescent="0.3">
      <c r="A44" s="11" t="s">
        <v>531</v>
      </c>
      <c r="B44" s="11">
        <v>10214</v>
      </c>
      <c r="C44" s="11">
        <v>2</v>
      </c>
      <c r="D44" s="11" t="s">
        <v>245</v>
      </c>
      <c r="E44" s="11"/>
      <c r="F44" s="11"/>
      <c r="G44" s="11"/>
      <c r="H44" s="11">
        <v>77</v>
      </c>
      <c r="I44" s="11">
        <v>65</v>
      </c>
      <c r="J44" s="11">
        <v>76</v>
      </c>
      <c r="K44" s="11">
        <v>0</v>
      </c>
      <c r="L44" s="11">
        <v>5</v>
      </c>
      <c r="M44" s="11">
        <v>0</v>
      </c>
      <c r="N44" s="11" t="s">
        <v>192</v>
      </c>
      <c r="O44" s="11" t="s">
        <v>192</v>
      </c>
      <c r="P44" s="11" t="s">
        <v>192</v>
      </c>
      <c r="Q44" s="2" t="s">
        <v>192</v>
      </c>
      <c r="R44" s="2" t="s">
        <v>192</v>
      </c>
      <c r="S44" s="2" t="s">
        <v>192</v>
      </c>
    </row>
    <row r="45" spans="1:19" x14ac:dyDescent="0.3">
      <c r="A45" s="11" t="s">
        <v>531</v>
      </c>
      <c r="B45" s="11">
        <v>10215</v>
      </c>
      <c r="C45" s="11">
        <v>2</v>
      </c>
      <c r="D45" s="11" t="s">
        <v>246</v>
      </c>
      <c r="E45" s="11"/>
      <c r="F45" s="11"/>
      <c r="G45" s="11"/>
      <c r="H45" s="11">
        <v>81</v>
      </c>
      <c r="I45" s="11">
        <v>86</v>
      </c>
      <c r="J45" s="11">
        <v>76</v>
      </c>
      <c r="K45" s="11">
        <v>0</v>
      </c>
      <c r="L45" s="11">
        <v>1</v>
      </c>
      <c r="M45" s="11">
        <v>0</v>
      </c>
      <c r="N45" s="11" t="s">
        <v>187</v>
      </c>
      <c r="O45" s="11" t="s">
        <v>187</v>
      </c>
      <c r="P45" s="11" t="s">
        <v>187</v>
      </c>
      <c r="Q45" s="2" t="s">
        <v>187</v>
      </c>
      <c r="R45" s="2" t="s">
        <v>187</v>
      </c>
      <c r="S45" s="2" t="s">
        <v>187</v>
      </c>
    </row>
    <row r="46" spans="1:19" x14ac:dyDescent="0.3">
      <c r="A46" s="11" t="s">
        <v>531</v>
      </c>
      <c r="B46" s="11">
        <v>10216</v>
      </c>
      <c r="C46" s="11">
        <v>1</v>
      </c>
      <c r="D46" s="11" t="s">
        <v>247</v>
      </c>
      <c r="E46" s="11"/>
      <c r="F46" s="11"/>
      <c r="G46" s="11"/>
      <c r="H46" s="11">
        <v>23</v>
      </c>
      <c r="I46" s="11">
        <v>23</v>
      </c>
      <c r="J46" s="11">
        <v>45</v>
      </c>
      <c r="K46" s="11">
        <v>0</v>
      </c>
      <c r="L46" s="11">
        <v>3</v>
      </c>
      <c r="M46" s="11">
        <v>3</v>
      </c>
      <c r="N46" s="11" t="s">
        <v>187</v>
      </c>
      <c r="O46" s="11" t="s">
        <v>191</v>
      </c>
      <c r="P46" s="11" t="s">
        <v>191</v>
      </c>
      <c r="Q46" s="2" t="s">
        <v>191</v>
      </c>
      <c r="R46" s="2" t="s">
        <v>187</v>
      </c>
      <c r="S46" s="2" t="s">
        <v>192</v>
      </c>
    </row>
    <row r="47" spans="1:19" x14ac:dyDescent="0.3">
      <c r="A47" s="11" t="s">
        <v>531</v>
      </c>
      <c r="B47" s="11">
        <v>10217</v>
      </c>
      <c r="C47" s="11">
        <v>1</v>
      </c>
      <c r="D47" s="11" t="s">
        <v>248</v>
      </c>
      <c r="E47" s="11"/>
      <c r="F47" s="11"/>
      <c r="G47" s="11"/>
      <c r="H47" s="11">
        <v>32</v>
      </c>
      <c r="I47" s="11">
        <v>31</v>
      </c>
      <c r="J47" s="11">
        <v>26</v>
      </c>
      <c r="K47" s="11">
        <v>0</v>
      </c>
      <c r="L47" s="11">
        <v>1</v>
      </c>
      <c r="M47" s="11">
        <v>3</v>
      </c>
      <c r="N47" s="11" t="s">
        <v>187</v>
      </c>
      <c r="O47" s="11" t="s">
        <v>187</v>
      </c>
      <c r="P47" s="11" t="s">
        <v>187</v>
      </c>
      <c r="Q47" s="2" t="s">
        <v>187</v>
      </c>
      <c r="R47" s="2" t="s">
        <v>187</v>
      </c>
      <c r="S47" s="2" t="s">
        <v>187</v>
      </c>
    </row>
    <row r="48" spans="1:19" x14ac:dyDescent="0.3">
      <c r="A48" s="11" t="s">
        <v>531</v>
      </c>
      <c r="B48" s="11">
        <v>10218</v>
      </c>
      <c r="C48" s="11">
        <v>1</v>
      </c>
      <c r="D48" s="11" t="s">
        <v>249</v>
      </c>
      <c r="E48" s="11"/>
      <c r="F48" s="11"/>
      <c r="G48" s="11"/>
      <c r="H48" s="11">
        <v>77</v>
      </c>
      <c r="I48" s="11">
        <v>65</v>
      </c>
      <c r="J48" s="11">
        <v>76</v>
      </c>
      <c r="K48" s="11">
        <v>0</v>
      </c>
      <c r="L48" s="11">
        <v>5</v>
      </c>
      <c r="M48" s="11">
        <v>0</v>
      </c>
      <c r="N48" s="11" t="s">
        <v>192</v>
      </c>
      <c r="O48" s="11" t="s">
        <v>192</v>
      </c>
      <c r="P48" s="11" t="s">
        <v>192</v>
      </c>
      <c r="Q48" s="2" t="s">
        <v>192</v>
      </c>
      <c r="R48" s="2" t="s">
        <v>192</v>
      </c>
      <c r="S48" s="2" t="s">
        <v>192</v>
      </c>
    </row>
    <row r="49" spans="1:19" x14ac:dyDescent="0.3">
      <c r="A49" s="11" t="s">
        <v>531</v>
      </c>
      <c r="B49" s="11">
        <v>10219</v>
      </c>
      <c r="C49" s="11">
        <v>1</v>
      </c>
      <c r="D49" s="11" t="s">
        <v>250</v>
      </c>
      <c r="E49" s="11"/>
      <c r="F49" s="11"/>
      <c r="G49" s="11"/>
      <c r="H49" s="11">
        <v>81</v>
      </c>
      <c r="I49" s="11">
        <v>86</v>
      </c>
      <c r="J49" s="11">
        <v>76</v>
      </c>
      <c r="K49" s="11">
        <v>0</v>
      </c>
      <c r="L49" s="11">
        <v>1</v>
      </c>
      <c r="M49" s="11">
        <v>0</v>
      </c>
      <c r="N49" s="11" t="s">
        <v>187</v>
      </c>
      <c r="O49" s="11" t="s">
        <v>187</v>
      </c>
      <c r="P49" s="11" t="s">
        <v>187</v>
      </c>
      <c r="Q49" s="2" t="s">
        <v>187</v>
      </c>
      <c r="R49" s="2" t="s">
        <v>187</v>
      </c>
      <c r="S49" s="2" t="s">
        <v>187</v>
      </c>
    </row>
    <row r="50" spans="1:19" x14ac:dyDescent="0.3">
      <c r="A50" s="11" t="s">
        <v>531</v>
      </c>
      <c r="B50" s="11">
        <v>10220</v>
      </c>
      <c r="C50" s="11">
        <v>1</v>
      </c>
      <c r="D50" s="11" t="s">
        <v>251</v>
      </c>
      <c r="E50" s="11"/>
      <c r="F50" s="11"/>
      <c r="G50" s="11"/>
      <c r="H50" s="11">
        <v>23</v>
      </c>
      <c r="I50" s="11">
        <v>23</v>
      </c>
      <c r="J50" s="11">
        <v>45</v>
      </c>
      <c r="K50" s="11">
        <v>0</v>
      </c>
      <c r="L50" s="11">
        <v>3</v>
      </c>
      <c r="M50" s="11">
        <v>3</v>
      </c>
      <c r="N50" s="11" t="s">
        <v>187</v>
      </c>
      <c r="O50" s="11" t="s">
        <v>191</v>
      </c>
      <c r="P50" s="11" t="s">
        <v>191</v>
      </c>
      <c r="Q50" s="2" t="s">
        <v>191</v>
      </c>
      <c r="R50" s="2" t="s">
        <v>187</v>
      </c>
      <c r="S50" s="2" t="s">
        <v>192</v>
      </c>
    </row>
    <row r="51" spans="1:19" x14ac:dyDescent="0.3">
      <c r="A51" s="11" t="s">
        <v>531</v>
      </c>
      <c r="B51" s="11">
        <v>10221</v>
      </c>
      <c r="C51" s="11">
        <v>1</v>
      </c>
      <c r="D51" s="11" t="s">
        <v>252</v>
      </c>
      <c r="E51" s="11"/>
      <c r="F51" s="11"/>
      <c r="G51" s="11"/>
      <c r="H51" s="11">
        <v>32</v>
      </c>
      <c r="I51" s="11">
        <v>31</v>
      </c>
      <c r="J51" s="11">
        <v>26</v>
      </c>
      <c r="K51" s="11">
        <v>0</v>
      </c>
      <c r="L51" s="11">
        <v>1</v>
      </c>
      <c r="M51" s="11">
        <v>3</v>
      </c>
      <c r="N51" s="11" t="s">
        <v>187</v>
      </c>
      <c r="O51" s="11" t="s">
        <v>187</v>
      </c>
      <c r="P51" s="11" t="s">
        <v>187</v>
      </c>
      <c r="Q51" s="2" t="s">
        <v>187</v>
      </c>
      <c r="R51" s="2" t="s">
        <v>187</v>
      </c>
      <c r="S51" s="2" t="s">
        <v>187</v>
      </c>
    </row>
    <row r="52" spans="1:19" x14ac:dyDescent="0.3">
      <c r="A52" s="11" t="s">
        <v>531</v>
      </c>
      <c r="B52" s="11">
        <v>10222</v>
      </c>
      <c r="C52" s="11">
        <v>1</v>
      </c>
      <c r="D52" s="11" t="s">
        <v>253</v>
      </c>
      <c r="E52" s="11"/>
      <c r="F52" s="11"/>
      <c r="G52" s="11"/>
      <c r="H52" s="11">
        <v>77</v>
      </c>
      <c r="I52" s="11">
        <v>65</v>
      </c>
      <c r="J52" s="11">
        <v>76</v>
      </c>
      <c r="K52" s="11">
        <v>0</v>
      </c>
      <c r="L52" s="11">
        <v>5</v>
      </c>
      <c r="M52" s="11">
        <v>0</v>
      </c>
      <c r="N52" s="11" t="s">
        <v>192</v>
      </c>
      <c r="O52" s="11" t="s">
        <v>192</v>
      </c>
      <c r="P52" s="11" t="s">
        <v>192</v>
      </c>
      <c r="Q52" s="2" t="s">
        <v>192</v>
      </c>
      <c r="R52" s="2" t="s">
        <v>192</v>
      </c>
      <c r="S52" s="2" t="s">
        <v>192</v>
      </c>
    </row>
    <row r="53" spans="1:19" x14ac:dyDescent="0.3">
      <c r="A53" s="11" t="s">
        <v>531</v>
      </c>
      <c r="B53" s="11">
        <v>10224</v>
      </c>
      <c r="C53" s="11">
        <v>1</v>
      </c>
      <c r="D53" s="11" t="s">
        <v>254</v>
      </c>
      <c r="E53" s="11"/>
      <c r="F53" s="11"/>
      <c r="G53" s="11"/>
      <c r="H53" s="11">
        <v>81</v>
      </c>
      <c r="I53" s="11">
        <v>86</v>
      </c>
      <c r="J53" s="11">
        <v>76</v>
      </c>
      <c r="K53" s="11">
        <v>0</v>
      </c>
      <c r="L53" s="11">
        <v>1</v>
      </c>
      <c r="M53" s="11">
        <v>0</v>
      </c>
      <c r="N53" s="11" t="s">
        <v>187</v>
      </c>
      <c r="O53" s="11" t="s">
        <v>187</v>
      </c>
      <c r="P53" s="11" t="s">
        <v>187</v>
      </c>
      <c r="Q53" s="2" t="s">
        <v>187</v>
      </c>
      <c r="R53" s="2" t="s">
        <v>187</v>
      </c>
      <c r="S53" s="2" t="s">
        <v>187</v>
      </c>
    </row>
    <row r="54" spans="1:19" x14ac:dyDescent="0.3">
      <c r="A54" s="11" t="s">
        <v>531</v>
      </c>
      <c r="B54" s="11">
        <v>10225</v>
      </c>
      <c r="C54" s="11">
        <v>1</v>
      </c>
      <c r="D54" s="11" t="s">
        <v>255</v>
      </c>
      <c r="E54" s="11"/>
      <c r="F54" s="11"/>
      <c r="G54" s="11"/>
      <c r="H54" s="11">
        <v>23</v>
      </c>
      <c r="I54" s="11">
        <v>23</v>
      </c>
      <c r="J54" s="11">
        <v>45</v>
      </c>
      <c r="K54" s="11">
        <v>0</v>
      </c>
      <c r="L54" s="11">
        <v>3</v>
      </c>
      <c r="M54" s="11">
        <v>3</v>
      </c>
      <c r="N54" s="11" t="s">
        <v>187</v>
      </c>
      <c r="O54" s="11" t="s">
        <v>191</v>
      </c>
      <c r="P54" s="11" t="s">
        <v>191</v>
      </c>
      <c r="Q54" s="2" t="s">
        <v>191</v>
      </c>
      <c r="R54" s="2" t="s">
        <v>187</v>
      </c>
      <c r="S54" s="2" t="s">
        <v>192</v>
      </c>
    </row>
    <row r="55" spans="1:19" x14ac:dyDescent="0.3">
      <c r="A55" s="11" t="s">
        <v>531</v>
      </c>
      <c r="B55" s="11">
        <v>10226</v>
      </c>
      <c r="C55" s="11">
        <v>1</v>
      </c>
      <c r="D55" s="11" t="s">
        <v>256</v>
      </c>
      <c r="E55" s="11"/>
      <c r="F55" s="11"/>
      <c r="G55" s="11"/>
      <c r="H55" s="11">
        <v>32</v>
      </c>
      <c r="I55" s="11">
        <v>31</v>
      </c>
      <c r="J55" s="11">
        <v>26</v>
      </c>
      <c r="K55" s="11">
        <v>0</v>
      </c>
      <c r="L55" s="11">
        <v>1</v>
      </c>
      <c r="M55" s="11">
        <v>3</v>
      </c>
      <c r="N55" s="11" t="s">
        <v>187</v>
      </c>
      <c r="O55" s="11" t="s">
        <v>187</v>
      </c>
      <c r="P55" s="11" t="s">
        <v>187</v>
      </c>
      <c r="Q55" s="2" t="s">
        <v>187</v>
      </c>
      <c r="R55" s="2" t="s">
        <v>187</v>
      </c>
      <c r="S55" s="2" t="s">
        <v>187</v>
      </c>
    </row>
    <row r="56" spans="1:19" x14ac:dyDescent="0.3">
      <c r="A56" s="11" t="s">
        <v>531</v>
      </c>
      <c r="B56" s="11">
        <v>10227</v>
      </c>
      <c r="C56" s="11">
        <v>1</v>
      </c>
      <c r="D56" s="11" t="s">
        <v>257</v>
      </c>
      <c r="E56" s="11"/>
      <c r="F56" s="11"/>
      <c r="G56" s="11"/>
      <c r="H56" s="11">
        <v>77</v>
      </c>
      <c r="I56" s="11">
        <v>65</v>
      </c>
      <c r="J56" s="11">
        <v>76</v>
      </c>
      <c r="K56" s="11">
        <v>0</v>
      </c>
      <c r="L56" s="11">
        <v>5</v>
      </c>
      <c r="M56" s="11">
        <v>0</v>
      </c>
      <c r="N56" s="11" t="s">
        <v>192</v>
      </c>
      <c r="O56" s="11" t="s">
        <v>192</v>
      </c>
      <c r="P56" s="11" t="s">
        <v>192</v>
      </c>
      <c r="Q56" s="2" t="s">
        <v>192</v>
      </c>
      <c r="R56" s="2" t="s">
        <v>192</v>
      </c>
      <c r="S56" s="2" t="s">
        <v>192</v>
      </c>
    </row>
    <row r="57" spans="1:19" x14ac:dyDescent="0.3">
      <c r="A57" s="11" t="s">
        <v>531</v>
      </c>
      <c r="B57" s="11">
        <v>10228</v>
      </c>
      <c r="C57" s="11">
        <v>1</v>
      </c>
      <c r="D57" s="11" t="s">
        <v>258</v>
      </c>
      <c r="E57" s="11"/>
      <c r="F57" s="11"/>
      <c r="G57" s="11"/>
      <c r="H57" s="11">
        <v>81</v>
      </c>
      <c r="I57" s="11">
        <v>86</v>
      </c>
      <c r="J57" s="11">
        <v>76</v>
      </c>
      <c r="K57" s="11">
        <v>0</v>
      </c>
      <c r="L57" s="11">
        <v>1</v>
      </c>
      <c r="M57" s="11">
        <v>0</v>
      </c>
      <c r="N57" s="11" t="s">
        <v>187</v>
      </c>
      <c r="O57" s="11" t="s">
        <v>187</v>
      </c>
      <c r="P57" s="11" t="s">
        <v>187</v>
      </c>
      <c r="Q57" s="2" t="s">
        <v>187</v>
      </c>
      <c r="R57" s="2" t="s">
        <v>187</v>
      </c>
      <c r="S57" s="2" t="s">
        <v>187</v>
      </c>
    </row>
    <row r="58" spans="1:19" x14ac:dyDescent="0.3">
      <c r="A58" s="11" t="s">
        <v>531</v>
      </c>
      <c r="B58" s="11">
        <v>10229</v>
      </c>
      <c r="C58" s="11">
        <v>1</v>
      </c>
      <c r="D58" s="11" t="s">
        <v>259</v>
      </c>
      <c r="E58" s="11"/>
      <c r="F58" s="11"/>
      <c r="G58" s="11"/>
      <c r="H58" s="11">
        <v>23</v>
      </c>
      <c r="I58" s="11">
        <v>23</v>
      </c>
      <c r="J58" s="11">
        <v>45</v>
      </c>
      <c r="K58" s="11">
        <v>0</v>
      </c>
      <c r="L58" s="11">
        <v>3</v>
      </c>
      <c r="M58" s="11">
        <v>3</v>
      </c>
      <c r="N58" s="11" t="s">
        <v>187</v>
      </c>
      <c r="O58" s="11" t="s">
        <v>191</v>
      </c>
      <c r="P58" s="11" t="s">
        <v>191</v>
      </c>
      <c r="Q58" s="2" t="s">
        <v>191</v>
      </c>
      <c r="R58" s="2" t="s">
        <v>187</v>
      </c>
      <c r="S58" s="2" t="s">
        <v>192</v>
      </c>
    </row>
    <row r="59" spans="1:19" x14ac:dyDescent="0.3">
      <c r="A59" s="11" t="s">
        <v>531</v>
      </c>
      <c r="B59" s="11">
        <v>10230</v>
      </c>
      <c r="C59" s="11">
        <v>1</v>
      </c>
      <c r="D59" s="11" t="s">
        <v>260</v>
      </c>
      <c r="E59" s="11"/>
      <c r="F59" s="11"/>
      <c r="G59" s="11"/>
      <c r="H59" s="11">
        <v>32</v>
      </c>
      <c r="I59" s="11">
        <v>31</v>
      </c>
      <c r="J59" s="11">
        <v>26</v>
      </c>
      <c r="K59" s="11">
        <v>0</v>
      </c>
      <c r="L59" s="11">
        <v>1</v>
      </c>
      <c r="M59" s="11">
        <v>3</v>
      </c>
      <c r="N59" s="11" t="s">
        <v>187</v>
      </c>
      <c r="O59" s="11" t="s">
        <v>187</v>
      </c>
      <c r="P59" s="11" t="s">
        <v>187</v>
      </c>
      <c r="Q59" s="2" t="s">
        <v>187</v>
      </c>
      <c r="R59" s="2" t="s">
        <v>187</v>
      </c>
      <c r="S59" s="2" t="s">
        <v>187</v>
      </c>
    </row>
    <row r="60" spans="1:19" x14ac:dyDescent="0.3">
      <c r="A60" s="11" t="s">
        <v>531</v>
      </c>
      <c r="B60" s="11">
        <v>10231</v>
      </c>
      <c r="C60" s="11">
        <v>1</v>
      </c>
      <c r="D60" s="11" t="s">
        <v>261</v>
      </c>
      <c r="E60" s="11"/>
      <c r="F60" s="11"/>
      <c r="G60" s="11"/>
      <c r="H60" s="11">
        <v>77</v>
      </c>
      <c r="I60" s="11">
        <v>65</v>
      </c>
      <c r="J60" s="11">
        <v>76</v>
      </c>
      <c r="K60" s="11">
        <v>0</v>
      </c>
      <c r="L60" s="11">
        <v>5</v>
      </c>
      <c r="M60" s="11">
        <v>0</v>
      </c>
      <c r="N60" s="11" t="s">
        <v>192</v>
      </c>
      <c r="O60" s="11" t="s">
        <v>192</v>
      </c>
      <c r="P60" s="11" t="s">
        <v>192</v>
      </c>
      <c r="Q60" s="2" t="s">
        <v>192</v>
      </c>
      <c r="R60" s="2" t="s">
        <v>192</v>
      </c>
      <c r="S60" s="2" t="s">
        <v>192</v>
      </c>
    </row>
    <row r="61" spans="1:19" x14ac:dyDescent="0.3">
      <c r="A61" s="11" t="s">
        <v>531</v>
      </c>
      <c r="B61" s="11">
        <v>10301</v>
      </c>
      <c r="C61" s="11">
        <v>2</v>
      </c>
      <c r="D61" s="11" t="s">
        <v>262</v>
      </c>
      <c r="E61" s="11"/>
      <c r="F61" s="11"/>
      <c r="G61" s="11"/>
      <c r="H61" s="11">
        <v>81</v>
      </c>
      <c r="I61" s="11">
        <v>86</v>
      </c>
      <c r="J61" s="11">
        <v>76</v>
      </c>
      <c r="K61" s="11">
        <v>0</v>
      </c>
      <c r="L61" s="11">
        <v>1</v>
      </c>
      <c r="M61" s="11">
        <v>0</v>
      </c>
      <c r="N61" s="11" t="s">
        <v>187</v>
      </c>
      <c r="O61" s="11" t="s">
        <v>187</v>
      </c>
      <c r="P61" s="11" t="s">
        <v>187</v>
      </c>
      <c r="Q61" s="2" t="s">
        <v>187</v>
      </c>
      <c r="R61" s="2" t="s">
        <v>187</v>
      </c>
      <c r="S61" s="2" t="s">
        <v>187</v>
      </c>
    </row>
    <row r="62" spans="1:19" x14ac:dyDescent="0.3">
      <c r="A62" s="11" t="s">
        <v>531</v>
      </c>
      <c r="B62" s="11">
        <v>10302</v>
      </c>
      <c r="C62" s="11">
        <v>2</v>
      </c>
      <c r="D62" s="11" t="s">
        <v>263</v>
      </c>
      <c r="E62" s="11"/>
      <c r="F62" s="11"/>
      <c r="G62" s="11"/>
      <c r="H62" s="11">
        <v>23</v>
      </c>
      <c r="I62" s="11">
        <v>23</v>
      </c>
      <c r="J62" s="11">
        <v>45</v>
      </c>
      <c r="K62" s="11">
        <v>0</v>
      </c>
      <c r="L62" s="11">
        <v>3</v>
      </c>
      <c r="M62" s="11">
        <v>3</v>
      </c>
      <c r="N62" s="11" t="s">
        <v>187</v>
      </c>
      <c r="O62" s="11" t="s">
        <v>191</v>
      </c>
      <c r="P62" s="11" t="s">
        <v>191</v>
      </c>
      <c r="Q62" s="2" t="s">
        <v>191</v>
      </c>
      <c r="R62" s="2" t="s">
        <v>187</v>
      </c>
      <c r="S62" s="2" t="s">
        <v>192</v>
      </c>
    </row>
    <row r="63" spans="1:19" x14ac:dyDescent="0.3">
      <c r="A63" s="11" t="s">
        <v>531</v>
      </c>
      <c r="B63" s="11">
        <v>10303</v>
      </c>
      <c r="C63" s="11">
        <v>2</v>
      </c>
      <c r="D63" s="11" t="s">
        <v>264</v>
      </c>
      <c r="E63" s="11"/>
      <c r="F63" s="11"/>
      <c r="G63" s="11"/>
      <c r="H63" s="11">
        <v>32</v>
      </c>
      <c r="I63" s="11">
        <v>31</v>
      </c>
      <c r="J63" s="11">
        <v>26</v>
      </c>
      <c r="K63" s="11">
        <v>0</v>
      </c>
      <c r="L63" s="11">
        <v>1</v>
      </c>
      <c r="M63" s="11">
        <v>3</v>
      </c>
      <c r="N63" s="11" t="s">
        <v>187</v>
      </c>
      <c r="O63" s="11" t="s">
        <v>187</v>
      </c>
      <c r="P63" s="11" t="s">
        <v>187</v>
      </c>
      <c r="Q63" s="2" t="s">
        <v>187</v>
      </c>
      <c r="R63" s="2" t="s">
        <v>187</v>
      </c>
      <c r="S63" s="2" t="s">
        <v>187</v>
      </c>
    </row>
    <row r="64" spans="1:19" x14ac:dyDescent="0.3">
      <c r="A64" s="11" t="s">
        <v>531</v>
      </c>
      <c r="B64" s="11">
        <v>10304</v>
      </c>
      <c r="C64" s="11">
        <v>2</v>
      </c>
      <c r="D64" s="11" t="s">
        <v>265</v>
      </c>
      <c r="E64" s="11"/>
      <c r="F64" s="11"/>
      <c r="G64" s="11"/>
      <c r="H64" s="11">
        <v>77</v>
      </c>
      <c r="I64" s="11">
        <v>65</v>
      </c>
      <c r="J64" s="11">
        <v>76</v>
      </c>
      <c r="K64" s="11">
        <v>0</v>
      </c>
      <c r="L64" s="11">
        <v>5</v>
      </c>
      <c r="M64" s="11">
        <v>0</v>
      </c>
      <c r="N64" s="11" t="s">
        <v>192</v>
      </c>
      <c r="O64" s="11" t="s">
        <v>192</v>
      </c>
      <c r="P64" s="11" t="s">
        <v>192</v>
      </c>
      <c r="Q64" s="2" t="s">
        <v>192</v>
      </c>
      <c r="R64" s="2" t="s">
        <v>192</v>
      </c>
      <c r="S64" s="2" t="s">
        <v>192</v>
      </c>
    </row>
    <row r="65" spans="1:19" x14ac:dyDescent="0.3">
      <c r="A65" s="11" t="s">
        <v>531</v>
      </c>
      <c r="B65" s="11">
        <v>10305</v>
      </c>
      <c r="C65" s="11">
        <v>2</v>
      </c>
      <c r="D65" s="11" t="s">
        <v>266</v>
      </c>
      <c r="E65" s="11"/>
      <c r="F65" s="11"/>
      <c r="G65" s="11"/>
      <c r="H65" s="11">
        <v>81</v>
      </c>
      <c r="I65" s="11">
        <v>86</v>
      </c>
      <c r="J65" s="11">
        <v>76</v>
      </c>
      <c r="K65" s="11">
        <v>0</v>
      </c>
      <c r="L65" s="11">
        <v>1</v>
      </c>
      <c r="M65" s="11">
        <v>0</v>
      </c>
      <c r="N65" s="11" t="s">
        <v>187</v>
      </c>
      <c r="O65" s="11" t="s">
        <v>187</v>
      </c>
      <c r="P65" s="11" t="s">
        <v>187</v>
      </c>
      <c r="Q65" s="2" t="s">
        <v>187</v>
      </c>
      <c r="R65" s="2" t="s">
        <v>187</v>
      </c>
      <c r="S65" s="2" t="s">
        <v>187</v>
      </c>
    </row>
    <row r="66" spans="1:19" x14ac:dyDescent="0.3">
      <c r="A66" s="11" t="s">
        <v>531</v>
      </c>
      <c r="B66" s="11">
        <v>10306</v>
      </c>
      <c r="C66" s="11">
        <v>2</v>
      </c>
      <c r="D66" s="11" t="s">
        <v>267</v>
      </c>
      <c r="E66" s="11"/>
      <c r="F66" s="11"/>
      <c r="G66" s="11"/>
      <c r="H66" s="11">
        <v>23</v>
      </c>
      <c r="I66" s="11">
        <v>23</v>
      </c>
      <c r="J66" s="11">
        <v>45</v>
      </c>
      <c r="K66" s="11">
        <v>0</v>
      </c>
      <c r="L66" s="11">
        <v>3</v>
      </c>
      <c r="M66" s="11">
        <v>3</v>
      </c>
      <c r="N66" s="11" t="s">
        <v>187</v>
      </c>
      <c r="O66" s="11" t="s">
        <v>191</v>
      </c>
      <c r="P66" s="11" t="s">
        <v>191</v>
      </c>
      <c r="Q66" s="2" t="s">
        <v>191</v>
      </c>
      <c r="R66" s="2" t="s">
        <v>187</v>
      </c>
      <c r="S66" s="2" t="s">
        <v>192</v>
      </c>
    </row>
    <row r="67" spans="1:19" x14ac:dyDescent="0.3">
      <c r="A67" s="11" t="s">
        <v>531</v>
      </c>
      <c r="B67" s="11">
        <v>10307</v>
      </c>
      <c r="C67" s="11">
        <v>2</v>
      </c>
      <c r="D67" s="11" t="s">
        <v>268</v>
      </c>
      <c r="E67" s="11"/>
      <c r="F67" s="11"/>
      <c r="G67" s="11"/>
      <c r="H67" s="11">
        <v>32</v>
      </c>
      <c r="I67" s="11">
        <v>31</v>
      </c>
      <c r="J67" s="11">
        <v>26</v>
      </c>
      <c r="K67" s="11">
        <v>0</v>
      </c>
      <c r="L67" s="11">
        <v>1</v>
      </c>
      <c r="M67" s="11">
        <v>3</v>
      </c>
      <c r="N67" s="11" t="s">
        <v>187</v>
      </c>
      <c r="O67" s="11" t="s">
        <v>187</v>
      </c>
      <c r="P67" s="11" t="s">
        <v>187</v>
      </c>
      <c r="Q67" s="2" t="s">
        <v>187</v>
      </c>
      <c r="R67" s="2" t="s">
        <v>187</v>
      </c>
      <c r="S67" s="2" t="s">
        <v>187</v>
      </c>
    </row>
    <row r="68" spans="1:19" x14ac:dyDescent="0.3">
      <c r="A68" s="11" t="s">
        <v>531</v>
      </c>
      <c r="B68" s="11">
        <v>10308</v>
      </c>
      <c r="C68" s="11">
        <v>2</v>
      </c>
      <c r="D68" s="11" t="s">
        <v>269</v>
      </c>
      <c r="E68" s="11"/>
      <c r="F68" s="11"/>
      <c r="G68" s="11"/>
      <c r="H68" s="11">
        <v>77</v>
      </c>
      <c r="I68" s="11">
        <v>65</v>
      </c>
      <c r="J68" s="11">
        <v>76</v>
      </c>
      <c r="K68" s="11">
        <v>0</v>
      </c>
      <c r="L68" s="11">
        <v>5</v>
      </c>
      <c r="M68" s="11">
        <v>0</v>
      </c>
      <c r="N68" s="11" t="s">
        <v>192</v>
      </c>
      <c r="O68" s="11" t="s">
        <v>192</v>
      </c>
      <c r="P68" s="11" t="s">
        <v>192</v>
      </c>
      <c r="Q68" s="2" t="s">
        <v>192</v>
      </c>
      <c r="R68" s="2" t="s">
        <v>192</v>
      </c>
      <c r="S68" s="2" t="s">
        <v>192</v>
      </c>
    </row>
    <row r="69" spans="1:19" x14ac:dyDescent="0.3">
      <c r="A69" s="11" t="s">
        <v>531</v>
      </c>
      <c r="B69" s="11">
        <v>10309</v>
      </c>
      <c r="C69" s="11">
        <v>2</v>
      </c>
      <c r="D69" s="11" t="s">
        <v>270</v>
      </c>
      <c r="E69" s="11"/>
      <c r="F69" s="11"/>
      <c r="G69" s="11"/>
      <c r="H69" s="11">
        <v>81</v>
      </c>
      <c r="I69" s="11">
        <v>86</v>
      </c>
      <c r="J69" s="11">
        <v>76</v>
      </c>
      <c r="K69" s="11">
        <v>0</v>
      </c>
      <c r="L69" s="11">
        <v>1</v>
      </c>
      <c r="M69" s="11">
        <v>0</v>
      </c>
      <c r="N69" s="11" t="s">
        <v>187</v>
      </c>
      <c r="O69" s="11" t="s">
        <v>187</v>
      </c>
      <c r="P69" s="11" t="s">
        <v>187</v>
      </c>
      <c r="Q69" s="2" t="s">
        <v>187</v>
      </c>
      <c r="R69" s="2" t="s">
        <v>187</v>
      </c>
      <c r="S69" s="2" t="s">
        <v>187</v>
      </c>
    </row>
    <row r="70" spans="1:19" x14ac:dyDescent="0.3">
      <c r="A70" s="11" t="s">
        <v>531</v>
      </c>
      <c r="B70" s="11">
        <v>10310</v>
      </c>
      <c r="C70" s="11">
        <v>2</v>
      </c>
      <c r="D70" s="11" t="s">
        <v>271</v>
      </c>
      <c r="E70" s="11"/>
      <c r="F70" s="11"/>
      <c r="G70" s="11"/>
      <c r="H70" s="11">
        <v>23</v>
      </c>
      <c r="I70" s="11">
        <v>23</v>
      </c>
      <c r="J70" s="11">
        <v>45</v>
      </c>
      <c r="K70" s="11">
        <v>0</v>
      </c>
      <c r="L70" s="11">
        <v>3</v>
      </c>
      <c r="M70" s="11">
        <v>3</v>
      </c>
      <c r="N70" s="11" t="s">
        <v>187</v>
      </c>
      <c r="O70" s="11" t="s">
        <v>191</v>
      </c>
      <c r="P70" s="11" t="s">
        <v>191</v>
      </c>
      <c r="Q70" s="2" t="s">
        <v>191</v>
      </c>
      <c r="R70" s="2" t="s">
        <v>187</v>
      </c>
      <c r="S70" s="2" t="s">
        <v>192</v>
      </c>
    </row>
    <row r="71" spans="1:19" x14ac:dyDescent="0.3">
      <c r="A71" s="11" t="s">
        <v>531</v>
      </c>
      <c r="B71" s="11">
        <v>10311</v>
      </c>
      <c r="C71" s="11">
        <v>2</v>
      </c>
      <c r="D71" s="11" t="s">
        <v>272</v>
      </c>
      <c r="E71" s="11"/>
      <c r="F71" s="11"/>
      <c r="G71" s="11"/>
      <c r="H71" s="11">
        <v>32</v>
      </c>
      <c r="I71" s="11">
        <v>31</v>
      </c>
      <c r="J71" s="11">
        <v>26</v>
      </c>
      <c r="K71" s="11">
        <v>0</v>
      </c>
      <c r="L71" s="11">
        <v>1</v>
      </c>
      <c r="M71" s="11">
        <v>3</v>
      </c>
      <c r="N71" s="11" t="s">
        <v>187</v>
      </c>
      <c r="O71" s="11" t="s">
        <v>187</v>
      </c>
      <c r="P71" s="11" t="s">
        <v>187</v>
      </c>
      <c r="Q71" s="2" t="s">
        <v>187</v>
      </c>
      <c r="R71" s="2" t="s">
        <v>187</v>
      </c>
      <c r="S71" s="2" t="s">
        <v>187</v>
      </c>
    </row>
    <row r="72" spans="1:19" x14ac:dyDescent="0.3">
      <c r="A72" s="11" t="s">
        <v>531</v>
      </c>
      <c r="B72" s="11">
        <v>10312</v>
      </c>
      <c r="C72" s="11">
        <v>2</v>
      </c>
      <c r="D72" s="11" t="s">
        <v>273</v>
      </c>
      <c r="E72" s="11"/>
      <c r="F72" s="11"/>
      <c r="G72" s="11"/>
      <c r="H72" s="11">
        <v>77</v>
      </c>
      <c r="I72" s="11">
        <v>65</v>
      </c>
      <c r="J72" s="11">
        <v>76</v>
      </c>
      <c r="K72" s="11">
        <v>0</v>
      </c>
      <c r="L72" s="11">
        <v>5</v>
      </c>
      <c r="M72" s="11">
        <v>0</v>
      </c>
      <c r="N72" s="11" t="s">
        <v>192</v>
      </c>
      <c r="O72" s="11" t="s">
        <v>192</v>
      </c>
      <c r="P72" s="11" t="s">
        <v>192</v>
      </c>
      <c r="Q72" s="2" t="s">
        <v>192</v>
      </c>
      <c r="R72" s="2" t="s">
        <v>192</v>
      </c>
      <c r="S72" s="2" t="s">
        <v>192</v>
      </c>
    </row>
    <row r="73" spans="1:19" x14ac:dyDescent="0.3">
      <c r="A73" s="11" t="s">
        <v>531</v>
      </c>
      <c r="B73" s="11">
        <v>10313</v>
      </c>
      <c r="C73" s="11">
        <v>2</v>
      </c>
      <c r="D73" s="11" t="s">
        <v>274</v>
      </c>
      <c r="E73" s="11"/>
      <c r="F73" s="11"/>
      <c r="G73" s="11"/>
      <c r="H73" s="11">
        <v>81</v>
      </c>
      <c r="I73" s="11">
        <v>86</v>
      </c>
      <c r="J73" s="11">
        <v>76</v>
      </c>
      <c r="K73" s="11">
        <v>0</v>
      </c>
      <c r="L73" s="11">
        <v>1</v>
      </c>
      <c r="M73" s="11">
        <v>0</v>
      </c>
      <c r="N73" s="11" t="s">
        <v>187</v>
      </c>
      <c r="O73" s="11" t="s">
        <v>187</v>
      </c>
      <c r="P73" s="11" t="s">
        <v>187</v>
      </c>
      <c r="Q73" s="2" t="s">
        <v>187</v>
      </c>
      <c r="R73" s="2" t="s">
        <v>187</v>
      </c>
      <c r="S73" s="2" t="s">
        <v>187</v>
      </c>
    </row>
    <row r="74" spans="1:19" x14ac:dyDescent="0.3">
      <c r="A74" s="11" t="s">
        <v>531</v>
      </c>
      <c r="B74" s="11">
        <v>10314</v>
      </c>
      <c r="C74" s="11">
        <v>2</v>
      </c>
      <c r="D74" s="11" t="s">
        <v>275</v>
      </c>
      <c r="E74" s="11"/>
      <c r="F74" s="11"/>
      <c r="G74" s="11"/>
      <c r="H74" s="11">
        <v>23</v>
      </c>
      <c r="I74" s="11">
        <v>23</v>
      </c>
      <c r="J74" s="11">
        <v>45</v>
      </c>
      <c r="K74" s="11">
        <v>0</v>
      </c>
      <c r="L74" s="11">
        <v>3</v>
      </c>
      <c r="M74" s="11">
        <v>3</v>
      </c>
      <c r="N74" s="11" t="s">
        <v>187</v>
      </c>
      <c r="O74" s="11" t="s">
        <v>191</v>
      </c>
      <c r="P74" s="11" t="s">
        <v>191</v>
      </c>
      <c r="Q74" s="2" t="s">
        <v>191</v>
      </c>
      <c r="R74" s="2" t="s">
        <v>187</v>
      </c>
      <c r="S74" s="2" t="s">
        <v>192</v>
      </c>
    </row>
    <row r="75" spans="1:19" x14ac:dyDescent="0.3">
      <c r="A75" s="11" t="s">
        <v>531</v>
      </c>
      <c r="B75" s="11">
        <v>10315</v>
      </c>
      <c r="C75" s="11">
        <v>2</v>
      </c>
      <c r="D75" s="11" t="s">
        <v>276</v>
      </c>
      <c r="E75" s="11"/>
      <c r="F75" s="11"/>
      <c r="G75" s="11"/>
      <c r="H75" s="11">
        <v>32</v>
      </c>
      <c r="I75" s="11">
        <v>31</v>
      </c>
      <c r="J75" s="11">
        <v>26</v>
      </c>
      <c r="K75" s="11">
        <v>0</v>
      </c>
      <c r="L75" s="11">
        <v>1</v>
      </c>
      <c r="M75" s="11">
        <v>3</v>
      </c>
      <c r="N75" s="11" t="s">
        <v>187</v>
      </c>
      <c r="O75" s="11" t="s">
        <v>187</v>
      </c>
      <c r="P75" s="11" t="s">
        <v>187</v>
      </c>
      <c r="Q75" s="2" t="s">
        <v>187</v>
      </c>
      <c r="R75" s="2" t="s">
        <v>187</v>
      </c>
      <c r="S75" s="2" t="s">
        <v>187</v>
      </c>
    </row>
    <row r="76" spans="1:19" x14ac:dyDescent="0.3">
      <c r="A76" s="11" t="s">
        <v>531</v>
      </c>
      <c r="B76" s="11">
        <v>10316</v>
      </c>
      <c r="C76" s="11">
        <v>1</v>
      </c>
      <c r="D76" s="11" t="s">
        <v>277</v>
      </c>
      <c r="E76" s="11"/>
      <c r="F76" s="11"/>
      <c r="G76" s="11"/>
      <c r="H76" s="11">
        <v>77</v>
      </c>
      <c r="I76" s="11">
        <v>65</v>
      </c>
      <c r="J76" s="11">
        <v>76</v>
      </c>
      <c r="K76" s="11">
        <v>0</v>
      </c>
      <c r="L76" s="11">
        <v>5</v>
      </c>
      <c r="M76" s="11">
        <v>0</v>
      </c>
      <c r="N76" s="11" t="s">
        <v>192</v>
      </c>
      <c r="O76" s="11" t="s">
        <v>192</v>
      </c>
      <c r="P76" s="11" t="s">
        <v>192</v>
      </c>
      <c r="Q76" s="2" t="s">
        <v>192</v>
      </c>
      <c r="R76" s="2" t="s">
        <v>192</v>
      </c>
      <c r="S76" s="2" t="s">
        <v>192</v>
      </c>
    </row>
    <row r="77" spans="1:19" x14ac:dyDescent="0.3">
      <c r="A77" s="11" t="s">
        <v>531</v>
      </c>
      <c r="B77" s="11">
        <v>10317</v>
      </c>
      <c r="C77" s="11">
        <v>1</v>
      </c>
      <c r="D77" s="11" t="s">
        <v>278</v>
      </c>
      <c r="E77" s="11"/>
      <c r="F77" s="11"/>
      <c r="G77" s="11"/>
      <c r="H77" s="11">
        <v>81</v>
      </c>
      <c r="I77" s="11">
        <v>86</v>
      </c>
      <c r="J77" s="11">
        <v>76</v>
      </c>
      <c r="K77" s="11">
        <v>0</v>
      </c>
      <c r="L77" s="11">
        <v>1</v>
      </c>
      <c r="M77" s="11">
        <v>0</v>
      </c>
      <c r="N77" s="11" t="s">
        <v>187</v>
      </c>
      <c r="O77" s="11" t="s">
        <v>187</v>
      </c>
      <c r="P77" s="11" t="s">
        <v>187</v>
      </c>
      <c r="Q77" s="2" t="s">
        <v>187</v>
      </c>
      <c r="R77" s="2" t="s">
        <v>187</v>
      </c>
      <c r="S77" s="2" t="s">
        <v>187</v>
      </c>
    </row>
    <row r="78" spans="1:19" x14ac:dyDescent="0.3">
      <c r="A78" s="11" t="s">
        <v>531</v>
      </c>
      <c r="B78" s="11">
        <v>10318</v>
      </c>
      <c r="C78" s="11">
        <v>1</v>
      </c>
      <c r="D78" s="11" t="s">
        <v>279</v>
      </c>
      <c r="E78" s="11"/>
      <c r="F78" s="11"/>
      <c r="G78" s="11"/>
      <c r="H78" s="11">
        <v>23</v>
      </c>
      <c r="I78" s="11">
        <v>23</v>
      </c>
      <c r="J78" s="11">
        <v>45</v>
      </c>
      <c r="K78" s="11">
        <v>0</v>
      </c>
      <c r="L78" s="11">
        <v>3</v>
      </c>
      <c r="M78" s="11">
        <v>3</v>
      </c>
      <c r="N78" s="11" t="s">
        <v>187</v>
      </c>
      <c r="O78" s="11" t="s">
        <v>191</v>
      </c>
      <c r="P78" s="11" t="s">
        <v>191</v>
      </c>
      <c r="Q78" s="2" t="s">
        <v>191</v>
      </c>
      <c r="R78" s="2" t="s">
        <v>187</v>
      </c>
      <c r="S78" s="2" t="s">
        <v>192</v>
      </c>
    </row>
    <row r="79" spans="1:19" x14ac:dyDescent="0.3">
      <c r="A79" s="11" t="s">
        <v>531</v>
      </c>
      <c r="B79" s="11">
        <v>10319</v>
      </c>
      <c r="C79" s="11">
        <v>1</v>
      </c>
      <c r="D79" s="11" t="s">
        <v>280</v>
      </c>
      <c r="E79" s="11"/>
      <c r="F79" s="11"/>
      <c r="G79" s="11"/>
      <c r="H79" s="11">
        <v>32</v>
      </c>
      <c r="I79" s="11">
        <v>31</v>
      </c>
      <c r="J79" s="11">
        <v>26</v>
      </c>
      <c r="K79" s="11">
        <v>0</v>
      </c>
      <c r="L79" s="11">
        <v>1</v>
      </c>
      <c r="M79" s="11">
        <v>3</v>
      </c>
      <c r="N79" s="11" t="s">
        <v>187</v>
      </c>
      <c r="O79" s="11" t="s">
        <v>187</v>
      </c>
      <c r="P79" s="11" t="s">
        <v>187</v>
      </c>
      <c r="Q79" s="2" t="s">
        <v>187</v>
      </c>
      <c r="R79" s="2" t="s">
        <v>187</v>
      </c>
      <c r="S79" s="2" t="s">
        <v>187</v>
      </c>
    </row>
    <row r="80" spans="1:19" x14ac:dyDescent="0.3">
      <c r="A80" s="11" t="s">
        <v>531</v>
      </c>
      <c r="B80" s="11">
        <v>10320</v>
      </c>
      <c r="C80" s="11">
        <v>1</v>
      </c>
      <c r="D80" s="11" t="s">
        <v>281</v>
      </c>
      <c r="E80" s="11"/>
      <c r="F80" s="11"/>
      <c r="G80" s="11"/>
      <c r="H80" s="11">
        <v>77</v>
      </c>
      <c r="I80" s="11">
        <v>65</v>
      </c>
      <c r="J80" s="11">
        <v>76</v>
      </c>
      <c r="K80" s="11">
        <v>0</v>
      </c>
      <c r="L80" s="11">
        <v>5</v>
      </c>
      <c r="M80" s="11">
        <v>0</v>
      </c>
      <c r="N80" s="11" t="s">
        <v>192</v>
      </c>
      <c r="O80" s="11" t="s">
        <v>192</v>
      </c>
      <c r="P80" s="11" t="s">
        <v>192</v>
      </c>
      <c r="Q80" s="2" t="s">
        <v>192</v>
      </c>
      <c r="R80" s="2" t="s">
        <v>192</v>
      </c>
      <c r="S80" s="2" t="s">
        <v>192</v>
      </c>
    </row>
    <row r="81" spans="1:19" x14ac:dyDescent="0.3">
      <c r="A81" s="11" t="s">
        <v>531</v>
      </c>
      <c r="B81" s="11">
        <v>10321</v>
      </c>
      <c r="C81" s="11">
        <v>1</v>
      </c>
      <c r="D81" s="11" t="s">
        <v>282</v>
      </c>
      <c r="E81" s="11"/>
      <c r="F81" s="11"/>
      <c r="G81" s="11"/>
      <c r="H81" s="11">
        <v>81</v>
      </c>
      <c r="I81" s="11">
        <v>86</v>
      </c>
      <c r="J81" s="11">
        <v>76</v>
      </c>
      <c r="K81" s="11">
        <v>0</v>
      </c>
      <c r="L81" s="11">
        <v>1</v>
      </c>
      <c r="M81" s="11">
        <v>0</v>
      </c>
      <c r="N81" s="11" t="s">
        <v>187</v>
      </c>
      <c r="O81" s="11" t="s">
        <v>187</v>
      </c>
      <c r="P81" s="11" t="s">
        <v>187</v>
      </c>
      <c r="Q81" s="2" t="s">
        <v>187</v>
      </c>
      <c r="R81" s="2" t="s">
        <v>187</v>
      </c>
      <c r="S81" s="2" t="s">
        <v>187</v>
      </c>
    </row>
    <row r="82" spans="1:19" x14ac:dyDescent="0.3">
      <c r="A82" s="11" t="s">
        <v>531</v>
      </c>
      <c r="B82" s="11">
        <v>10322</v>
      </c>
      <c r="C82" s="11">
        <v>1</v>
      </c>
      <c r="D82" s="11" t="s">
        <v>283</v>
      </c>
      <c r="E82" s="11"/>
      <c r="F82" s="11"/>
      <c r="G82" s="11"/>
      <c r="H82" s="11">
        <v>23</v>
      </c>
      <c r="I82" s="11">
        <v>23</v>
      </c>
      <c r="J82" s="11">
        <v>45</v>
      </c>
      <c r="K82" s="11">
        <v>0</v>
      </c>
      <c r="L82" s="11">
        <v>3</v>
      </c>
      <c r="M82" s="11">
        <v>3</v>
      </c>
      <c r="N82" s="11" t="s">
        <v>187</v>
      </c>
      <c r="O82" s="11" t="s">
        <v>191</v>
      </c>
      <c r="P82" s="11" t="s">
        <v>191</v>
      </c>
      <c r="Q82" s="2" t="s">
        <v>191</v>
      </c>
      <c r="R82" s="2" t="s">
        <v>187</v>
      </c>
      <c r="S82" s="2" t="s">
        <v>192</v>
      </c>
    </row>
    <row r="83" spans="1:19" x14ac:dyDescent="0.3">
      <c r="A83" s="11" t="s">
        <v>531</v>
      </c>
      <c r="B83" s="11">
        <v>10323</v>
      </c>
      <c r="C83" s="11">
        <v>1</v>
      </c>
      <c r="D83" s="11" t="s">
        <v>284</v>
      </c>
      <c r="E83" s="11"/>
      <c r="F83" s="11"/>
      <c r="G83" s="11"/>
      <c r="H83" s="11">
        <v>32</v>
      </c>
      <c r="I83" s="11">
        <v>31</v>
      </c>
      <c r="J83" s="11">
        <v>26</v>
      </c>
      <c r="K83" s="11">
        <v>0</v>
      </c>
      <c r="L83" s="11">
        <v>1</v>
      </c>
      <c r="M83" s="11">
        <v>3</v>
      </c>
      <c r="N83" s="11" t="s">
        <v>187</v>
      </c>
      <c r="O83" s="11" t="s">
        <v>187</v>
      </c>
      <c r="P83" s="11" t="s">
        <v>187</v>
      </c>
      <c r="Q83" s="2" t="s">
        <v>187</v>
      </c>
      <c r="R83" s="2" t="s">
        <v>187</v>
      </c>
      <c r="S83" s="2" t="s">
        <v>187</v>
      </c>
    </row>
    <row r="84" spans="1:19" x14ac:dyDescent="0.3">
      <c r="A84" s="11" t="s">
        <v>531</v>
      </c>
      <c r="B84" s="11">
        <v>10324</v>
      </c>
      <c r="C84" s="11">
        <v>1</v>
      </c>
      <c r="D84" s="11" t="s">
        <v>285</v>
      </c>
      <c r="E84" s="11"/>
      <c r="F84" s="11"/>
      <c r="G84" s="11"/>
      <c r="H84" s="11">
        <v>77</v>
      </c>
      <c r="I84" s="11">
        <v>65</v>
      </c>
      <c r="J84" s="11">
        <v>76</v>
      </c>
      <c r="K84" s="11">
        <v>0</v>
      </c>
      <c r="L84" s="11">
        <v>5</v>
      </c>
      <c r="M84" s="11">
        <v>0</v>
      </c>
      <c r="N84" s="11" t="s">
        <v>192</v>
      </c>
      <c r="O84" s="11" t="s">
        <v>192</v>
      </c>
      <c r="P84" s="11" t="s">
        <v>192</v>
      </c>
      <c r="Q84" s="2" t="s">
        <v>192</v>
      </c>
      <c r="R84" s="2" t="s">
        <v>192</v>
      </c>
      <c r="S84" s="2" t="s">
        <v>192</v>
      </c>
    </row>
    <row r="85" spans="1:19" x14ac:dyDescent="0.3">
      <c r="A85" s="11" t="s">
        <v>531</v>
      </c>
      <c r="B85" s="11">
        <v>10325</v>
      </c>
      <c r="C85" s="11">
        <v>1</v>
      </c>
      <c r="D85" s="11" t="s">
        <v>286</v>
      </c>
      <c r="E85" s="11"/>
      <c r="F85" s="11"/>
      <c r="G85" s="11"/>
      <c r="H85" s="11">
        <v>81</v>
      </c>
      <c r="I85" s="11">
        <v>86</v>
      </c>
      <c r="J85" s="11">
        <v>76</v>
      </c>
      <c r="K85" s="11">
        <v>0</v>
      </c>
      <c r="L85" s="11">
        <v>1</v>
      </c>
      <c r="M85" s="11">
        <v>0</v>
      </c>
      <c r="N85" s="11" t="s">
        <v>187</v>
      </c>
      <c r="O85" s="11" t="s">
        <v>187</v>
      </c>
      <c r="P85" s="11" t="s">
        <v>187</v>
      </c>
      <c r="Q85" s="2" t="s">
        <v>187</v>
      </c>
      <c r="R85" s="2" t="s">
        <v>187</v>
      </c>
      <c r="S85" s="2" t="s">
        <v>187</v>
      </c>
    </row>
    <row r="86" spans="1:19" x14ac:dyDescent="0.3">
      <c r="A86" s="11" t="s">
        <v>531</v>
      </c>
      <c r="B86" s="11">
        <v>10326</v>
      </c>
      <c r="C86" s="11">
        <v>1</v>
      </c>
      <c r="D86" s="11" t="s">
        <v>287</v>
      </c>
      <c r="E86" s="11"/>
      <c r="F86" s="11"/>
      <c r="G86" s="11"/>
      <c r="H86" s="11">
        <v>23</v>
      </c>
      <c r="I86" s="11">
        <v>23</v>
      </c>
      <c r="J86" s="11">
        <v>45</v>
      </c>
      <c r="K86" s="11">
        <v>0</v>
      </c>
      <c r="L86" s="11">
        <v>3</v>
      </c>
      <c r="M86" s="11">
        <v>3</v>
      </c>
      <c r="N86" s="11" t="s">
        <v>187</v>
      </c>
      <c r="O86" s="11" t="s">
        <v>191</v>
      </c>
      <c r="P86" s="11" t="s">
        <v>191</v>
      </c>
      <c r="Q86" s="2" t="s">
        <v>191</v>
      </c>
      <c r="R86" s="2" t="s">
        <v>187</v>
      </c>
      <c r="S86" s="2" t="s">
        <v>192</v>
      </c>
    </row>
    <row r="87" spans="1:19" x14ac:dyDescent="0.3">
      <c r="A87" s="11" t="s">
        <v>531</v>
      </c>
      <c r="B87" s="11">
        <v>10327</v>
      </c>
      <c r="C87" s="11">
        <v>1</v>
      </c>
      <c r="D87" s="11" t="s">
        <v>288</v>
      </c>
      <c r="E87" s="11"/>
      <c r="F87" s="11"/>
      <c r="G87" s="11"/>
      <c r="H87" s="11">
        <v>32</v>
      </c>
      <c r="I87" s="11">
        <v>31</v>
      </c>
      <c r="J87" s="11">
        <v>26</v>
      </c>
      <c r="K87" s="11">
        <v>0</v>
      </c>
      <c r="L87" s="11">
        <v>1</v>
      </c>
      <c r="M87" s="11">
        <v>3</v>
      </c>
      <c r="N87" s="11" t="s">
        <v>187</v>
      </c>
      <c r="O87" s="11" t="s">
        <v>187</v>
      </c>
      <c r="P87" s="11" t="s">
        <v>187</v>
      </c>
      <c r="Q87" s="2" t="s">
        <v>187</v>
      </c>
      <c r="R87" s="2" t="s">
        <v>187</v>
      </c>
      <c r="S87" s="2" t="s">
        <v>187</v>
      </c>
    </row>
    <row r="88" spans="1:19" x14ac:dyDescent="0.3">
      <c r="A88" s="11" t="s">
        <v>531</v>
      </c>
      <c r="B88" s="11">
        <v>10328</v>
      </c>
      <c r="C88" s="11">
        <v>1</v>
      </c>
      <c r="D88" s="11" t="s">
        <v>289</v>
      </c>
      <c r="E88" s="11"/>
      <c r="F88" s="11"/>
      <c r="G88" s="11"/>
      <c r="H88" s="11">
        <v>77</v>
      </c>
      <c r="I88" s="11">
        <v>65</v>
      </c>
      <c r="J88" s="11">
        <v>76</v>
      </c>
      <c r="K88" s="11">
        <v>0</v>
      </c>
      <c r="L88" s="11">
        <v>5</v>
      </c>
      <c r="M88" s="11">
        <v>0</v>
      </c>
      <c r="N88" s="11" t="s">
        <v>192</v>
      </c>
      <c r="O88" s="11" t="s">
        <v>192</v>
      </c>
      <c r="P88" s="11" t="s">
        <v>192</v>
      </c>
      <c r="Q88" s="2" t="s">
        <v>192</v>
      </c>
      <c r="R88" s="2" t="s">
        <v>192</v>
      </c>
      <c r="S88" s="2" t="s">
        <v>192</v>
      </c>
    </row>
    <row r="89" spans="1:19" x14ac:dyDescent="0.3">
      <c r="A89" s="11" t="s">
        <v>531</v>
      </c>
      <c r="B89" s="11">
        <v>10329</v>
      </c>
      <c r="C89" s="11">
        <v>1</v>
      </c>
      <c r="D89" s="11" t="s">
        <v>290</v>
      </c>
      <c r="E89" s="11"/>
      <c r="F89" s="11"/>
      <c r="G89" s="11"/>
      <c r="H89" s="11">
        <v>81</v>
      </c>
      <c r="I89" s="11">
        <v>86</v>
      </c>
      <c r="J89" s="11">
        <v>76</v>
      </c>
      <c r="K89" s="11">
        <v>0</v>
      </c>
      <c r="L89" s="11">
        <v>1</v>
      </c>
      <c r="M89" s="11">
        <v>0</v>
      </c>
      <c r="N89" s="11" t="s">
        <v>187</v>
      </c>
      <c r="O89" s="11" t="s">
        <v>187</v>
      </c>
      <c r="P89" s="11" t="s">
        <v>187</v>
      </c>
      <c r="Q89" s="2" t="s">
        <v>187</v>
      </c>
      <c r="R89" s="2" t="s">
        <v>187</v>
      </c>
      <c r="S89" s="2" t="s">
        <v>187</v>
      </c>
    </row>
    <row r="90" spans="1:19" x14ac:dyDescent="0.3">
      <c r="A90" s="11" t="s">
        <v>531</v>
      </c>
      <c r="B90" s="11">
        <v>10330</v>
      </c>
      <c r="C90" s="11">
        <v>1</v>
      </c>
      <c r="D90" s="11" t="s">
        <v>291</v>
      </c>
      <c r="E90" s="11"/>
      <c r="F90" s="11"/>
      <c r="G90" s="11"/>
      <c r="H90" s="11">
        <v>23</v>
      </c>
      <c r="I90" s="11">
        <v>23</v>
      </c>
      <c r="J90" s="11">
        <v>45</v>
      </c>
      <c r="K90" s="11">
        <v>0</v>
      </c>
      <c r="L90" s="11">
        <v>3</v>
      </c>
      <c r="M90" s="11">
        <v>3</v>
      </c>
      <c r="N90" s="11" t="s">
        <v>187</v>
      </c>
      <c r="O90" s="11" t="s">
        <v>191</v>
      </c>
      <c r="P90" s="11" t="s">
        <v>191</v>
      </c>
      <c r="Q90" s="2" t="s">
        <v>191</v>
      </c>
      <c r="R90" s="2" t="s">
        <v>187</v>
      </c>
      <c r="S90" s="2" t="s">
        <v>192</v>
      </c>
    </row>
    <row r="91" spans="1:19" x14ac:dyDescent="0.3">
      <c r="A91" s="11" t="s">
        <v>531</v>
      </c>
      <c r="B91" s="11">
        <v>10402</v>
      </c>
      <c r="C91" s="11">
        <v>2</v>
      </c>
      <c r="D91" s="11" t="s">
        <v>292</v>
      </c>
      <c r="E91" s="11"/>
      <c r="F91" s="11"/>
      <c r="G91" s="11"/>
      <c r="H91" s="11">
        <v>32</v>
      </c>
      <c r="I91" s="11">
        <v>31</v>
      </c>
      <c r="J91" s="11">
        <v>26</v>
      </c>
      <c r="K91" s="11">
        <v>0</v>
      </c>
      <c r="L91" s="11">
        <v>1</v>
      </c>
      <c r="M91" s="11">
        <v>3</v>
      </c>
      <c r="N91" s="11" t="s">
        <v>187</v>
      </c>
      <c r="O91" s="11" t="s">
        <v>187</v>
      </c>
      <c r="P91" s="11" t="s">
        <v>187</v>
      </c>
      <c r="Q91" s="2" t="s">
        <v>187</v>
      </c>
      <c r="R91" s="2" t="s">
        <v>187</v>
      </c>
      <c r="S91" s="2" t="s">
        <v>187</v>
      </c>
    </row>
    <row r="92" spans="1:19" x14ac:dyDescent="0.3">
      <c r="A92" s="11" t="s">
        <v>531</v>
      </c>
      <c r="B92" s="11">
        <v>10403</v>
      </c>
      <c r="C92" s="11">
        <v>2</v>
      </c>
      <c r="D92" s="11" t="s">
        <v>293</v>
      </c>
      <c r="E92" s="11"/>
      <c r="F92" s="11"/>
      <c r="G92" s="11"/>
      <c r="H92" s="11">
        <v>77</v>
      </c>
      <c r="I92" s="11">
        <v>65</v>
      </c>
      <c r="J92" s="11">
        <v>76</v>
      </c>
      <c r="K92" s="11">
        <v>0</v>
      </c>
      <c r="L92" s="11">
        <v>5</v>
      </c>
      <c r="M92" s="11">
        <v>0</v>
      </c>
      <c r="N92" s="11" t="s">
        <v>192</v>
      </c>
      <c r="O92" s="11" t="s">
        <v>192</v>
      </c>
      <c r="P92" s="11" t="s">
        <v>192</v>
      </c>
      <c r="Q92" s="2" t="s">
        <v>192</v>
      </c>
      <c r="R92" s="2" t="s">
        <v>192</v>
      </c>
      <c r="S92" s="2" t="s">
        <v>192</v>
      </c>
    </row>
    <row r="93" spans="1:19" x14ac:dyDescent="0.3">
      <c r="A93" s="11" t="s">
        <v>531</v>
      </c>
      <c r="B93" s="11">
        <v>10404</v>
      </c>
      <c r="C93" s="11">
        <v>2</v>
      </c>
      <c r="D93" s="11" t="s">
        <v>294</v>
      </c>
      <c r="E93" s="11"/>
      <c r="F93" s="11"/>
      <c r="G93" s="11"/>
      <c r="H93" s="11">
        <v>81</v>
      </c>
      <c r="I93" s="11">
        <v>86</v>
      </c>
      <c r="J93" s="11">
        <v>76</v>
      </c>
      <c r="K93" s="11">
        <v>0</v>
      </c>
      <c r="L93" s="11">
        <v>1</v>
      </c>
      <c r="M93" s="11">
        <v>0</v>
      </c>
      <c r="N93" s="11" t="s">
        <v>187</v>
      </c>
      <c r="O93" s="11" t="s">
        <v>187</v>
      </c>
      <c r="P93" s="11" t="s">
        <v>187</v>
      </c>
      <c r="Q93" s="2" t="s">
        <v>187</v>
      </c>
      <c r="R93" s="2" t="s">
        <v>187</v>
      </c>
      <c r="S93" s="2" t="s">
        <v>187</v>
      </c>
    </row>
    <row r="94" spans="1:19" x14ac:dyDescent="0.3">
      <c r="A94" s="11" t="s">
        <v>531</v>
      </c>
      <c r="B94" s="11">
        <v>10405</v>
      </c>
      <c r="C94" s="11">
        <v>2</v>
      </c>
      <c r="D94" s="11" t="s">
        <v>295</v>
      </c>
      <c r="E94" s="11"/>
      <c r="F94" s="11"/>
      <c r="G94" s="11"/>
      <c r="H94" s="11">
        <v>23</v>
      </c>
      <c r="I94" s="11">
        <v>23</v>
      </c>
      <c r="J94" s="11">
        <v>45</v>
      </c>
      <c r="K94" s="11">
        <v>0</v>
      </c>
      <c r="L94" s="11">
        <v>3</v>
      </c>
      <c r="M94" s="11">
        <v>3</v>
      </c>
      <c r="N94" s="11" t="s">
        <v>187</v>
      </c>
      <c r="O94" s="11" t="s">
        <v>191</v>
      </c>
      <c r="P94" s="11" t="s">
        <v>191</v>
      </c>
      <c r="Q94" s="2" t="s">
        <v>191</v>
      </c>
      <c r="R94" s="2" t="s">
        <v>187</v>
      </c>
      <c r="S94" s="2" t="s">
        <v>192</v>
      </c>
    </row>
    <row r="95" spans="1:19" x14ac:dyDescent="0.3">
      <c r="A95" s="11" t="s">
        <v>531</v>
      </c>
      <c r="B95" s="11">
        <v>10406</v>
      </c>
      <c r="C95" s="11">
        <v>2</v>
      </c>
      <c r="D95" s="11" t="s">
        <v>296</v>
      </c>
      <c r="E95" s="11"/>
      <c r="F95" s="11"/>
      <c r="G95" s="11"/>
      <c r="H95" s="11">
        <v>32</v>
      </c>
      <c r="I95" s="11">
        <v>31</v>
      </c>
      <c r="J95" s="11">
        <v>26</v>
      </c>
      <c r="K95" s="11">
        <v>0</v>
      </c>
      <c r="L95" s="11">
        <v>1</v>
      </c>
      <c r="M95" s="11">
        <v>3</v>
      </c>
      <c r="N95" s="11" t="s">
        <v>187</v>
      </c>
      <c r="O95" s="11" t="s">
        <v>187</v>
      </c>
      <c r="P95" s="11" t="s">
        <v>187</v>
      </c>
      <c r="Q95" s="2" t="s">
        <v>187</v>
      </c>
      <c r="R95" s="2" t="s">
        <v>187</v>
      </c>
      <c r="S95" s="2" t="s">
        <v>187</v>
      </c>
    </row>
    <row r="96" spans="1:19" x14ac:dyDescent="0.3">
      <c r="A96" s="11" t="s">
        <v>531</v>
      </c>
      <c r="B96" s="11">
        <v>10407</v>
      </c>
      <c r="C96" s="11">
        <v>2</v>
      </c>
      <c r="D96" s="11" t="s">
        <v>297</v>
      </c>
      <c r="E96" s="11"/>
      <c r="F96" s="11"/>
      <c r="G96" s="11"/>
      <c r="H96" s="11">
        <v>77</v>
      </c>
      <c r="I96" s="11">
        <v>65</v>
      </c>
      <c r="J96" s="11">
        <v>76</v>
      </c>
      <c r="K96" s="11">
        <v>0</v>
      </c>
      <c r="L96" s="11">
        <v>5</v>
      </c>
      <c r="M96" s="11">
        <v>0</v>
      </c>
      <c r="N96" s="11" t="s">
        <v>192</v>
      </c>
      <c r="O96" s="11" t="s">
        <v>192</v>
      </c>
      <c r="P96" s="11" t="s">
        <v>192</v>
      </c>
      <c r="Q96" s="2" t="s">
        <v>192</v>
      </c>
      <c r="R96" s="2" t="s">
        <v>192</v>
      </c>
      <c r="S96" s="2" t="s">
        <v>192</v>
      </c>
    </row>
    <row r="97" spans="1:19" x14ac:dyDescent="0.3">
      <c r="A97" s="11" t="s">
        <v>531</v>
      </c>
      <c r="B97" s="11">
        <v>10408</v>
      </c>
      <c r="C97" s="11">
        <v>2</v>
      </c>
      <c r="D97" s="11" t="s">
        <v>298</v>
      </c>
      <c r="E97" s="11"/>
      <c r="F97" s="11"/>
      <c r="G97" s="11"/>
      <c r="H97" s="11">
        <v>81</v>
      </c>
      <c r="I97" s="11">
        <v>86</v>
      </c>
      <c r="J97" s="11">
        <v>76</v>
      </c>
      <c r="K97" s="11">
        <v>0</v>
      </c>
      <c r="L97" s="11">
        <v>1</v>
      </c>
      <c r="M97" s="11">
        <v>0</v>
      </c>
      <c r="N97" s="11" t="s">
        <v>187</v>
      </c>
      <c r="O97" s="11" t="s">
        <v>187</v>
      </c>
      <c r="P97" s="11" t="s">
        <v>187</v>
      </c>
      <c r="Q97" s="2" t="s">
        <v>187</v>
      </c>
      <c r="R97" s="2" t="s">
        <v>187</v>
      </c>
      <c r="S97" s="2" t="s">
        <v>187</v>
      </c>
    </row>
    <row r="98" spans="1:19" x14ac:dyDescent="0.3">
      <c r="A98" s="11" t="s">
        <v>531</v>
      </c>
      <c r="B98" s="11">
        <v>10409</v>
      </c>
      <c r="C98" s="11">
        <v>2</v>
      </c>
      <c r="D98" s="11" t="s">
        <v>299</v>
      </c>
      <c r="E98" s="11"/>
      <c r="F98" s="11"/>
      <c r="G98" s="11"/>
      <c r="H98" s="11">
        <v>23</v>
      </c>
      <c r="I98" s="11">
        <v>23</v>
      </c>
      <c r="J98" s="11">
        <v>45</v>
      </c>
      <c r="K98" s="11">
        <v>0</v>
      </c>
      <c r="L98" s="11">
        <v>3</v>
      </c>
      <c r="M98" s="11">
        <v>3</v>
      </c>
      <c r="N98" s="11" t="s">
        <v>187</v>
      </c>
      <c r="O98" s="11" t="s">
        <v>191</v>
      </c>
      <c r="P98" s="11" t="s">
        <v>191</v>
      </c>
      <c r="Q98" s="2" t="s">
        <v>191</v>
      </c>
      <c r="R98" s="2" t="s">
        <v>187</v>
      </c>
      <c r="S98" s="2" t="s">
        <v>192</v>
      </c>
    </row>
    <row r="99" spans="1:19" x14ac:dyDescent="0.3">
      <c r="A99" s="11" t="s">
        <v>531</v>
      </c>
      <c r="B99" s="11">
        <v>10410</v>
      </c>
      <c r="C99" s="11">
        <v>2</v>
      </c>
      <c r="D99" s="11" t="s">
        <v>300</v>
      </c>
      <c r="E99" s="11"/>
      <c r="F99" s="11"/>
      <c r="G99" s="11"/>
      <c r="H99" s="11">
        <v>32</v>
      </c>
      <c r="I99" s="11">
        <v>31</v>
      </c>
      <c r="J99" s="11">
        <v>26</v>
      </c>
      <c r="K99" s="11">
        <v>0</v>
      </c>
      <c r="L99" s="11">
        <v>1</v>
      </c>
      <c r="M99" s="11">
        <v>3</v>
      </c>
      <c r="N99" s="11" t="s">
        <v>187</v>
      </c>
      <c r="O99" s="11" t="s">
        <v>187</v>
      </c>
      <c r="P99" s="11" t="s">
        <v>187</v>
      </c>
      <c r="Q99" s="11" t="s">
        <v>187</v>
      </c>
      <c r="R99" s="11" t="s">
        <v>187</v>
      </c>
      <c r="S99" s="11" t="s">
        <v>187</v>
      </c>
    </row>
    <row r="100" spans="1:19" x14ac:dyDescent="0.3">
      <c r="A100" s="11" t="s">
        <v>531</v>
      </c>
      <c r="B100" s="11">
        <v>10411</v>
      </c>
      <c r="C100" s="11">
        <v>2</v>
      </c>
      <c r="D100" s="11" t="s">
        <v>301</v>
      </c>
      <c r="E100" s="11"/>
      <c r="F100" s="11"/>
      <c r="G100" s="11"/>
      <c r="H100" s="11">
        <v>77</v>
      </c>
      <c r="I100" s="11">
        <v>65</v>
      </c>
      <c r="J100" s="11">
        <v>76</v>
      </c>
      <c r="K100" s="11">
        <v>0</v>
      </c>
      <c r="L100" s="11">
        <v>5</v>
      </c>
      <c r="M100" s="11">
        <v>0</v>
      </c>
      <c r="N100" s="11" t="s">
        <v>192</v>
      </c>
      <c r="O100" s="11" t="s">
        <v>192</v>
      </c>
      <c r="P100" s="11" t="s">
        <v>192</v>
      </c>
      <c r="Q100" s="11" t="s">
        <v>192</v>
      </c>
      <c r="R100" s="11" t="s">
        <v>192</v>
      </c>
      <c r="S100" s="11" t="s">
        <v>192</v>
      </c>
    </row>
    <row r="101" spans="1:19" x14ac:dyDescent="0.3">
      <c r="A101" s="11" t="s">
        <v>531</v>
      </c>
      <c r="B101" s="11">
        <v>10412</v>
      </c>
      <c r="C101" s="11">
        <v>2</v>
      </c>
      <c r="D101" s="11" t="s">
        <v>302</v>
      </c>
      <c r="E101" s="11"/>
      <c r="F101" s="11"/>
      <c r="G101" s="11"/>
      <c r="H101" s="11">
        <v>81</v>
      </c>
      <c r="I101" s="11">
        <v>86</v>
      </c>
      <c r="J101" s="11">
        <v>76</v>
      </c>
      <c r="K101" s="11">
        <v>0</v>
      </c>
      <c r="L101" s="11">
        <v>1</v>
      </c>
      <c r="M101" s="11">
        <v>0</v>
      </c>
      <c r="N101" s="11" t="s">
        <v>187</v>
      </c>
      <c r="O101" s="11" t="s">
        <v>187</v>
      </c>
      <c r="P101" s="11" t="s">
        <v>187</v>
      </c>
      <c r="Q101" s="11" t="s">
        <v>187</v>
      </c>
      <c r="R101" s="11" t="s">
        <v>187</v>
      </c>
      <c r="S101" s="11" t="s">
        <v>187</v>
      </c>
    </row>
    <row r="102" spans="1:19" x14ac:dyDescent="0.3">
      <c r="A102" s="11" t="s">
        <v>531</v>
      </c>
      <c r="B102" s="11">
        <v>10413</v>
      </c>
      <c r="C102" s="11">
        <v>2</v>
      </c>
      <c r="D102" s="11" t="s">
        <v>303</v>
      </c>
      <c r="E102" s="11"/>
      <c r="F102" s="11"/>
      <c r="G102" s="11"/>
      <c r="H102" s="11">
        <v>23</v>
      </c>
      <c r="I102" s="11">
        <v>23</v>
      </c>
      <c r="J102" s="11">
        <v>45</v>
      </c>
      <c r="K102" s="11">
        <v>0</v>
      </c>
      <c r="L102" s="11">
        <v>3</v>
      </c>
      <c r="M102" s="11">
        <v>3</v>
      </c>
      <c r="N102" s="11" t="s">
        <v>187</v>
      </c>
      <c r="O102" s="11" t="s">
        <v>191</v>
      </c>
      <c r="P102" s="11" t="s">
        <v>191</v>
      </c>
      <c r="Q102" s="11" t="s">
        <v>191</v>
      </c>
      <c r="R102" s="11" t="s">
        <v>187</v>
      </c>
      <c r="S102" s="11" t="s">
        <v>192</v>
      </c>
    </row>
    <row r="103" spans="1:19" x14ac:dyDescent="0.3">
      <c r="A103" s="11" t="s">
        <v>531</v>
      </c>
      <c r="B103" s="11">
        <v>10414</v>
      </c>
      <c r="C103" s="11">
        <v>2</v>
      </c>
      <c r="D103" s="11" t="s">
        <v>304</v>
      </c>
      <c r="E103" s="11"/>
      <c r="F103" s="11"/>
      <c r="G103" s="11"/>
      <c r="H103" s="11">
        <v>32</v>
      </c>
      <c r="I103" s="11">
        <v>31</v>
      </c>
      <c r="J103" s="11">
        <v>26</v>
      </c>
      <c r="K103" s="11">
        <v>0</v>
      </c>
      <c r="L103" s="11">
        <v>1</v>
      </c>
      <c r="M103" s="11">
        <v>3</v>
      </c>
      <c r="N103" s="11" t="s">
        <v>187</v>
      </c>
      <c r="O103" s="11" t="s">
        <v>187</v>
      </c>
      <c r="P103" s="11" t="s">
        <v>187</v>
      </c>
      <c r="Q103" s="11" t="s">
        <v>187</v>
      </c>
      <c r="R103" s="11" t="s">
        <v>187</v>
      </c>
      <c r="S103" s="11" t="s">
        <v>187</v>
      </c>
    </row>
    <row r="104" spans="1:19" x14ac:dyDescent="0.3">
      <c r="A104" s="11" t="s">
        <v>531</v>
      </c>
      <c r="B104" s="11">
        <v>10415</v>
      </c>
      <c r="C104" s="11">
        <v>2</v>
      </c>
      <c r="D104" s="11" t="s">
        <v>305</v>
      </c>
      <c r="E104" s="11"/>
      <c r="F104" s="11"/>
      <c r="G104" s="11"/>
      <c r="H104" s="11">
        <v>77</v>
      </c>
      <c r="I104" s="11">
        <v>65</v>
      </c>
      <c r="J104" s="11">
        <v>76</v>
      </c>
      <c r="K104" s="11">
        <v>0</v>
      </c>
      <c r="L104" s="11">
        <v>5</v>
      </c>
      <c r="M104" s="11">
        <v>0</v>
      </c>
      <c r="N104" s="11" t="s">
        <v>192</v>
      </c>
      <c r="O104" s="11" t="s">
        <v>192</v>
      </c>
      <c r="P104" s="11" t="s">
        <v>192</v>
      </c>
      <c r="Q104" s="11" t="s">
        <v>192</v>
      </c>
      <c r="R104" s="11" t="s">
        <v>192</v>
      </c>
      <c r="S104" s="11" t="s">
        <v>192</v>
      </c>
    </row>
    <row r="105" spans="1:19" x14ac:dyDescent="0.3">
      <c r="A105" s="11" t="s">
        <v>531</v>
      </c>
      <c r="B105" s="11">
        <v>10416</v>
      </c>
      <c r="C105" s="11">
        <v>1</v>
      </c>
      <c r="D105" s="11" t="s">
        <v>306</v>
      </c>
      <c r="E105" s="11"/>
      <c r="F105" s="11"/>
      <c r="G105" s="11"/>
      <c r="H105" s="11">
        <v>81</v>
      </c>
      <c r="I105" s="11">
        <v>86</v>
      </c>
      <c r="J105" s="11">
        <v>76</v>
      </c>
      <c r="K105" s="11">
        <v>0</v>
      </c>
      <c r="L105" s="11">
        <v>1</v>
      </c>
      <c r="M105" s="11">
        <v>0</v>
      </c>
      <c r="N105" s="11" t="s">
        <v>187</v>
      </c>
      <c r="O105" s="11" t="s">
        <v>187</v>
      </c>
      <c r="P105" s="11" t="s">
        <v>187</v>
      </c>
      <c r="Q105" s="11" t="s">
        <v>187</v>
      </c>
      <c r="R105" s="11" t="s">
        <v>187</v>
      </c>
      <c r="S105" s="11" t="s">
        <v>187</v>
      </c>
    </row>
    <row r="106" spans="1:19" x14ac:dyDescent="0.3">
      <c r="A106" s="11" t="s">
        <v>531</v>
      </c>
      <c r="B106" s="11">
        <v>10417</v>
      </c>
      <c r="C106" s="11">
        <v>1</v>
      </c>
      <c r="D106" s="11" t="s">
        <v>307</v>
      </c>
      <c r="E106" s="11"/>
      <c r="F106" s="11"/>
      <c r="G106" s="11"/>
      <c r="H106" s="11">
        <v>23</v>
      </c>
      <c r="I106" s="11">
        <v>23</v>
      </c>
      <c r="J106" s="11">
        <v>45</v>
      </c>
      <c r="K106" s="11">
        <v>0</v>
      </c>
      <c r="L106" s="11">
        <v>3</v>
      </c>
      <c r="M106" s="11">
        <v>3</v>
      </c>
      <c r="N106" s="11" t="s">
        <v>187</v>
      </c>
      <c r="O106" s="11" t="s">
        <v>191</v>
      </c>
      <c r="P106" s="11" t="s">
        <v>191</v>
      </c>
      <c r="Q106" s="11" t="s">
        <v>191</v>
      </c>
      <c r="R106" s="11" t="s">
        <v>187</v>
      </c>
      <c r="S106" s="11" t="s">
        <v>192</v>
      </c>
    </row>
    <row r="107" spans="1:19" x14ac:dyDescent="0.3">
      <c r="A107" s="11" t="s">
        <v>531</v>
      </c>
      <c r="B107" s="11">
        <v>10418</v>
      </c>
      <c r="C107" s="11">
        <v>1</v>
      </c>
      <c r="D107" s="11" t="s">
        <v>308</v>
      </c>
      <c r="E107" s="11"/>
      <c r="F107" s="11"/>
      <c r="G107" s="11"/>
      <c r="H107" s="11">
        <v>32</v>
      </c>
      <c r="I107" s="11">
        <v>31</v>
      </c>
      <c r="J107" s="11">
        <v>26</v>
      </c>
      <c r="K107" s="11">
        <v>0</v>
      </c>
      <c r="L107" s="11">
        <v>1</v>
      </c>
      <c r="M107" s="11">
        <v>3</v>
      </c>
      <c r="N107" s="11" t="s">
        <v>187</v>
      </c>
      <c r="O107" s="11" t="s">
        <v>187</v>
      </c>
      <c r="P107" s="11" t="s">
        <v>187</v>
      </c>
      <c r="Q107" s="11" t="s">
        <v>187</v>
      </c>
      <c r="R107" s="11" t="s">
        <v>187</v>
      </c>
      <c r="S107" s="11" t="s">
        <v>187</v>
      </c>
    </row>
    <row r="108" spans="1:19" x14ac:dyDescent="0.3">
      <c r="A108" s="11" t="s">
        <v>531</v>
      </c>
      <c r="B108" s="11">
        <v>10419</v>
      </c>
      <c r="C108" s="11">
        <v>1</v>
      </c>
      <c r="D108" s="11" t="s">
        <v>309</v>
      </c>
      <c r="E108" s="11"/>
      <c r="F108" s="11"/>
      <c r="G108" s="11"/>
      <c r="H108" s="11">
        <v>77</v>
      </c>
      <c r="I108" s="11">
        <v>65</v>
      </c>
      <c r="J108" s="11">
        <v>76</v>
      </c>
      <c r="K108" s="11">
        <v>0</v>
      </c>
      <c r="L108" s="11">
        <v>5</v>
      </c>
      <c r="M108" s="11">
        <v>0</v>
      </c>
      <c r="N108" s="11" t="s">
        <v>192</v>
      </c>
      <c r="O108" s="11" t="s">
        <v>192</v>
      </c>
      <c r="P108" s="11" t="s">
        <v>192</v>
      </c>
      <c r="Q108" s="11" t="s">
        <v>192</v>
      </c>
      <c r="R108" s="11" t="s">
        <v>192</v>
      </c>
      <c r="S108" s="11" t="s">
        <v>192</v>
      </c>
    </row>
    <row r="109" spans="1:19" x14ac:dyDescent="0.3">
      <c r="A109" s="11" t="s">
        <v>531</v>
      </c>
      <c r="B109" s="11">
        <v>10420</v>
      </c>
      <c r="C109" s="11">
        <v>1</v>
      </c>
      <c r="D109" s="11" t="s">
        <v>310</v>
      </c>
      <c r="E109" s="11"/>
      <c r="F109" s="11"/>
      <c r="G109" s="11"/>
      <c r="H109" s="11">
        <v>81</v>
      </c>
      <c r="I109" s="11">
        <v>86</v>
      </c>
      <c r="J109" s="11">
        <v>76</v>
      </c>
      <c r="K109" s="11">
        <v>0</v>
      </c>
      <c r="L109" s="11">
        <v>1</v>
      </c>
      <c r="M109" s="11">
        <v>0</v>
      </c>
      <c r="N109" s="11" t="s">
        <v>187</v>
      </c>
      <c r="O109" s="11" t="s">
        <v>187</v>
      </c>
      <c r="P109" s="11" t="s">
        <v>187</v>
      </c>
      <c r="Q109" s="11" t="s">
        <v>187</v>
      </c>
      <c r="R109" s="11" t="s">
        <v>187</v>
      </c>
      <c r="S109" s="11" t="s">
        <v>187</v>
      </c>
    </row>
    <row r="110" spans="1:19" x14ac:dyDescent="0.3">
      <c r="A110" s="11" t="s">
        <v>531</v>
      </c>
      <c r="B110" s="11">
        <v>10421</v>
      </c>
      <c r="C110" s="11">
        <v>1</v>
      </c>
      <c r="D110" s="11" t="s">
        <v>311</v>
      </c>
      <c r="E110" s="11"/>
      <c r="F110" s="11"/>
      <c r="G110" s="11"/>
      <c r="H110" s="11">
        <v>23</v>
      </c>
      <c r="I110" s="11">
        <v>23</v>
      </c>
      <c r="J110" s="11">
        <v>45</v>
      </c>
      <c r="K110" s="11">
        <v>0</v>
      </c>
      <c r="L110" s="11">
        <v>3</v>
      </c>
      <c r="M110" s="11">
        <v>3</v>
      </c>
      <c r="N110" s="11" t="s">
        <v>187</v>
      </c>
      <c r="O110" s="11" t="s">
        <v>191</v>
      </c>
      <c r="P110" s="11" t="s">
        <v>191</v>
      </c>
      <c r="Q110" s="11" t="s">
        <v>191</v>
      </c>
      <c r="R110" s="11" t="s">
        <v>187</v>
      </c>
      <c r="S110" s="11" t="s">
        <v>192</v>
      </c>
    </row>
    <row r="111" spans="1:19" x14ac:dyDescent="0.3">
      <c r="A111" s="11" t="s">
        <v>531</v>
      </c>
      <c r="B111" s="11">
        <v>10422</v>
      </c>
      <c r="C111" s="11">
        <v>1</v>
      </c>
      <c r="D111" s="11" t="s">
        <v>312</v>
      </c>
      <c r="E111" s="11"/>
      <c r="F111" s="11"/>
      <c r="G111" s="11"/>
      <c r="H111" s="11">
        <v>32</v>
      </c>
      <c r="I111" s="11">
        <v>31</v>
      </c>
      <c r="J111" s="11">
        <v>26</v>
      </c>
      <c r="K111" s="11">
        <v>0</v>
      </c>
      <c r="L111" s="11">
        <v>1</v>
      </c>
      <c r="M111" s="11">
        <v>3</v>
      </c>
      <c r="N111" s="11" t="s">
        <v>187</v>
      </c>
      <c r="O111" s="11" t="s">
        <v>187</v>
      </c>
      <c r="P111" s="11" t="s">
        <v>187</v>
      </c>
      <c r="Q111" s="11" t="s">
        <v>187</v>
      </c>
      <c r="R111" s="11" t="s">
        <v>187</v>
      </c>
      <c r="S111" s="11" t="s">
        <v>187</v>
      </c>
    </row>
    <row r="112" spans="1:19" x14ac:dyDescent="0.3">
      <c r="A112" s="11" t="s">
        <v>531</v>
      </c>
      <c r="B112" s="11">
        <v>10423</v>
      </c>
      <c r="C112" s="11">
        <v>1</v>
      </c>
      <c r="D112" s="11" t="s">
        <v>313</v>
      </c>
      <c r="E112" s="11"/>
      <c r="F112" s="11"/>
      <c r="G112" s="11"/>
      <c r="H112" s="11">
        <v>77</v>
      </c>
      <c r="I112" s="11">
        <v>65</v>
      </c>
      <c r="J112" s="11">
        <v>76</v>
      </c>
      <c r="K112" s="11">
        <v>0</v>
      </c>
      <c r="L112" s="11">
        <v>5</v>
      </c>
      <c r="M112" s="11">
        <v>0</v>
      </c>
      <c r="N112" s="11" t="s">
        <v>192</v>
      </c>
      <c r="O112" s="11" t="s">
        <v>192</v>
      </c>
      <c r="P112" s="11" t="s">
        <v>192</v>
      </c>
      <c r="Q112" s="11" t="s">
        <v>192</v>
      </c>
      <c r="R112" s="11" t="s">
        <v>192</v>
      </c>
      <c r="S112" s="11" t="s">
        <v>192</v>
      </c>
    </row>
    <row r="113" spans="1:19" x14ac:dyDescent="0.3">
      <c r="A113" s="11" t="s">
        <v>531</v>
      </c>
      <c r="B113" s="11">
        <v>10424</v>
      </c>
      <c r="C113" s="11">
        <v>1</v>
      </c>
      <c r="D113" s="11" t="s">
        <v>314</v>
      </c>
      <c r="E113" s="11"/>
      <c r="F113" s="11"/>
      <c r="G113" s="11"/>
      <c r="H113" s="11">
        <v>81</v>
      </c>
      <c r="I113" s="11">
        <v>86</v>
      </c>
      <c r="J113" s="11">
        <v>76</v>
      </c>
      <c r="K113" s="11">
        <v>0</v>
      </c>
      <c r="L113" s="11">
        <v>1</v>
      </c>
      <c r="M113" s="11">
        <v>0</v>
      </c>
      <c r="N113" s="11" t="s">
        <v>187</v>
      </c>
      <c r="O113" s="11" t="s">
        <v>187</v>
      </c>
      <c r="P113" s="11" t="s">
        <v>187</v>
      </c>
      <c r="Q113" s="11" t="s">
        <v>187</v>
      </c>
      <c r="R113" s="11" t="s">
        <v>187</v>
      </c>
      <c r="S113" s="11" t="s">
        <v>187</v>
      </c>
    </row>
    <row r="114" spans="1:19" x14ac:dyDescent="0.3">
      <c r="A114" s="11" t="s">
        <v>531</v>
      </c>
      <c r="B114" s="11">
        <v>10425</v>
      </c>
      <c r="C114" s="11">
        <v>1</v>
      </c>
      <c r="D114" s="11" t="s">
        <v>315</v>
      </c>
      <c r="E114" s="11"/>
      <c r="F114" s="11"/>
      <c r="G114" s="11"/>
      <c r="H114" s="11">
        <v>23</v>
      </c>
      <c r="I114" s="11">
        <v>23</v>
      </c>
      <c r="J114" s="11">
        <v>45</v>
      </c>
      <c r="K114" s="11">
        <v>0</v>
      </c>
      <c r="L114" s="11">
        <v>3</v>
      </c>
      <c r="M114" s="11">
        <v>3</v>
      </c>
      <c r="N114" s="11" t="s">
        <v>187</v>
      </c>
      <c r="O114" s="11" t="s">
        <v>191</v>
      </c>
      <c r="P114" s="11" t="s">
        <v>191</v>
      </c>
      <c r="Q114" s="11" t="s">
        <v>191</v>
      </c>
      <c r="R114" s="11" t="s">
        <v>187</v>
      </c>
      <c r="S114" s="11" t="s">
        <v>192</v>
      </c>
    </row>
    <row r="115" spans="1:19" x14ac:dyDescent="0.3">
      <c r="A115" s="11" t="s">
        <v>531</v>
      </c>
      <c r="B115" s="11">
        <v>10426</v>
      </c>
      <c r="C115" s="11">
        <v>1</v>
      </c>
      <c r="D115" s="11" t="s">
        <v>316</v>
      </c>
      <c r="E115" s="11"/>
      <c r="F115" s="11"/>
      <c r="G115" s="11"/>
      <c r="H115" s="11">
        <v>32</v>
      </c>
      <c r="I115" s="11">
        <v>31</v>
      </c>
      <c r="J115" s="11">
        <v>26</v>
      </c>
      <c r="K115" s="11">
        <v>0</v>
      </c>
      <c r="L115" s="11">
        <v>1</v>
      </c>
      <c r="M115" s="11">
        <v>3</v>
      </c>
      <c r="N115" s="11" t="s">
        <v>187</v>
      </c>
      <c r="O115" s="11" t="s">
        <v>187</v>
      </c>
      <c r="P115" s="11" t="s">
        <v>187</v>
      </c>
      <c r="Q115" s="11" t="s">
        <v>187</v>
      </c>
      <c r="R115" s="11" t="s">
        <v>187</v>
      </c>
      <c r="S115" s="11" t="s">
        <v>187</v>
      </c>
    </row>
    <row r="116" spans="1:19" x14ac:dyDescent="0.3">
      <c r="A116" s="11" t="s">
        <v>531</v>
      </c>
      <c r="B116" s="11">
        <v>10428</v>
      </c>
      <c r="C116" s="11">
        <v>1</v>
      </c>
      <c r="D116" s="11" t="s">
        <v>317</v>
      </c>
      <c r="E116" s="11"/>
      <c r="F116" s="11"/>
      <c r="G116" s="11"/>
      <c r="H116" s="11">
        <v>77</v>
      </c>
      <c r="I116" s="11">
        <v>65</v>
      </c>
      <c r="J116" s="11">
        <v>76</v>
      </c>
      <c r="K116" s="11">
        <v>0</v>
      </c>
      <c r="L116" s="11">
        <v>5</v>
      </c>
      <c r="M116" s="11">
        <v>0</v>
      </c>
      <c r="N116" s="11" t="s">
        <v>192</v>
      </c>
      <c r="O116" s="11" t="s">
        <v>192</v>
      </c>
      <c r="P116" s="11" t="s">
        <v>192</v>
      </c>
      <c r="Q116" s="11" t="s">
        <v>192</v>
      </c>
      <c r="R116" s="11" t="s">
        <v>192</v>
      </c>
      <c r="S116" s="11" t="s">
        <v>192</v>
      </c>
    </row>
    <row r="117" spans="1:19" x14ac:dyDescent="0.3">
      <c r="A117" s="11" t="s">
        <v>531</v>
      </c>
      <c r="B117" s="11">
        <v>10429</v>
      </c>
      <c r="C117" s="11">
        <v>1</v>
      </c>
      <c r="D117" s="11" t="s">
        <v>318</v>
      </c>
      <c r="E117" s="11"/>
      <c r="F117" s="11"/>
      <c r="G117" s="11"/>
      <c r="H117" s="11">
        <v>81</v>
      </c>
      <c r="I117" s="11">
        <v>86</v>
      </c>
      <c r="J117" s="11">
        <v>76</v>
      </c>
      <c r="K117" s="11">
        <v>0</v>
      </c>
      <c r="L117" s="11">
        <v>1</v>
      </c>
      <c r="M117" s="11">
        <v>0</v>
      </c>
      <c r="N117" s="11" t="s">
        <v>187</v>
      </c>
      <c r="O117" s="11" t="s">
        <v>187</v>
      </c>
      <c r="P117" s="11" t="s">
        <v>187</v>
      </c>
      <c r="Q117" s="11" t="s">
        <v>187</v>
      </c>
      <c r="R117" s="11" t="s">
        <v>187</v>
      </c>
      <c r="S117" s="11" t="s">
        <v>187</v>
      </c>
    </row>
    <row r="118" spans="1:19" x14ac:dyDescent="0.3">
      <c r="A118" s="11" t="s">
        <v>531</v>
      </c>
      <c r="B118" s="11">
        <v>10430</v>
      </c>
      <c r="C118" s="11">
        <v>1</v>
      </c>
      <c r="D118" s="11" t="s">
        <v>319</v>
      </c>
      <c r="E118" s="11"/>
      <c r="F118" s="11"/>
      <c r="G118" s="11"/>
      <c r="H118" s="11">
        <v>23</v>
      </c>
      <c r="I118" s="11">
        <v>23</v>
      </c>
      <c r="J118" s="11">
        <v>45</v>
      </c>
      <c r="K118" s="11">
        <v>0</v>
      </c>
      <c r="L118" s="11">
        <v>3</v>
      </c>
      <c r="M118" s="11">
        <v>3</v>
      </c>
      <c r="N118" s="11" t="s">
        <v>187</v>
      </c>
      <c r="O118" s="11" t="s">
        <v>191</v>
      </c>
      <c r="P118" s="11" t="s">
        <v>191</v>
      </c>
      <c r="Q118" s="11" t="s">
        <v>191</v>
      </c>
      <c r="R118" s="11" t="s">
        <v>187</v>
      </c>
      <c r="S118" s="11" t="s">
        <v>192</v>
      </c>
    </row>
    <row r="119" spans="1:19" x14ac:dyDescent="0.3">
      <c r="A119" s="11" t="s">
        <v>531</v>
      </c>
      <c r="B119" s="11">
        <v>10501</v>
      </c>
      <c r="C119" s="11">
        <v>2</v>
      </c>
      <c r="D119" s="11" t="s">
        <v>320</v>
      </c>
      <c r="E119" s="11"/>
      <c r="F119" s="11"/>
      <c r="G119" s="11"/>
      <c r="H119" s="11">
        <v>32</v>
      </c>
      <c r="I119" s="11">
        <v>31</v>
      </c>
      <c r="J119" s="11">
        <v>26</v>
      </c>
      <c r="K119" s="11">
        <v>0</v>
      </c>
      <c r="L119" s="11">
        <v>1</v>
      </c>
      <c r="M119" s="11">
        <v>3</v>
      </c>
      <c r="N119" s="11" t="s">
        <v>187</v>
      </c>
      <c r="O119" s="11" t="s">
        <v>187</v>
      </c>
      <c r="P119" s="11" t="s">
        <v>187</v>
      </c>
      <c r="Q119" s="11" t="s">
        <v>187</v>
      </c>
      <c r="R119" s="11" t="s">
        <v>187</v>
      </c>
      <c r="S119" s="11" t="s">
        <v>187</v>
      </c>
    </row>
    <row r="120" spans="1:19" x14ac:dyDescent="0.3">
      <c r="A120" s="11" t="s">
        <v>531</v>
      </c>
      <c r="B120" s="11">
        <v>10502</v>
      </c>
      <c r="C120" s="11">
        <v>2</v>
      </c>
      <c r="D120" s="11" t="s">
        <v>321</v>
      </c>
      <c r="E120" s="11"/>
      <c r="F120" s="11"/>
      <c r="G120" s="11"/>
      <c r="H120" s="11">
        <v>77</v>
      </c>
      <c r="I120" s="11">
        <v>65</v>
      </c>
      <c r="J120" s="11">
        <v>76</v>
      </c>
      <c r="K120" s="11">
        <v>0</v>
      </c>
      <c r="L120" s="11">
        <v>5</v>
      </c>
      <c r="M120" s="11">
        <v>0</v>
      </c>
      <c r="N120" s="11" t="s">
        <v>192</v>
      </c>
      <c r="O120" s="11" t="s">
        <v>192</v>
      </c>
      <c r="P120" s="11" t="s">
        <v>192</v>
      </c>
      <c r="Q120" s="11" t="s">
        <v>192</v>
      </c>
      <c r="R120" s="11" t="s">
        <v>192</v>
      </c>
      <c r="S120" s="11" t="s">
        <v>192</v>
      </c>
    </row>
    <row r="121" spans="1:19" x14ac:dyDescent="0.3">
      <c r="A121" s="11" t="s">
        <v>531</v>
      </c>
      <c r="B121" s="11">
        <v>10503</v>
      </c>
      <c r="C121" s="11">
        <v>2</v>
      </c>
      <c r="D121" s="11" t="s">
        <v>322</v>
      </c>
      <c r="E121" s="11"/>
      <c r="F121" s="11"/>
      <c r="G121" s="11"/>
      <c r="H121" s="11">
        <v>81</v>
      </c>
      <c r="I121" s="11">
        <v>86</v>
      </c>
      <c r="J121" s="11">
        <v>76</v>
      </c>
      <c r="K121" s="11">
        <v>0</v>
      </c>
      <c r="L121" s="11">
        <v>1</v>
      </c>
      <c r="M121" s="11">
        <v>0</v>
      </c>
      <c r="N121" s="11" t="s">
        <v>187</v>
      </c>
      <c r="O121" s="11" t="s">
        <v>187</v>
      </c>
      <c r="P121" s="11" t="s">
        <v>187</v>
      </c>
      <c r="Q121" s="11" t="s">
        <v>187</v>
      </c>
      <c r="R121" s="11" t="s">
        <v>187</v>
      </c>
      <c r="S121" s="11" t="s">
        <v>187</v>
      </c>
    </row>
    <row r="122" spans="1:19" x14ac:dyDescent="0.3">
      <c r="A122" s="11" t="s">
        <v>531</v>
      </c>
      <c r="B122" s="11">
        <v>10504</v>
      </c>
      <c r="C122" s="11">
        <v>2</v>
      </c>
      <c r="D122" s="11" t="s">
        <v>323</v>
      </c>
      <c r="E122" s="11"/>
      <c r="F122" s="11"/>
      <c r="G122" s="11"/>
      <c r="H122" s="11">
        <v>23</v>
      </c>
      <c r="I122" s="11">
        <v>23</v>
      </c>
      <c r="J122" s="11">
        <v>45</v>
      </c>
      <c r="K122" s="11">
        <v>0</v>
      </c>
      <c r="L122" s="11">
        <v>3</v>
      </c>
      <c r="M122" s="11">
        <v>3</v>
      </c>
      <c r="N122" s="11" t="s">
        <v>187</v>
      </c>
      <c r="O122" s="11" t="s">
        <v>191</v>
      </c>
      <c r="P122" s="11" t="s">
        <v>191</v>
      </c>
      <c r="Q122" s="11" t="s">
        <v>191</v>
      </c>
      <c r="R122" s="11" t="s">
        <v>187</v>
      </c>
      <c r="S122" s="11" t="s">
        <v>192</v>
      </c>
    </row>
    <row r="123" spans="1:19" x14ac:dyDescent="0.3">
      <c r="A123" s="11" t="s">
        <v>531</v>
      </c>
      <c r="B123" s="11">
        <v>10505</v>
      </c>
      <c r="C123" s="11">
        <v>2</v>
      </c>
      <c r="D123" s="11" t="s">
        <v>324</v>
      </c>
      <c r="E123" s="11"/>
      <c r="F123" s="11"/>
      <c r="G123" s="11"/>
      <c r="H123" s="11">
        <v>32</v>
      </c>
      <c r="I123" s="11">
        <v>31</v>
      </c>
      <c r="J123" s="11">
        <v>26</v>
      </c>
      <c r="K123" s="11">
        <v>0</v>
      </c>
      <c r="L123" s="11">
        <v>1</v>
      </c>
      <c r="M123" s="11">
        <v>3</v>
      </c>
      <c r="N123" s="11" t="s">
        <v>187</v>
      </c>
      <c r="O123" s="11" t="s">
        <v>187</v>
      </c>
      <c r="P123" s="11" t="s">
        <v>187</v>
      </c>
      <c r="Q123" s="11" t="s">
        <v>187</v>
      </c>
      <c r="R123" s="11" t="s">
        <v>187</v>
      </c>
      <c r="S123" s="11" t="s">
        <v>187</v>
      </c>
    </row>
    <row r="124" spans="1:19" x14ac:dyDescent="0.3">
      <c r="A124" s="11" t="s">
        <v>531</v>
      </c>
      <c r="B124" s="11">
        <v>10506</v>
      </c>
      <c r="C124" s="11">
        <v>2</v>
      </c>
      <c r="D124" s="11" t="s">
        <v>325</v>
      </c>
      <c r="E124" s="11"/>
      <c r="F124" s="11"/>
      <c r="G124" s="11"/>
      <c r="H124" s="11">
        <v>77</v>
      </c>
      <c r="I124" s="11">
        <v>65</v>
      </c>
      <c r="J124" s="11">
        <v>76</v>
      </c>
      <c r="K124" s="11">
        <v>0</v>
      </c>
      <c r="L124" s="11">
        <v>5</v>
      </c>
      <c r="M124" s="11">
        <v>0</v>
      </c>
      <c r="N124" s="11" t="s">
        <v>192</v>
      </c>
      <c r="O124" s="11" t="s">
        <v>192</v>
      </c>
      <c r="P124" s="11" t="s">
        <v>192</v>
      </c>
      <c r="Q124" s="11" t="s">
        <v>192</v>
      </c>
      <c r="R124" s="11" t="s">
        <v>192</v>
      </c>
      <c r="S124" s="11" t="s">
        <v>192</v>
      </c>
    </row>
    <row r="125" spans="1:19" x14ac:dyDescent="0.3">
      <c r="A125" s="11" t="s">
        <v>531</v>
      </c>
      <c r="B125" s="11">
        <v>10507</v>
      </c>
      <c r="C125" s="11">
        <v>2</v>
      </c>
      <c r="D125" s="11" t="s">
        <v>204</v>
      </c>
      <c r="E125" s="11"/>
      <c r="F125" s="11"/>
      <c r="G125" s="11"/>
      <c r="H125" s="11">
        <v>81</v>
      </c>
      <c r="I125" s="11">
        <v>86</v>
      </c>
      <c r="J125" s="11">
        <v>76</v>
      </c>
      <c r="K125" s="11">
        <v>0</v>
      </c>
      <c r="L125" s="11">
        <v>1</v>
      </c>
      <c r="M125" s="11">
        <v>0</v>
      </c>
      <c r="N125" s="11" t="s">
        <v>187</v>
      </c>
      <c r="O125" s="11" t="s">
        <v>187</v>
      </c>
      <c r="P125" s="11" t="s">
        <v>187</v>
      </c>
      <c r="Q125" s="11" t="s">
        <v>187</v>
      </c>
      <c r="R125" s="11" t="s">
        <v>187</v>
      </c>
      <c r="S125" s="11" t="s">
        <v>187</v>
      </c>
    </row>
    <row r="126" spans="1:19" x14ac:dyDescent="0.3">
      <c r="A126" s="11" t="s">
        <v>531</v>
      </c>
      <c r="B126" s="11">
        <v>10508</v>
      </c>
      <c r="C126" s="11">
        <v>2</v>
      </c>
      <c r="D126" s="11" t="s">
        <v>326</v>
      </c>
      <c r="E126" s="11"/>
      <c r="F126" s="11"/>
      <c r="G126" s="11"/>
      <c r="H126" s="11">
        <v>23</v>
      </c>
      <c r="I126" s="11">
        <v>23</v>
      </c>
      <c r="J126" s="11">
        <v>45</v>
      </c>
      <c r="K126" s="11">
        <v>0</v>
      </c>
      <c r="L126" s="11">
        <v>3</v>
      </c>
      <c r="M126" s="11">
        <v>3</v>
      </c>
      <c r="N126" s="11" t="s">
        <v>187</v>
      </c>
      <c r="O126" s="11" t="s">
        <v>191</v>
      </c>
      <c r="P126" s="11" t="s">
        <v>191</v>
      </c>
      <c r="Q126" s="11" t="s">
        <v>191</v>
      </c>
      <c r="R126" s="11" t="s">
        <v>187</v>
      </c>
      <c r="S126" s="11" t="s">
        <v>192</v>
      </c>
    </row>
    <row r="127" spans="1:19" x14ac:dyDescent="0.3">
      <c r="A127" s="11" t="s">
        <v>531</v>
      </c>
      <c r="B127" s="11">
        <v>10509</v>
      </c>
      <c r="C127" s="11">
        <v>2</v>
      </c>
      <c r="D127" s="11" t="s">
        <v>327</v>
      </c>
      <c r="E127" s="11"/>
      <c r="F127" s="11"/>
      <c r="G127" s="11"/>
      <c r="H127" s="11">
        <v>32</v>
      </c>
      <c r="I127" s="11">
        <v>31</v>
      </c>
      <c r="J127" s="11">
        <v>26</v>
      </c>
      <c r="K127" s="11">
        <v>0</v>
      </c>
      <c r="L127" s="11">
        <v>1</v>
      </c>
      <c r="M127" s="11">
        <v>3</v>
      </c>
      <c r="N127" s="11" t="s">
        <v>187</v>
      </c>
      <c r="O127" s="11" t="s">
        <v>187</v>
      </c>
      <c r="P127" s="11" t="s">
        <v>187</v>
      </c>
      <c r="Q127" s="11" t="s">
        <v>187</v>
      </c>
      <c r="R127" s="11" t="s">
        <v>187</v>
      </c>
      <c r="S127" s="11" t="s">
        <v>187</v>
      </c>
    </row>
    <row r="128" spans="1:19" x14ac:dyDescent="0.3">
      <c r="A128" s="11" t="s">
        <v>531</v>
      </c>
      <c r="B128" s="11">
        <v>10510</v>
      </c>
      <c r="C128" s="11">
        <v>2</v>
      </c>
      <c r="D128" s="11" t="s">
        <v>328</v>
      </c>
      <c r="E128" s="11"/>
      <c r="F128" s="11"/>
      <c r="G128" s="11"/>
      <c r="H128" s="11">
        <v>77</v>
      </c>
      <c r="I128" s="11">
        <v>65</v>
      </c>
      <c r="J128" s="11">
        <v>76</v>
      </c>
      <c r="K128" s="11">
        <v>0</v>
      </c>
      <c r="L128" s="11">
        <v>5</v>
      </c>
      <c r="M128" s="11">
        <v>0</v>
      </c>
      <c r="N128" s="11" t="s">
        <v>192</v>
      </c>
      <c r="O128" s="11" t="s">
        <v>192</v>
      </c>
      <c r="P128" s="11" t="s">
        <v>192</v>
      </c>
      <c r="Q128" s="11" t="s">
        <v>192</v>
      </c>
      <c r="R128" s="11" t="s">
        <v>192</v>
      </c>
      <c r="S128" s="11" t="s">
        <v>192</v>
      </c>
    </row>
    <row r="129" spans="1:19" x14ac:dyDescent="0.3">
      <c r="A129" s="11" t="s">
        <v>531</v>
      </c>
      <c r="B129" s="11">
        <v>10511</v>
      </c>
      <c r="C129" s="11">
        <v>2</v>
      </c>
      <c r="D129" s="11" t="s">
        <v>329</v>
      </c>
      <c r="E129" s="11"/>
      <c r="F129" s="11"/>
      <c r="G129" s="11"/>
      <c r="H129" s="11">
        <v>81</v>
      </c>
      <c r="I129" s="11">
        <v>86</v>
      </c>
      <c r="J129" s="11">
        <v>76</v>
      </c>
      <c r="K129" s="11">
        <v>0</v>
      </c>
      <c r="L129" s="11">
        <v>1</v>
      </c>
      <c r="M129" s="11">
        <v>0</v>
      </c>
      <c r="N129" s="11" t="s">
        <v>187</v>
      </c>
      <c r="O129" s="11" t="s">
        <v>187</v>
      </c>
      <c r="P129" s="11" t="s">
        <v>187</v>
      </c>
      <c r="Q129" s="11" t="s">
        <v>187</v>
      </c>
      <c r="R129" s="11" t="s">
        <v>187</v>
      </c>
      <c r="S129" s="11" t="s">
        <v>187</v>
      </c>
    </row>
    <row r="130" spans="1:19" x14ac:dyDescent="0.3">
      <c r="A130" s="11" t="s">
        <v>531</v>
      </c>
      <c r="B130" s="11">
        <v>10512</v>
      </c>
      <c r="C130" s="11">
        <v>2</v>
      </c>
      <c r="D130" s="11" t="s">
        <v>330</v>
      </c>
      <c r="E130" s="11"/>
      <c r="F130" s="11"/>
      <c r="G130" s="11"/>
      <c r="H130" s="11">
        <v>23</v>
      </c>
      <c r="I130" s="11">
        <v>23</v>
      </c>
      <c r="J130" s="11">
        <v>45</v>
      </c>
      <c r="K130" s="11">
        <v>0</v>
      </c>
      <c r="L130" s="11">
        <v>3</v>
      </c>
      <c r="M130" s="11">
        <v>3</v>
      </c>
      <c r="N130" s="11" t="s">
        <v>187</v>
      </c>
      <c r="O130" s="11" t="s">
        <v>191</v>
      </c>
      <c r="P130" s="11" t="s">
        <v>191</v>
      </c>
      <c r="Q130" s="11" t="s">
        <v>191</v>
      </c>
      <c r="R130" s="11" t="s">
        <v>187</v>
      </c>
      <c r="S130" s="11" t="s">
        <v>192</v>
      </c>
    </row>
    <row r="131" spans="1:19" x14ac:dyDescent="0.3">
      <c r="A131" s="11" t="s">
        <v>531</v>
      </c>
      <c r="B131" s="11">
        <v>10513</v>
      </c>
      <c r="C131" s="11">
        <v>2</v>
      </c>
      <c r="D131" s="11" t="s">
        <v>331</v>
      </c>
      <c r="E131" s="11"/>
      <c r="F131" s="11"/>
      <c r="G131" s="11"/>
      <c r="H131" s="11">
        <v>32</v>
      </c>
      <c r="I131" s="11">
        <v>31</v>
      </c>
      <c r="J131" s="11">
        <v>26</v>
      </c>
      <c r="K131" s="11">
        <v>0</v>
      </c>
      <c r="L131" s="11">
        <v>1</v>
      </c>
      <c r="M131" s="11">
        <v>3</v>
      </c>
      <c r="N131" s="11" t="s">
        <v>187</v>
      </c>
      <c r="O131" s="11" t="s">
        <v>187</v>
      </c>
      <c r="P131" s="11" t="s">
        <v>187</v>
      </c>
      <c r="Q131" s="11" t="s">
        <v>187</v>
      </c>
      <c r="R131" s="11" t="s">
        <v>187</v>
      </c>
      <c r="S131" s="11" t="s">
        <v>187</v>
      </c>
    </row>
    <row r="132" spans="1:19" x14ac:dyDescent="0.3">
      <c r="A132" s="11" t="s">
        <v>531</v>
      </c>
      <c r="B132" s="11">
        <v>10514</v>
      </c>
      <c r="C132" s="11">
        <v>2</v>
      </c>
      <c r="D132" s="11" t="s">
        <v>332</v>
      </c>
      <c r="E132" s="11"/>
      <c r="F132" s="11"/>
      <c r="G132" s="11"/>
      <c r="H132" s="11">
        <v>77</v>
      </c>
      <c r="I132" s="11">
        <v>65</v>
      </c>
      <c r="J132" s="11">
        <v>76</v>
      </c>
      <c r="K132" s="11">
        <v>0</v>
      </c>
      <c r="L132" s="11">
        <v>5</v>
      </c>
      <c r="M132" s="11">
        <v>0</v>
      </c>
      <c r="N132" s="11" t="s">
        <v>192</v>
      </c>
      <c r="O132" s="11" t="s">
        <v>192</v>
      </c>
      <c r="P132" s="11" t="s">
        <v>192</v>
      </c>
      <c r="Q132" s="11" t="s">
        <v>192</v>
      </c>
      <c r="R132" s="11" t="s">
        <v>192</v>
      </c>
      <c r="S132" s="11" t="s">
        <v>192</v>
      </c>
    </row>
    <row r="133" spans="1:19" x14ac:dyDescent="0.3">
      <c r="A133" s="11" t="s">
        <v>531</v>
      </c>
      <c r="B133" s="11">
        <v>10515</v>
      </c>
      <c r="C133" s="11">
        <v>1</v>
      </c>
      <c r="D133" s="11" t="s">
        <v>333</v>
      </c>
      <c r="E133" s="11"/>
      <c r="F133" s="11"/>
      <c r="G133" s="11"/>
      <c r="H133" s="11">
        <v>81</v>
      </c>
      <c r="I133" s="11">
        <v>86</v>
      </c>
      <c r="J133" s="11">
        <v>76</v>
      </c>
      <c r="K133" s="11">
        <v>0</v>
      </c>
      <c r="L133" s="11">
        <v>1</v>
      </c>
      <c r="M133" s="11">
        <v>0</v>
      </c>
      <c r="N133" s="11" t="s">
        <v>187</v>
      </c>
      <c r="O133" s="11" t="s">
        <v>187</v>
      </c>
      <c r="P133" s="11" t="s">
        <v>187</v>
      </c>
      <c r="Q133" s="11" t="s">
        <v>187</v>
      </c>
      <c r="R133" s="11" t="s">
        <v>187</v>
      </c>
      <c r="S133" s="11" t="s">
        <v>187</v>
      </c>
    </row>
    <row r="134" spans="1:19" x14ac:dyDescent="0.3">
      <c r="A134" s="11" t="s">
        <v>531</v>
      </c>
      <c r="B134" s="11">
        <v>10516</v>
      </c>
      <c r="C134" s="11">
        <v>1</v>
      </c>
      <c r="D134" s="11" t="s">
        <v>334</v>
      </c>
      <c r="E134" s="11"/>
      <c r="F134" s="11"/>
      <c r="G134" s="11"/>
      <c r="H134" s="11">
        <v>23</v>
      </c>
      <c r="I134" s="11">
        <v>23</v>
      </c>
      <c r="J134" s="11">
        <v>45</v>
      </c>
      <c r="K134" s="11">
        <v>0</v>
      </c>
      <c r="L134" s="11">
        <v>3</v>
      </c>
      <c r="M134" s="11">
        <v>3</v>
      </c>
      <c r="N134" s="11" t="s">
        <v>187</v>
      </c>
      <c r="O134" s="11" t="s">
        <v>191</v>
      </c>
      <c r="P134" s="11" t="s">
        <v>191</v>
      </c>
      <c r="Q134" s="11" t="s">
        <v>191</v>
      </c>
      <c r="R134" s="11" t="s">
        <v>187</v>
      </c>
      <c r="S134" s="11" t="s">
        <v>192</v>
      </c>
    </row>
    <row r="135" spans="1:19" x14ac:dyDescent="0.3">
      <c r="A135" s="11" t="s">
        <v>531</v>
      </c>
      <c r="B135" s="11">
        <v>10517</v>
      </c>
      <c r="C135" s="11">
        <v>1</v>
      </c>
      <c r="D135" s="11" t="s">
        <v>335</v>
      </c>
      <c r="E135" s="11"/>
      <c r="F135" s="11"/>
      <c r="G135" s="11"/>
      <c r="H135" s="11">
        <v>32</v>
      </c>
      <c r="I135" s="11">
        <v>31</v>
      </c>
      <c r="J135" s="11">
        <v>26</v>
      </c>
      <c r="K135" s="11">
        <v>0</v>
      </c>
      <c r="L135" s="11">
        <v>1</v>
      </c>
      <c r="M135" s="11">
        <v>3</v>
      </c>
      <c r="N135" s="11" t="s">
        <v>187</v>
      </c>
      <c r="O135" s="11" t="s">
        <v>187</v>
      </c>
      <c r="P135" s="11" t="s">
        <v>187</v>
      </c>
      <c r="Q135" s="11" t="s">
        <v>187</v>
      </c>
      <c r="R135" s="11" t="s">
        <v>187</v>
      </c>
      <c r="S135" s="11" t="s">
        <v>187</v>
      </c>
    </row>
    <row r="136" spans="1:19" x14ac:dyDescent="0.3">
      <c r="A136" s="11" t="s">
        <v>531</v>
      </c>
      <c r="B136" s="11">
        <v>10518</v>
      </c>
      <c r="C136" s="11">
        <v>1</v>
      </c>
      <c r="D136" s="11" t="s">
        <v>336</v>
      </c>
      <c r="E136" s="11"/>
      <c r="F136" s="11"/>
      <c r="G136" s="11"/>
      <c r="H136" s="11">
        <v>77</v>
      </c>
      <c r="I136" s="11">
        <v>65</v>
      </c>
      <c r="J136" s="11">
        <v>76</v>
      </c>
      <c r="K136" s="11">
        <v>0</v>
      </c>
      <c r="L136" s="11">
        <v>5</v>
      </c>
      <c r="M136" s="11">
        <v>0</v>
      </c>
      <c r="N136" s="11" t="s">
        <v>192</v>
      </c>
      <c r="O136" s="11" t="s">
        <v>192</v>
      </c>
      <c r="P136" s="11" t="s">
        <v>192</v>
      </c>
      <c r="Q136" s="11" t="s">
        <v>192</v>
      </c>
      <c r="R136" s="11" t="s">
        <v>192</v>
      </c>
      <c r="S136" s="11" t="s">
        <v>192</v>
      </c>
    </row>
    <row r="137" spans="1:19" x14ac:dyDescent="0.3">
      <c r="A137" s="11" t="s">
        <v>531</v>
      </c>
      <c r="B137" s="11">
        <v>10519</v>
      </c>
      <c r="C137" s="11">
        <v>1</v>
      </c>
      <c r="D137" s="11" t="s">
        <v>337</v>
      </c>
      <c r="E137" s="11"/>
      <c r="F137" s="11"/>
      <c r="G137" s="11"/>
      <c r="H137" s="11">
        <v>81</v>
      </c>
      <c r="I137" s="11">
        <v>86</v>
      </c>
      <c r="J137" s="11">
        <v>76</v>
      </c>
      <c r="K137" s="11">
        <v>0</v>
      </c>
      <c r="L137" s="11">
        <v>1</v>
      </c>
      <c r="M137" s="11">
        <v>0</v>
      </c>
      <c r="N137" s="11" t="s">
        <v>187</v>
      </c>
      <c r="O137" s="11" t="s">
        <v>187</v>
      </c>
      <c r="P137" s="11" t="s">
        <v>187</v>
      </c>
      <c r="Q137" s="11" t="s">
        <v>187</v>
      </c>
      <c r="R137" s="11" t="s">
        <v>187</v>
      </c>
      <c r="S137" s="11" t="s">
        <v>187</v>
      </c>
    </row>
    <row r="138" spans="1:19" x14ac:dyDescent="0.3">
      <c r="A138" s="11" t="s">
        <v>531</v>
      </c>
      <c r="B138" s="11">
        <v>10520</v>
      </c>
      <c r="C138" s="11">
        <v>1</v>
      </c>
      <c r="D138" s="11" t="s">
        <v>338</v>
      </c>
      <c r="E138" s="11"/>
      <c r="F138" s="11"/>
      <c r="G138" s="11"/>
      <c r="H138" s="11">
        <v>23</v>
      </c>
      <c r="I138" s="11">
        <v>23</v>
      </c>
      <c r="J138" s="11">
        <v>45</v>
      </c>
      <c r="K138" s="11">
        <v>0</v>
      </c>
      <c r="L138" s="11">
        <v>3</v>
      </c>
      <c r="M138" s="11">
        <v>3</v>
      </c>
      <c r="N138" s="11" t="s">
        <v>187</v>
      </c>
      <c r="O138" s="11" t="s">
        <v>191</v>
      </c>
      <c r="P138" s="11" t="s">
        <v>191</v>
      </c>
      <c r="Q138" s="11" t="s">
        <v>191</v>
      </c>
      <c r="R138" s="11" t="s">
        <v>187</v>
      </c>
      <c r="S138" s="11" t="s">
        <v>192</v>
      </c>
    </row>
    <row r="139" spans="1:19" x14ac:dyDescent="0.3">
      <c r="A139" s="11" t="s">
        <v>531</v>
      </c>
      <c r="B139" s="11">
        <v>10521</v>
      </c>
      <c r="C139" s="11">
        <v>1</v>
      </c>
      <c r="D139" s="11" t="s">
        <v>339</v>
      </c>
      <c r="E139" s="11"/>
      <c r="F139" s="11"/>
      <c r="G139" s="11"/>
      <c r="H139" s="11">
        <v>32</v>
      </c>
      <c r="I139" s="11">
        <v>31</v>
      </c>
      <c r="J139" s="11">
        <v>26</v>
      </c>
      <c r="K139" s="11">
        <v>0</v>
      </c>
      <c r="L139" s="11">
        <v>1</v>
      </c>
      <c r="M139" s="11">
        <v>3</v>
      </c>
      <c r="N139" s="11" t="s">
        <v>187</v>
      </c>
      <c r="O139" s="11" t="s">
        <v>187</v>
      </c>
      <c r="P139" s="11" t="s">
        <v>187</v>
      </c>
      <c r="Q139" s="11" t="s">
        <v>187</v>
      </c>
      <c r="R139" s="11" t="s">
        <v>187</v>
      </c>
      <c r="S139" s="11" t="s">
        <v>187</v>
      </c>
    </row>
    <row r="140" spans="1:19" x14ac:dyDescent="0.3">
      <c r="A140" s="11" t="s">
        <v>531</v>
      </c>
      <c r="B140" s="11">
        <v>10522</v>
      </c>
      <c r="C140" s="11">
        <v>1</v>
      </c>
      <c r="D140" s="11" t="s">
        <v>340</v>
      </c>
      <c r="E140" s="11"/>
      <c r="F140" s="11"/>
      <c r="G140" s="11"/>
      <c r="H140" s="11">
        <v>77</v>
      </c>
      <c r="I140" s="11">
        <v>65</v>
      </c>
      <c r="J140" s="11">
        <v>76</v>
      </c>
      <c r="K140" s="11">
        <v>0</v>
      </c>
      <c r="L140" s="11">
        <v>5</v>
      </c>
      <c r="M140" s="11">
        <v>0</v>
      </c>
      <c r="N140" s="11" t="s">
        <v>192</v>
      </c>
      <c r="O140" s="11" t="s">
        <v>192</v>
      </c>
      <c r="P140" s="11" t="s">
        <v>192</v>
      </c>
      <c r="Q140" s="11" t="s">
        <v>192</v>
      </c>
      <c r="R140" s="11" t="s">
        <v>192</v>
      </c>
      <c r="S140" s="11" t="s">
        <v>192</v>
      </c>
    </row>
    <row r="141" spans="1:19" x14ac:dyDescent="0.3">
      <c r="A141" s="11" t="s">
        <v>531</v>
      </c>
      <c r="B141" s="11">
        <v>10523</v>
      </c>
      <c r="C141" s="11">
        <v>1</v>
      </c>
      <c r="D141" s="11" t="s">
        <v>341</v>
      </c>
      <c r="E141" s="11"/>
      <c r="F141" s="11"/>
      <c r="G141" s="11"/>
      <c r="H141" s="11">
        <v>81</v>
      </c>
      <c r="I141" s="11">
        <v>86</v>
      </c>
      <c r="J141" s="11">
        <v>76</v>
      </c>
      <c r="K141" s="11">
        <v>0</v>
      </c>
      <c r="L141" s="11">
        <v>1</v>
      </c>
      <c r="M141" s="11">
        <v>0</v>
      </c>
      <c r="N141" s="11" t="s">
        <v>187</v>
      </c>
      <c r="O141" s="11" t="s">
        <v>187</v>
      </c>
      <c r="P141" s="11" t="s">
        <v>187</v>
      </c>
      <c r="Q141" s="11" t="s">
        <v>187</v>
      </c>
      <c r="R141" s="11" t="s">
        <v>187</v>
      </c>
      <c r="S141" s="11" t="s">
        <v>187</v>
      </c>
    </row>
    <row r="142" spans="1:19" x14ac:dyDescent="0.3">
      <c r="A142" s="11" t="s">
        <v>531</v>
      </c>
      <c r="B142" s="11">
        <v>10524</v>
      </c>
      <c r="C142" s="11">
        <v>1</v>
      </c>
      <c r="D142" s="11" t="s">
        <v>342</v>
      </c>
      <c r="E142" s="11"/>
      <c r="F142" s="11"/>
      <c r="G142" s="11"/>
      <c r="H142" s="11">
        <v>23</v>
      </c>
      <c r="I142" s="11">
        <v>23</v>
      </c>
      <c r="J142" s="11">
        <v>45</v>
      </c>
      <c r="K142" s="11">
        <v>0</v>
      </c>
      <c r="L142" s="11">
        <v>3</v>
      </c>
      <c r="M142" s="11">
        <v>3</v>
      </c>
      <c r="N142" s="11" t="s">
        <v>187</v>
      </c>
      <c r="O142" s="11" t="s">
        <v>191</v>
      </c>
      <c r="P142" s="11" t="s">
        <v>191</v>
      </c>
      <c r="Q142" s="11" t="s">
        <v>191</v>
      </c>
      <c r="R142" s="11" t="s">
        <v>187</v>
      </c>
      <c r="S142" s="11" t="s">
        <v>192</v>
      </c>
    </row>
    <row r="143" spans="1:19" x14ac:dyDescent="0.3">
      <c r="A143" s="11" t="s">
        <v>531</v>
      </c>
      <c r="B143" s="11">
        <v>10525</v>
      </c>
      <c r="C143" s="11">
        <v>1</v>
      </c>
      <c r="D143" s="11" t="s">
        <v>343</v>
      </c>
      <c r="E143" s="11"/>
      <c r="F143" s="11"/>
      <c r="G143" s="11"/>
      <c r="H143" s="11">
        <v>32</v>
      </c>
      <c r="I143" s="11">
        <v>31</v>
      </c>
      <c r="J143" s="11">
        <v>26</v>
      </c>
      <c r="K143" s="11">
        <v>0</v>
      </c>
      <c r="L143" s="11">
        <v>1</v>
      </c>
      <c r="M143" s="11">
        <v>3</v>
      </c>
      <c r="N143" s="11" t="s">
        <v>187</v>
      </c>
      <c r="O143" s="11" t="s">
        <v>187</v>
      </c>
      <c r="P143" s="11" t="s">
        <v>187</v>
      </c>
      <c r="Q143" s="11" t="s">
        <v>187</v>
      </c>
      <c r="R143" s="11" t="s">
        <v>187</v>
      </c>
      <c r="S143" s="11" t="s">
        <v>187</v>
      </c>
    </row>
    <row r="144" spans="1:19" x14ac:dyDescent="0.3">
      <c r="A144" s="11" t="s">
        <v>531</v>
      </c>
      <c r="B144" s="11">
        <v>10526</v>
      </c>
      <c r="C144" s="11">
        <v>1</v>
      </c>
      <c r="D144" s="11" t="s">
        <v>344</v>
      </c>
      <c r="E144" s="11"/>
      <c r="F144" s="11"/>
      <c r="G144" s="11"/>
      <c r="H144" s="11">
        <v>77</v>
      </c>
      <c r="I144" s="11">
        <v>65</v>
      </c>
      <c r="J144" s="11">
        <v>76</v>
      </c>
      <c r="K144" s="11">
        <v>0</v>
      </c>
      <c r="L144" s="11">
        <v>5</v>
      </c>
      <c r="M144" s="11">
        <v>0</v>
      </c>
      <c r="N144" s="11" t="s">
        <v>192</v>
      </c>
      <c r="O144" s="11" t="s">
        <v>192</v>
      </c>
      <c r="P144" s="11" t="s">
        <v>192</v>
      </c>
      <c r="Q144" s="11" t="s">
        <v>192</v>
      </c>
      <c r="R144" s="11" t="s">
        <v>192</v>
      </c>
      <c r="S144" s="11" t="s">
        <v>192</v>
      </c>
    </row>
    <row r="145" spans="1:19" x14ac:dyDescent="0.3">
      <c r="A145" s="11" t="s">
        <v>531</v>
      </c>
      <c r="B145" s="11">
        <v>10527</v>
      </c>
      <c r="C145" s="11">
        <v>1</v>
      </c>
      <c r="D145" s="11" t="s">
        <v>345</v>
      </c>
      <c r="E145" s="11"/>
      <c r="F145" s="11"/>
      <c r="G145" s="11"/>
      <c r="H145" s="11">
        <v>81</v>
      </c>
      <c r="I145" s="11">
        <v>86</v>
      </c>
      <c r="J145" s="11">
        <v>76</v>
      </c>
      <c r="K145" s="11">
        <v>0</v>
      </c>
      <c r="L145" s="11">
        <v>1</v>
      </c>
      <c r="M145" s="11">
        <v>0</v>
      </c>
      <c r="N145" s="11" t="s">
        <v>187</v>
      </c>
      <c r="O145" s="11" t="s">
        <v>187</v>
      </c>
      <c r="P145" s="11" t="s">
        <v>187</v>
      </c>
      <c r="Q145" s="11" t="s">
        <v>187</v>
      </c>
      <c r="R145" s="11" t="s">
        <v>187</v>
      </c>
      <c r="S145" s="11" t="s">
        <v>187</v>
      </c>
    </row>
    <row r="146" spans="1:19" x14ac:dyDescent="0.3">
      <c r="A146" s="11" t="s">
        <v>531</v>
      </c>
      <c r="B146" s="11">
        <v>10528</v>
      </c>
      <c r="C146" s="11">
        <v>1</v>
      </c>
      <c r="D146" s="11" t="s">
        <v>346</v>
      </c>
      <c r="E146" s="11"/>
      <c r="F146" s="11"/>
      <c r="G146" s="11"/>
      <c r="H146" s="11">
        <v>23</v>
      </c>
      <c r="I146" s="11">
        <v>23</v>
      </c>
      <c r="J146" s="11">
        <v>45</v>
      </c>
      <c r="K146" s="11">
        <v>0</v>
      </c>
      <c r="L146" s="11">
        <v>3</v>
      </c>
      <c r="M146" s="11">
        <v>3</v>
      </c>
      <c r="N146" s="11" t="s">
        <v>187</v>
      </c>
      <c r="O146" s="11" t="s">
        <v>191</v>
      </c>
      <c r="P146" s="11" t="s">
        <v>191</v>
      </c>
      <c r="Q146" s="11" t="s">
        <v>191</v>
      </c>
      <c r="R146" s="11" t="s">
        <v>187</v>
      </c>
      <c r="S146" s="11" t="s">
        <v>192</v>
      </c>
    </row>
    <row r="147" spans="1:19" x14ac:dyDescent="0.3">
      <c r="A147" s="11" t="s">
        <v>531</v>
      </c>
      <c r="B147" s="11">
        <v>10529</v>
      </c>
      <c r="C147" s="11">
        <v>1</v>
      </c>
      <c r="D147" s="11" t="s">
        <v>347</v>
      </c>
      <c r="E147" s="11"/>
      <c r="F147" s="11"/>
      <c r="G147" s="11"/>
      <c r="H147" s="11">
        <v>32</v>
      </c>
      <c r="I147" s="11">
        <v>31</v>
      </c>
      <c r="J147" s="11">
        <v>26</v>
      </c>
      <c r="K147" s="11">
        <v>0</v>
      </c>
      <c r="L147" s="11">
        <v>1</v>
      </c>
      <c r="M147" s="11">
        <v>3</v>
      </c>
      <c r="N147" s="11" t="s">
        <v>187</v>
      </c>
      <c r="O147" s="11" t="s">
        <v>187</v>
      </c>
      <c r="P147" s="11" t="s">
        <v>187</v>
      </c>
      <c r="Q147" s="11" t="s">
        <v>187</v>
      </c>
      <c r="R147" s="11" t="s">
        <v>187</v>
      </c>
      <c r="S147" s="11" t="s">
        <v>187</v>
      </c>
    </row>
    <row r="148" spans="1:19" x14ac:dyDescent="0.3">
      <c r="A148" s="11" t="s">
        <v>531</v>
      </c>
      <c r="B148" s="11">
        <v>10530</v>
      </c>
      <c r="C148" s="11">
        <v>2</v>
      </c>
      <c r="D148" s="11" t="s">
        <v>348</v>
      </c>
      <c r="E148" s="11"/>
      <c r="F148" s="11"/>
      <c r="G148" s="11"/>
      <c r="H148" s="11">
        <v>77</v>
      </c>
      <c r="I148" s="11">
        <v>65</v>
      </c>
      <c r="J148" s="11">
        <v>76</v>
      </c>
      <c r="K148" s="11">
        <v>0</v>
      </c>
      <c r="L148" s="11">
        <v>5</v>
      </c>
      <c r="M148" s="11">
        <v>0</v>
      </c>
      <c r="N148" s="11" t="s">
        <v>192</v>
      </c>
      <c r="O148" s="11" t="s">
        <v>192</v>
      </c>
      <c r="P148" s="11" t="s">
        <v>192</v>
      </c>
      <c r="Q148" s="11" t="s">
        <v>192</v>
      </c>
      <c r="R148" s="11" t="s">
        <v>192</v>
      </c>
      <c r="S148" s="11" t="s">
        <v>192</v>
      </c>
    </row>
    <row r="149" spans="1:19" x14ac:dyDescent="0.3">
      <c r="A149" s="11" t="s">
        <v>531</v>
      </c>
      <c r="B149" s="11">
        <v>10601</v>
      </c>
      <c r="C149" s="11">
        <v>2</v>
      </c>
      <c r="D149" s="11" t="s">
        <v>349</v>
      </c>
      <c r="E149" s="11"/>
      <c r="F149" s="11"/>
      <c r="G149" s="11"/>
      <c r="H149" s="11">
        <v>81</v>
      </c>
      <c r="I149" s="11">
        <v>86</v>
      </c>
      <c r="J149" s="11">
        <v>76</v>
      </c>
      <c r="K149" s="11">
        <v>0</v>
      </c>
      <c r="L149" s="11">
        <v>1</v>
      </c>
      <c r="M149" s="11">
        <v>0</v>
      </c>
      <c r="N149" s="11" t="s">
        <v>187</v>
      </c>
      <c r="O149" s="11" t="s">
        <v>187</v>
      </c>
      <c r="P149" s="11" t="s">
        <v>187</v>
      </c>
      <c r="Q149" s="11" t="s">
        <v>187</v>
      </c>
      <c r="R149" s="11" t="s">
        <v>187</v>
      </c>
      <c r="S149" s="11" t="s">
        <v>187</v>
      </c>
    </row>
    <row r="150" spans="1:19" x14ac:dyDescent="0.3">
      <c r="A150" s="11" t="s">
        <v>531</v>
      </c>
      <c r="B150" s="11">
        <v>10602</v>
      </c>
      <c r="C150" s="11">
        <v>2</v>
      </c>
      <c r="D150" s="11" t="s">
        <v>350</v>
      </c>
      <c r="E150" s="11"/>
      <c r="F150" s="11"/>
      <c r="G150" s="11"/>
      <c r="H150" s="11">
        <v>23</v>
      </c>
      <c r="I150" s="11">
        <v>23</v>
      </c>
      <c r="J150" s="11">
        <v>45</v>
      </c>
      <c r="K150" s="11">
        <v>0</v>
      </c>
      <c r="L150" s="11">
        <v>3</v>
      </c>
      <c r="M150" s="11">
        <v>3</v>
      </c>
      <c r="N150" s="11" t="s">
        <v>187</v>
      </c>
      <c r="O150" s="11" t="s">
        <v>191</v>
      </c>
      <c r="P150" s="11" t="s">
        <v>191</v>
      </c>
      <c r="Q150" s="11" t="s">
        <v>191</v>
      </c>
      <c r="R150" s="11" t="s">
        <v>187</v>
      </c>
      <c r="S150" s="11" t="s">
        <v>192</v>
      </c>
    </row>
    <row r="151" spans="1:19" x14ac:dyDescent="0.3">
      <c r="A151" s="11" t="s">
        <v>531</v>
      </c>
      <c r="B151" s="11">
        <v>10603</v>
      </c>
      <c r="C151" s="11">
        <v>2</v>
      </c>
      <c r="D151" s="11" t="s">
        <v>306</v>
      </c>
      <c r="E151" s="11"/>
      <c r="F151" s="11"/>
      <c r="G151" s="11"/>
      <c r="H151" s="11">
        <v>32</v>
      </c>
      <c r="I151" s="11">
        <v>31</v>
      </c>
      <c r="J151" s="11">
        <v>26</v>
      </c>
      <c r="K151" s="11">
        <v>0</v>
      </c>
      <c r="L151" s="11">
        <v>1</v>
      </c>
      <c r="M151" s="11">
        <v>3</v>
      </c>
      <c r="N151" s="11" t="s">
        <v>187</v>
      </c>
      <c r="O151" s="11" t="s">
        <v>187</v>
      </c>
      <c r="P151" s="11" t="s">
        <v>187</v>
      </c>
      <c r="Q151" s="11" t="s">
        <v>187</v>
      </c>
      <c r="R151" s="11" t="s">
        <v>187</v>
      </c>
      <c r="S151" s="11" t="s">
        <v>187</v>
      </c>
    </row>
    <row r="152" spans="1:19" x14ac:dyDescent="0.3">
      <c r="A152" s="11" t="s">
        <v>531</v>
      </c>
      <c r="B152" s="11">
        <v>10604</v>
      </c>
      <c r="C152" s="11">
        <v>2</v>
      </c>
      <c r="D152" s="11" t="s">
        <v>351</v>
      </c>
      <c r="E152" s="11"/>
      <c r="F152" s="11"/>
      <c r="G152" s="11"/>
      <c r="H152" s="11">
        <v>77</v>
      </c>
      <c r="I152" s="11">
        <v>65</v>
      </c>
      <c r="J152" s="11">
        <v>76</v>
      </c>
      <c r="K152" s="11">
        <v>0</v>
      </c>
      <c r="L152" s="11">
        <v>5</v>
      </c>
      <c r="M152" s="11">
        <v>0</v>
      </c>
      <c r="N152" s="11" t="s">
        <v>192</v>
      </c>
      <c r="O152" s="11" t="s">
        <v>192</v>
      </c>
      <c r="P152" s="11" t="s">
        <v>192</v>
      </c>
      <c r="Q152" s="11" t="s">
        <v>192</v>
      </c>
      <c r="R152" s="11" t="s">
        <v>192</v>
      </c>
      <c r="S152" s="11" t="s">
        <v>192</v>
      </c>
    </row>
    <row r="153" spans="1:19" x14ac:dyDescent="0.3">
      <c r="A153" s="11" t="s">
        <v>531</v>
      </c>
      <c r="B153" s="11">
        <v>10605</v>
      </c>
      <c r="C153" s="11">
        <v>2</v>
      </c>
      <c r="D153" s="11" t="s">
        <v>352</v>
      </c>
      <c r="E153" s="11"/>
      <c r="F153" s="11"/>
      <c r="G153" s="11"/>
      <c r="H153" s="11">
        <v>81</v>
      </c>
      <c r="I153" s="11">
        <v>86</v>
      </c>
      <c r="J153" s="11">
        <v>76</v>
      </c>
      <c r="K153" s="11">
        <v>0</v>
      </c>
      <c r="L153" s="11">
        <v>1</v>
      </c>
      <c r="M153" s="11">
        <v>0</v>
      </c>
      <c r="N153" s="11" t="s">
        <v>187</v>
      </c>
      <c r="O153" s="11" t="s">
        <v>187</v>
      </c>
      <c r="P153" s="11" t="s">
        <v>187</v>
      </c>
      <c r="Q153" s="11" t="s">
        <v>187</v>
      </c>
      <c r="R153" s="11" t="s">
        <v>187</v>
      </c>
      <c r="S153" s="11" t="s">
        <v>187</v>
      </c>
    </row>
    <row r="154" spans="1:19" x14ac:dyDescent="0.3">
      <c r="A154" s="11" t="s">
        <v>531</v>
      </c>
      <c r="B154" s="11">
        <v>10606</v>
      </c>
      <c r="C154" s="11">
        <v>2</v>
      </c>
      <c r="D154" s="11" t="s">
        <v>353</v>
      </c>
      <c r="E154" s="11"/>
      <c r="F154" s="11"/>
      <c r="G154" s="11"/>
      <c r="H154" s="11">
        <v>23</v>
      </c>
      <c r="I154" s="11">
        <v>23</v>
      </c>
      <c r="J154" s="11">
        <v>45</v>
      </c>
      <c r="K154" s="11">
        <v>0</v>
      </c>
      <c r="L154" s="11">
        <v>3</v>
      </c>
      <c r="M154" s="11">
        <v>3</v>
      </c>
      <c r="N154" s="11" t="s">
        <v>187</v>
      </c>
      <c r="O154" s="11" t="s">
        <v>191</v>
      </c>
      <c r="P154" s="11" t="s">
        <v>191</v>
      </c>
      <c r="Q154" s="11" t="s">
        <v>191</v>
      </c>
      <c r="R154" s="11" t="s">
        <v>187</v>
      </c>
      <c r="S154" s="11" t="s">
        <v>192</v>
      </c>
    </row>
    <row r="155" spans="1:19" x14ac:dyDescent="0.3">
      <c r="A155" s="11" t="s">
        <v>531</v>
      </c>
      <c r="B155" s="11">
        <v>10607</v>
      </c>
      <c r="C155" s="11">
        <v>2</v>
      </c>
      <c r="D155" s="11" t="s">
        <v>354</v>
      </c>
      <c r="E155" s="11"/>
      <c r="F155" s="11"/>
      <c r="G155" s="11"/>
      <c r="H155" s="11">
        <v>32</v>
      </c>
      <c r="I155" s="11">
        <v>31</v>
      </c>
      <c r="J155" s="11">
        <v>26</v>
      </c>
      <c r="K155" s="11">
        <v>0</v>
      </c>
      <c r="L155" s="11">
        <v>1</v>
      </c>
      <c r="M155" s="11">
        <v>3</v>
      </c>
      <c r="N155" s="11" t="s">
        <v>187</v>
      </c>
      <c r="O155" s="11" t="s">
        <v>187</v>
      </c>
      <c r="P155" s="11" t="s">
        <v>187</v>
      </c>
      <c r="Q155" s="11" t="s">
        <v>187</v>
      </c>
      <c r="R155" s="11" t="s">
        <v>187</v>
      </c>
      <c r="S155" s="11" t="s">
        <v>187</v>
      </c>
    </row>
    <row r="156" spans="1:19" x14ac:dyDescent="0.3">
      <c r="A156" s="11" t="s">
        <v>531</v>
      </c>
      <c r="B156" s="11">
        <v>10608</v>
      </c>
      <c r="C156" s="11">
        <v>2</v>
      </c>
      <c r="D156" s="11" t="s">
        <v>355</v>
      </c>
      <c r="E156" s="11"/>
      <c r="F156" s="11"/>
      <c r="G156" s="11"/>
      <c r="H156" s="11">
        <v>77</v>
      </c>
      <c r="I156" s="11">
        <v>65</v>
      </c>
      <c r="J156" s="11">
        <v>76</v>
      </c>
      <c r="K156" s="11">
        <v>0</v>
      </c>
      <c r="L156" s="11">
        <v>5</v>
      </c>
      <c r="M156" s="11">
        <v>0</v>
      </c>
      <c r="N156" s="11" t="s">
        <v>192</v>
      </c>
      <c r="O156" s="11" t="s">
        <v>192</v>
      </c>
      <c r="P156" s="11" t="s">
        <v>192</v>
      </c>
      <c r="Q156" s="11" t="s">
        <v>192</v>
      </c>
      <c r="R156" s="11" t="s">
        <v>192</v>
      </c>
      <c r="S156" s="11" t="s">
        <v>192</v>
      </c>
    </row>
    <row r="157" spans="1:19" x14ac:dyDescent="0.3">
      <c r="A157" s="11" t="s">
        <v>531</v>
      </c>
      <c r="B157" s="11">
        <v>10609</v>
      </c>
      <c r="C157" s="11">
        <v>2</v>
      </c>
      <c r="D157" s="11" t="s">
        <v>356</v>
      </c>
      <c r="E157" s="11"/>
      <c r="F157" s="11"/>
      <c r="G157" s="11"/>
      <c r="H157" s="11">
        <v>81</v>
      </c>
      <c r="I157" s="11">
        <v>86</v>
      </c>
      <c r="J157" s="11">
        <v>76</v>
      </c>
      <c r="K157" s="11">
        <v>0</v>
      </c>
      <c r="L157" s="11">
        <v>1</v>
      </c>
      <c r="M157" s="11">
        <v>0</v>
      </c>
      <c r="N157" s="11" t="s">
        <v>187</v>
      </c>
      <c r="O157" s="11" t="s">
        <v>187</v>
      </c>
      <c r="P157" s="11" t="s">
        <v>187</v>
      </c>
      <c r="Q157" s="11" t="s">
        <v>187</v>
      </c>
      <c r="R157" s="11" t="s">
        <v>187</v>
      </c>
      <c r="S157" s="11" t="s">
        <v>187</v>
      </c>
    </row>
    <row r="158" spans="1:19" x14ac:dyDescent="0.3">
      <c r="A158" s="11" t="s">
        <v>531</v>
      </c>
      <c r="B158" s="11">
        <v>10610</v>
      </c>
      <c r="C158" s="11">
        <v>2</v>
      </c>
      <c r="D158" s="11" t="s">
        <v>301</v>
      </c>
      <c r="E158" s="11"/>
      <c r="F158" s="11"/>
      <c r="G158" s="11"/>
      <c r="H158" s="11">
        <v>23</v>
      </c>
      <c r="I158" s="11">
        <v>23</v>
      </c>
      <c r="J158" s="11">
        <v>45</v>
      </c>
      <c r="K158" s="11">
        <v>0</v>
      </c>
      <c r="L158" s="11">
        <v>3</v>
      </c>
      <c r="M158" s="11">
        <v>3</v>
      </c>
      <c r="N158" s="11" t="s">
        <v>187</v>
      </c>
      <c r="O158" s="11" t="s">
        <v>191</v>
      </c>
      <c r="P158" s="11" t="s">
        <v>191</v>
      </c>
      <c r="Q158" s="11" t="s">
        <v>191</v>
      </c>
      <c r="R158" s="11" t="s">
        <v>187</v>
      </c>
      <c r="S158" s="11" t="s">
        <v>192</v>
      </c>
    </row>
    <row r="159" spans="1:19" x14ac:dyDescent="0.3">
      <c r="A159" s="11" t="s">
        <v>531</v>
      </c>
      <c r="B159" s="11">
        <v>10611</v>
      </c>
      <c r="C159" s="11">
        <v>2</v>
      </c>
      <c r="D159" s="11" t="s">
        <v>357</v>
      </c>
      <c r="E159" s="11"/>
      <c r="F159" s="11"/>
      <c r="G159" s="11"/>
      <c r="H159" s="11">
        <v>32</v>
      </c>
      <c r="I159" s="11">
        <v>31</v>
      </c>
      <c r="J159" s="11">
        <v>26</v>
      </c>
      <c r="K159" s="11">
        <v>0</v>
      </c>
      <c r="L159" s="11">
        <v>1</v>
      </c>
      <c r="M159" s="11">
        <v>3</v>
      </c>
      <c r="N159" s="11" t="s">
        <v>187</v>
      </c>
      <c r="O159" s="11" t="s">
        <v>187</v>
      </c>
      <c r="P159" s="11" t="s">
        <v>187</v>
      </c>
      <c r="Q159" s="11" t="s">
        <v>187</v>
      </c>
      <c r="R159" s="11" t="s">
        <v>187</v>
      </c>
      <c r="S159" s="11" t="s">
        <v>187</v>
      </c>
    </row>
    <row r="160" spans="1:19" x14ac:dyDescent="0.3">
      <c r="A160" s="11" t="s">
        <v>531</v>
      </c>
      <c r="B160" s="11">
        <v>10612</v>
      </c>
      <c r="C160" s="11">
        <v>2</v>
      </c>
      <c r="D160" s="11" t="s">
        <v>358</v>
      </c>
      <c r="E160" s="11"/>
      <c r="F160" s="11"/>
      <c r="G160" s="11"/>
      <c r="H160" s="11">
        <v>77</v>
      </c>
      <c r="I160" s="11">
        <v>65</v>
      </c>
      <c r="J160" s="11">
        <v>76</v>
      </c>
      <c r="K160" s="11">
        <v>0</v>
      </c>
      <c r="L160" s="11">
        <v>5</v>
      </c>
      <c r="M160" s="11">
        <v>0</v>
      </c>
      <c r="N160" s="11" t="s">
        <v>192</v>
      </c>
      <c r="O160" s="11" t="s">
        <v>192</v>
      </c>
      <c r="P160" s="11" t="s">
        <v>192</v>
      </c>
      <c r="Q160" s="11" t="s">
        <v>192</v>
      </c>
      <c r="R160" s="11" t="s">
        <v>192</v>
      </c>
      <c r="S160" s="11" t="s">
        <v>192</v>
      </c>
    </row>
    <row r="161" spans="1:19" x14ac:dyDescent="0.3">
      <c r="A161" s="11" t="s">
        <v>531</v>
      </c>
      <c r="B161" s="11">
        <v>10613</v>
      </c>
      <c r="C161" s="11">
        <v>2</v>
      </c>
      <c r="D161" s="11" t="s">
        <v>359</v>
      </c>
      <c r="E161" s="11"/>
      <c r="F161" s="11"/>
      <c r="G161" s="11"/>
      <c r="H161" s="11">
        <v>81</v>
      </c>
      <c r="I161" s="11">
        <v>86</v>
      </c>
      <c r="J161" s="11">
        <v>76</v>
      </c>
      <c r="K161" s="11">
        <v>0</v>
      </c>
      <c r="L161" s="11">
        <v>1</v>
      </c>
      <c r="M161" s="11">
        <v>0</v>
      </c>
      <c r="N161" s="11" t="s">
        <v>187</v>
      </c>
      <c r="O161" s="11" t="s">
        <v>187</v>
      </c>
      <c r="P161" s="11" t="s">
        <v>187</v>
      </c>
      <c r="Q161" s="11" t="s">
        <v>187</v>
      </c>
      <c r="R161" s="11" t="s">
        <v>187</v>
      </c>
      <c r="S161" s="11" t="s">
        <v>187</v>
      </c>
    </row>
    <row r="162" spans="1:19" x14ac:dyDescent="0.3">
      <c r="A162" s="11" t="s">
        <v>531</v>
      </c>
      <c r="B162" s="11">
        <v>10614</v>
      </c>
      <c r="C162" s="11">
        <v>2</v>
      </c>
      <c r="D162" s="11" t="s">
        <v>360</v>
      </c>
      <c r="E162" s="11"/>
      <c r="F162" s="11"/>
      <c r="G162" s="11"/>
      <c r="H162" s="11">
        <v>23</v>
      </c>
      <c r="I162" s="11">
        <v>23</v>
      </c>
      <c r="J162" s="11">
        <v>45</v>
      </c>
      <c r="K162" s="11">
        <v>0</v>
      </c>
      <c r="L162" s="11">
        <v>3</v>
      </c>
      <c r="M162" s="11">
        <v>3</v>
      </c>
      <c r="N162" s="11" t="s">
        <v>187</v>
      </c>
      <c r="O162" s="11" t="s">
        <v>191</v>
      </c>
      <c r="P162" s="11" t="s">
        <v>191</v>
      </c>
      <c r="Q162" s="11" t="s">
        <v>191</v>
      </c>
      <c r="R162" s="11" t="s">
        <v>187</v>
      </c>
      <c r="S162" s="11" t="s">
        <v>192</v>
      </c>
    </row>
    <row r="163" spans="1:19" x14ac:dyDescent="0.3">
      <c r="A163" s="11" t="s">
        <v>531</v>
      </c>
      <c r="B163" s="11">
        <v>10615</v>
      </c>
      <c r="C163" s="11">
        <v>1</v>
      </c>
      <c r="D163" s="11" t="s">
        <v>361</v>
      </c>
      <c r="E163" s="11"/>
      <c r="F163" s="11"/>
      <c r="G163" s="11"/>
      <c r="H163" s="11">
        <v>32</v>
      </c>
      <c r="I163" s="11">
        <v>31</v>
      </c>
      <c r="J163" s="11">
        <v>26</v>
      </c>
      <c r="K163" s="11">
        <v>0</v>
      </c>
      <c r="L163" s="11">
        <v>1</v>
      </c>
      <c r="M163" s="11">
        <v>3</v>
      </c>
      <c r="N163" s="11" t="s">
        <v>187</v>
      </c>
      <c r="O163" s="11" t="s">
        <v>187</v>
      </c>
      <c r="P163" s="11" t="s">
        <v>187</v>
      </c>
      <c r="Q163" s="11" t="s">
        <v>187</v>
      </c>
      <c r="R163" s="11" t="s">
        <v>187</v>
      </c>
      <c r="S163" s="11" t="s">
        <v>187</v>
      </c>
    </row>
    <row r="164" spans="1:19" x14ac:dyDescent="0.3">
      <c r="A164" s="11" t="s">
        <v>531</v>
      </c>
      <c r="B164" s="11">
        <v>10616</v>
      </c>
      <c r="C164" s="11">
        <v>1</v>
      </c>
      <c r="D164" s="11" t="s">
        <v>362</v>
      </c>
      <c r="E164" s="11"/>
      <c r="F164" s="11"/>
      <c r="G164" s="11"/>
      <c r="H164" s="11">
        <v>77</v>
      </c>
      <c r="I164" s="11">
        <v>65</v>
      </c>
      <c r="J164" s="11">
        <v>76</v>
      </c>
      <c r="K164" s="11">
        <v>0</v>
      </c>
      <c r="L164" s="11">
        <v>5</v>
      </c>
      <c r="M164" s="11">
        <v>0</v>
      </c>
      <c r="N164" s="11" t="s">
        <v>192</v>
      </c>
      <c r="O164" s="11" t="s">
        <v>192</v>
      </c>
      <c r="P164" s="11" t="s">
        <v>192</v>
      </c>
      <c r="Q164" s="11" t="s">
        <v>192</v>
      </c>
      <c r="R164" s="11" t="s">
        <v>192</v>
      </c>
      <c r="S164" s="11" t="s">
        <v>192</v>
      </c>
    </row>
    <row r="165" spans="1:19" x14ac:dyDescent="0.3">
      <c r="A165" s="11" t="s">
        <v>531</v>
      </c>
      <c r="B165" s="11">
        <v>10617</v>
      </c>
      <c r="C165" s="11">
        <v>1</v>
      </c>
      <c r="D165" s="11" t="s">
        <v>363</v>
      </c>
      <c r="E165" s="11"/>
      <c r="F165" s="11"/>
      <c r="G165" s="11"/>
      <c r="H165" s="11">
        <v>81</v>
      </c>
      <c r="I165" s="11">
        <v>86</v>
      </c>
      <c r="J165" s="11">
        <v>76</v>
      </c>
      <c r="K165" s="11">
        <v>0</v>
      </c>
      <c r="L165" s="11">
        <v>1</v>
      </c>
      <c r="M165" s="11">
        <v>0</v>
      </c>
      <c r="N165" s="11" t="s">
        <v>187</v>
      </c>
      <c r="O165" s="11" t="s">
        <v>187</v>
      </c>
      <c r="P165" s="11" t="s">
        <v>187</v>
      </c>
      <c r="Q165" s="11" t="s">
        <v>187</v>
      </c>
      <c r="R165" s="11" t="s">
        <v>187</v>
      </c>
      <c r="S165" s="11" t="s">
        <v>187</v>
      </c>
    </row>
    <row r="166" spans="1:19" x14ac:dyDescent="0.3">
      <c r="A166" s="11" t="s">
        <v>531</v>
      </c>
      <c r="B166" s="11">
        <v>10618</v>
      </c>
      <c r="C166" s="11">
        <v>1</v>
      </c>
      <c r="D166" s="11" t="s">
        <v>364</v>
      </c>
      <c r="E166" s="11"/>
      <c r="F166" s="11"/>
      <c r="G166" s="11"/>
      <c r="H166" s="11">
        <v>23</v>
      </c>
      <c r="I166" s="11">
        <v>23</v>
      </c>
      <c r="J166" s="11">
        <v>45</v>
      </c>
      <c r="K166" s="11">
        <v>0</v>
      </c>
      <c r="L166" s="11">
        <v>3</v>
      </c>
      <c r="M166" s="11">
        <v>3</v>
      </c>
      <c r="N166" s="11" t="s">
        <v>187</v>
      </c>
      <c r="O166" s="11" t="s">
        <v>191</v>
      </c>
      <c r="P166" s="11" t="s">
        <v>191</v>
      </c>
      <c r="Q166" s="11" t="s">
        <v>191</v>
      </c>
      <c r="R166" s="11" t="s">
        <v>187</v>
      </c>
      <c r="S166" s="11" t="s">
        <v>192</v>
      </c>
    </row>
    <row r="167" spans="1:19" x14ac:dyDescent="0.3">
      <c r="A167" s="11" t="s">
        <v>531</v>
      </c>
      <c r="B167" s="11">
        <v>10619</v>
      </c>
      <c r="C167" s="11">
        <v>1</v>
      </c>
      <c r="D167" s="11" t="s">
        <v>365</v>
      </c>
      <c r="E167" s="11"/>
      <c r="F167" s="11"/>
      <c r="G167" s="11"/>
      <c r="H167" s="11">
        <v>32</v>
      </c>
      <c r="I167" s="11">
        <v>31</v>
      </c>
      <c r="J167" s="11">
        <v>26</v>
      </c>
      <c r="K167" s="11">
        <v>0</v>
      </c>
      <c r="L167" s="11">
        <v>1</v>
      </c>
      <c r="M167" s="11">
        <v>3</v>
      </c>
      <c r="N167" s="11" t="s">
        <v>187</v>
      </c>
      <c r="O167" s="11" t="s">
        <v>187</v>
      </c>
      <c r="P167" s="11" t="s">
        <v>187</v>
      </c>
      <c r="Q167" s="11" t="s">
        <v>187</v>
      </c>
      <c r="R167" s="11" t="s">
        <v>187</v>
      </c>
      <c r="S167" s="11" t="s">
        <v>187</v>
      </c>
    </row>
    <row r="168" spans="1:19" x14ac:dyDescent="0.3">
      <c r="A168" s="11" t="s">
        <v>531</v>
      </c>
      <c r="B168" s="11">
        <v>10620</v>
      </c>
      <c r="C168" s="11">
        <v>1</v>
      </c>
      <c r="D168" s="11" t="s">
        <v>366</v>
      </c>
      <c r="E168" s="11"/>
      <c r="F168" s="11"/>
      <c r="G168" s="11"/>
      <c r="H168" s="11">
        <v>77</v>
      </c>
      <c r="I168" s="11">
        <v>65</v>
      </c>
      <c r="J168" s="11">
        <v>76</v>
      </c>
      <c r="K168" s="11">
        <v>0</v>
      </c>
      <c r="L168" s="11">
        <v>5</v>
      </c>
      <c r="M168" s="11">
        <v>0</v>
      </c>
      <c r="N168" s="11" t="s">
        <v>192</v>
      </c>
      <c r="O168" s="11" t="s">
        <v>192</v>
      </c>
      <c r="P168" s="11" t="s">
        <v>192</v>
      </c>
      <c r="Q168" s="11" t="s">
        <v>192</v>
      </c>
      <c r="R168" s="11" t="s">
        <v>192</v>
      </c>
      <c r="S168" s="11" t="s">
        <v>192</v>
      </c>
    </row>
    <row r="169" spans="1:19" x14ac:dyDescent="0.3">
      <c r="A169" s="11" t="s">
        <v>531</v>
      </c>
      <c r="B169" s="11">
        <v>10621</v>
      </c>
      <c r="C169" s="11">
        <v>1</v>
      </c>
      <c r="D169" s="11" t="s">
        <v>367</v>
      </c>
      <c r="E169" s="11"/>
      <c r="F169" s="11"/>
      <c r="G169" s="11"/>
      <c r="H169" s="11">
        <v>81</v>
      </c>
      <c r="I169" s="11">
        <v>86</v>
      </c>
      <c r="J169" s="11">
        <v>76</v>
      </c>
      <c r="K169" s="11">
        <v>0</v>
      </c>
      <c r="L169" s="11">
        <v>1</v>
      </c>
      <c r="M169" s="11">
        <v>0</v>
      </c>
      <c r="N169" s="11" t="s">
        <v>187</v>
      </c>
      <c r="O169" s="11" t="s">
        <v>187</v>
      </c>
      <c r="P169" s="11" t="s">
        <v>187</v>
      </c>
      <c r="Q169" s="11" t="s">
        <v>187</v>
      </c>
      <c r="R169" s="11" t="s">
        <v>187</v>
      </c>
      <c r="S169" s="11" t="s">
        <v>187</v>
      </c>
    </row>
    <row r="170" spans="1:19" x14ac:dyDescent="0.3">
      <c r="A170" s="11" t="s">
        <v>531</v>
      </c>
      <c r="B170" s="11">
        <v>10622</v>
      </c>
      <c r="C170" s="11">
        <v>1</v>
      </c>
      <c r="D170" s="11" t="s">
        <v>368</v>
      </c>
      <c r="E170" s="11"/>
      <c r="F170" s="11"/>
      <c r="G170" s="11"/>
      <c r="H170" s="11">
        <v>23</v>
      </c>
      <c r="I170" s="11">
        <v>23</v>
      </c>
      <c r="J170" s="11">
        <v>45</v>
      </c>
      <c r="K170" s="11">
        <v>0</v>
      </c>
      <c r="L170" s="11">
        <v>3</v>
      </c>
      <c r="M170" s="11">
        <v>3</v>
      </c>
      <c r="N170" s="11" t="s">
        <v>187</v>
      </c>
      <c r="O170" s="11" t="s">
        <v>191</v>
      </c>
      <c r="P170" s="11" t="s">
        <v>191</v>
      </c>
      <c r="Q170" s="11" t="s">
        <v>191</v>
      </c>
      <c r="R170" s="11" t="s">
        <v>187</v>
      </c>
      <c r="S170" s="11" t="s">
        <v>192</v>
      </c>
    </row>
    <row r="171" spans="1:19" x14ac:dyDescent="0.3">
      <c r="A171" s="11" t="s">
        <v>531</v>
      </c>
      <c r="B171" s="11">
        <v>10623</v>
      </c>
      <c r="C171" s="11">
        <v>1</v>
      </c>
      <c r="D171" s="11" t="s">
        <v>369</v>
      </c>
      <c r="E171" s="11"/>
      <c r="F171" s="11"/>
      <c r="G171" s="11"/>
      <c r="H171" s="11">
        <v>32</v>
      </c>
      <c r="I171" s="11">
        <v>31</v>
      </c>
      <c r="J171" s="11">
        <v>26</v>
      </c>
      <c r="K171" s="11">
        <v>0</v>
      </c>
      <c r="L171" s="11">
        <v>1</v>
      </c>
      <c r="M171" s="11">
        <v>3</v>
      </c>
      <c r="N171" s="11" t="s">
        <v>187</v>
      </c>
      <c r="O171" s="11" t="s">
        <v>187</v>
      </c>
      <c r="P171" s="11" t="s">
        <v>187</v>
      </c>
      <c r="Q171" s="11" t="s">
        <v>187</v>
      </c>
      <c r="R171" s="11" t="s">
        <v>187</v>
      </c>
      <c r="S171" s="11" t="s">
        <v>187</v>
      </c>
    </row>
    <row r="172" spans="1:19" x14ac:dyDescent="0.3">
      <c r="A172" s="11" t="s">
        <v>531</v>
      </c>
      <c r="B172" s="11">
        <v>10624</v>
      </c>
      <c r="C172" s="11">
        <v>1</v>
      </c>
      <c r="D172" s="11" t="s">
        <v>370</v>
      </c>
      <c r="E172" s="11"/>
      <c r="F172" s="11"/>
      <c r="G172" s="11"/>
      <c r="H172" s="11">
        <v>77</v>
      </c>
      <c r="I172" s="11">
        <v>65</v>
      </c>
      <c r="J172" s="11">
        <v>76</v>
      </c>
      <c r="K172" s="11">
        <v>0</v>
      </c>
      <c r="L172" s="11">
        <v>5</v>
      </c>
      <c r="M172" s="11">
        <v>0</v>
      </c>
      <c r="N172" s="11" t="s">
        <v>192</v>
      </c>
      <c r="O172" s="11" t="s">
        <v>192</v>
      </c>
      <c r="P172" s="11" t="s">
        <v>192</v>
      </c>
      <c r="Q172" s="11" t="s">
        <v>192</v>
      </c>
      <c r="R172" s="11" t="s">
        <v>192</v>
      </c>
      <c r="S172" s="11" t="s">
        <v>192</v>
      </c>
    </row>
    <row r="173" spans="1:19" x14ac:dyDescent="0.3">
      <c r="A173" s="11" t="s">
        <v>531</v>
      </c>
      <c r="B173" s="11">
        <v>10625</v>
      </c>
      <c r="C173" s="11">
        <v>1</v>
      </c>
      <c r="D173" s="11" t="s">
        <v>371</v>
      </c>
      <c r="E173" s="11"/>
      <c r="F173" s="11"/>
      <c r="G173" s="11"/>
      <c r="H173" s="11">
        <v>81</v>
      </c>
      <c r="I173" s="11">
        <v>86</v>
      </c>
      <c r="J173" s="11">
        <v>76</v>
      </c>
      <c r="K173" s="11">
        <v>0</v>
      </c>
      <c r="L173" s="11">
        <v>1</v>
      </c>
      <c r="M173" s="11">
        <v>0</v>
      </c>
      <c r="N173" s="11" t="s">
        <v>187</v>
      </c>
      <c r="O173" s="11" t="s">
        <v>187</v>
      </c>
      <c r="P173" s="11" t="s">
        <v>187</v>
      </c>
      <c r="Q173" s="11" t="s">
        <v>187</v>
      </c>
      <c r="R173" s="11" t="s">
        <v>187</v>
      </c>
      <c r="S173" s="11" t="s">
        <v>187</v>
      </c>
    </row>
    <row r="174" spans="1:19" x14ac:dyDescent="0.3">
      <c r="A174" s="11" t="s">
        <v>531</v>
      </c>
      <c r="B174" s="11">
        <v>10626</v>
      </c>
      <c r="C174" s="11">
        <v>1</v>
      </c>
      <c r="D174" s="11" t="s">
        <v>372</v>
      </c>
      <c r="E174" s="11"/>
      <c r="F174" s="11"/>
      <c r="G174" s="11"/>
      <c r="H174" s="11">
        <v>23</v>
      </c>
      <c r="I174" s="11">
        <v>23</v>
      </c>
      <c r="J174" s="11">
        <v>45</v>
      </c>
      <c r="K174" s="11">
        <v>0</v>
      </c>
      <c r="L174" s="11">
        <v>3</v>
      </c>
      <c r="M174" s="11">
        <v>3</v>
      </c>
      <c r="N174" s="11" t="s">
        <v>187</v>
      </c>
      <c r="O174" s="11" t="s">
        <v>191</v>
      </c>
      <c r="P174" s="11" t="s">
        <v>191</v>
      </c>
      <c r="Q174" s="11" t="s">
        <v>191</v>
      </c>
      <c r="R174" s="11" t="s">
        <v>187</v>
      </c>
      <c r="S174" s="11" t="s">
        <v>192</v>
      </c>
    </row>
    <row r="175" spans="1:19" x14ac:dyDescent="0.3">
      <c r="A175" s="11" t="s">
        <v>531</v>
      </c>
      <c r="B175" s="11">
        <v>10627</v>
      </c>
      <c r="C175" s="11">
        <v>1</v>
      </c>
      <c r="D175" s="11" t="s">
        <v>373</v>
      </c>
      <c r="E175" s="11"/>
      <c r="F175" s="11"/>
      <c r="G175" s="11"/>
      <c r="H175" s="11">
        <v>32</v>
      </c>
      <c r="I175" s="11">
        <v>31</v>
      </c>
      <c r="J175" s="11">
        <v>26</v>
      </c>
      <c r="K175" s="11">
        <v>0</v>
      </c>
      <c r="L175" s="11">
        <v>1</v>
      </c>
      <c r="M175" s="11">
        <v>3</v>
      </c>
      <c r="N175" s="11" t="s">
        <v>187</v>
      </c>
      <c r="O175" s="11" t="s">
        <v>187</v>
      </c>
      <c r="P175" s="11" t="s">
        <v>187</v>
      </c>
      <c r="Q175" s="11" t="s">
        <v>187</v>
      </c>
      <c r="R175" s="11" t="s">
        <v>187</v>
      </c>
      <c r="S175" s="11" t="s">
        <v>187</v>
      </c>
    </row>
    <row r="176" spans="1:19" x14ac:dyDescent="0.3">
      <c r="A176" s="11" t="s">
        <v>531</v>
      </c>
      <c r="B176" s="11">
        <v>10628</v>
      </c>
      <c r="C176" s="11">
        <v>1</v>
      </c>
      <c r="D176" s="11" t="s">
        <v>374</v>
      </c>
      <c r="E176" s="11"/>
      <c r="F176" s="11"/>
      <c r="G176" s="11"/>
      <c r="H176" s="11">
        <v>77</v>
      </c>
      <c r="I176" s="11">
        <v>65</v>
      </c>
      <c r="J176" s="11">
        <v>76</v>
      </c>
      <c r="K176" s="11">
        <v>0</v>
      </c>
      <c r="L176" s="11">
        <v>5</v>
      </c>
      <c r="M176" s="11">
        <v>0</v>
      </c>
      <c r="N176" s="11" t="s">
        <v>192</v>
      </c>
      <c r="O176" s="11" t="s">
        <v>192</v>
      </c>
      <c r="P176" s="11" t="s">
        <v>192</v>
      </c>
      <c r="Q176" s="11" t="s">
        <v>192</v>
      </c>
      <c r="R176" s="11" t="s">
        <v>192</v>
      </c>
      <c r="S176" s="11" t="s">
        <v>192</v>
      </c>
    </row>
    <row r="177" spans="1:19" x14ac:dyDescent="0.3">
      <c r="A177" s="11" t="s">
        <v>531</v>
      </c>
      <c r="B177" s="11">
        <v>10629</v>
      </c>
      <c r="C177" s="11">
        <v>1</v>
      </c>
      <c r="D177" s="11" t="s">
        <v>375</v>
      </c>
      <c r="E177" s="11"/>
      <c r="F177" s="11"/>
      <c r="G177" s="11"/>
      <c r="H177" s="11">
        <v>81</v>
      </c>
      <c r="I177" s="11">
        <v>86</v>
      </c>
      <c r="J177" s="11">
        <v>76</v>
      </c>
      <c r="K177" s="11">
        <v>0</v>
      </c>
      <c r="L177" s="11">
        <v>1</v>
      </c>
      <c r="M177" s="11">
        <v>0</v>
      </c>
      <c r="N177" s="11" t="s">
        <v>187</v>
      </c>
      <c r="O177" s="11" t="s">
        <v>187</v>
      </c>
      <c r="P177" s="11" t="s">
        <v>187</v>
      </c>
      <c r="Q177" s="11" t="s">
        <v>187</v>
      </c>
      <c r="R177" s="11" t="s">
        <v>187</v>
      </c>
      <c r="S177" s="11" t="s">
        <v>187</v>
      </c>
    </row>
    <row r="178" spans="1:19" x14ac:dyDescent="0.3">
      <c r="A178" s="11" t="s">
        <v>531</v>
      </c>
      <c r="B178" s="11">
        <v>10701</v>
      </c>
      <c r="C178" s="11">
        <v>2</v>
      </c>
      <c r="D178" s="11" t="s">
        <v>376</v>
      </c>
      <c r="E178" s="11"/>
      <c r="F178" s="11"/>
      <c r="G178" s="11"/>
      <c r="H178" s="11">
        <v>23</v>
      </c>
      <c r="I178" s="11">
        <v>23</v>
      </c>
      <c r="J178" s="11">
        <v>45</v>
      </c>
      <c r="K178" s="11">
        <v>0</v>
      </c>
      <c r="L178" s="11">
        <v>3</v>
      </c>
      <c r="M178" s="11">
        <v>3</v>
      </c>
      <c r="N178" s="11" t="s">
        <v>187</v>
      </c>
      <c r="O178" s="11" t="s">
        <v>191</v>
      </c>
      <c r="P178" s="11" t="s">
        <v>191</v>
      </c>
      <c r="Q178" s="11" t="s">
        <v>191</v>
      </c>
      <c r="R178" s="11" t="s">
        <v>187</v>
      </c>
      <c r="S178" s="11" t="s">
        <v>192</v>
      </c>
    </row>
    <row r="179" spans="1:19" x14ac:dyDescent="0.3">
      <c r="A179" s="11" t="s">
        <v>531</v>
      </c>
      <c r="B179" s="11">
        <v>10702</v>
      </c>
      <c r="C179" s="11">
        <v>2</v>
      </c>
      <c r="D179" s="11" t="s">
        <v>377</v>
      </c>
      <c r="E179" s="11"/>
      <c r="F179" s="11"/>
      <c r="G179" s="11"/>
      <c r="H179" s="11">
        <v>32</v>
      </c>
      <c r="I179" s="11">
        <v>31</v>
      </c>
      <c r="J179" s="11">
        <v>26</v>
      </c>
      <c r="K179" s="11">
        <v>0</v>
      </c>
      <c r="L179" s="11">
        <v>1</v>
      </c>
      <c r="M179" s="11">
        <v>3</v>
      </c>
      <c r="N179" s="11" t="s">
        <v>187</v>
      </c>
      <c r="O179" s="11" t="s">
        <v>187</v>
      </c>
      <c r="P179" s="11" t="s">
        <v>187</v>
      </c>
      <c r="Q179" s="11" t="s">
        <v>187</v>
      </c>
      <c r="R179" s="11" t="s">
        <v>187</v>
      </c>
      <c r="S179" s="11" t="s">
        <v>187</v>
      </c>
    </row>
    <row r="180" spans="1:19" x14ac:dyDescent="0.3">
      <c r="A180" s="11" t="s">
        <v>531</v>
      </c>
      <c r="B180" s="11">
        <v>10703</v>
      </c>
      <c r="C180" s="11">
        <v>2</v>
      </c>
      <c r="D180" s="11" t="s">
        <v>378</v>
      </c>
      <c r="E180" s="11"/>
      <c r="F180" s="11"/>
      <c r="G180" s="11"/>
      <c r="H180" s="11">
        <v>77</v>
      </c>
      <c r="I180" s="11">
        <v>65</v>
      </c>
      <c r="J180" s="11">
        <v>76</v>
      </c>
      <c r="K180" s="11">
        <v>0</v>
      </c>
      <c r="L180" s="11">
        <v>5</v>
      </c>
      <c r="M180" s="11">
        <v>0</v>
      </c>
      <c r="N180" s="11" t="s">
        <v>192</v>
      </c>
      <c r="O180" s="11" t="s">
        <v>192</v>
      </c>
      <c r="P180" s="11" t="s">
        <v>192</v>
      </c>
      <c r="Q180" s="11" t="s">
        <v>192</v>
      </c>
      <c r="R180" s="11" t="s">
        <v>192</v>
      </c>
      <c r="S180" s="11" t="s">
        <v>192</v>
      </c>
    </row>
    <row r="181" spans="1:19" x14ac:dyDescent="0.3">
      <c r="A181" s="11" t="s">
        <v>531</v>
      </c>
      <c r="B181" s="11">
        <v>10704</v>
      </c>
      <c r="C181" s="11">
        <v>2</v>
      </c>
      <c r="D181" s="11" t="s">
        <v>379</v>
      </c>
      <c r="E181" s="11"/>
      <c r="F181" s="11"/>
      <c r="G181" s="11"/>
      <c r="H181" s="11">
        <v>81</v>
      </c>
      <c r="I181" s="11">
        <v>86</v>
      </c>
      <c r="J181" s="11">
        <v>76</v>
      </c>
      <c r="K181" s="11">
        <v>0</v>
      </c>
      <c r="L181" s="11">
        <v>1</v>
      </c>
      <c r="M181" s="11">
        <v>0</v>
      </c>
      <c r="N181" s="11" t="s">
        <v>187</v>
      </c>
      <c r="O181" s="11" t="s">
        <v>187</v>
      </c>
      <c r="P181" s="11" t="s">
        <v>187</v>
      </c>
      <c r="Q181" s="11" t="s">
        <v>187</v>
      </c>
      <c r="R181" s="11" t="s">
        <v>187</v>
      </c>
      <c r="S181" s="11" t="s">
        <v>187</v>
      </c>
    </row>
    <row r="182" spans="1:19" x14ac:dyDescent="0.3">
      <c r="A182" s="11" t="s">
        <v>531</v>
      </c>
      <c r="B182" s="11">
        <v>10705</v>
      </c>
      <c r="C182" s="11">
        <v>2</v>
      </c>
      <c r="D182" s="11" t="s">
        <v>380</v>
      </c>
      <c r="E182" s="11"/>
      <c r="F182" s="11"/>
      <c r="G182" s="11"/>
      <c r="H182" s="11">
        <v>23</v>
      </c>
      <c r="I182" s="11">
        <v>23</v>
      </c>
      <c r="J182" s="11">
        <v>45</v>
      </c>
      <c r="K182" s="11">
        <v>0</v>
      </c>
      <c r="L182" s="11">
        <v>3</v>
      </c>
      <c r="M182" s="11">
        <v>3</v>
      </c>
      <c r="N182" s="11" t="s">
        <v>187</v>
      </c>
      <c r="O182" s="11" t="s">
        <v>191</v>
      </c>
      <c r="P182" s="11" t="s">
        <v>191</v>
      </c>
      <c r="Q182" s="11" t="s">
        <v>191</v>
      </c>
      <c r="R182" s="11" t="s">
        <v>187</v>
      </c>
      <c r="S182" s="11" t="s">
        <v>192</v>
      </c>
    </row>
    <row r="183" spans="1:19" x14ac:dyDescent="0.3">
      <c r="A183" s="11" t="s">
        <v>531</v>
      </c>
      <c r="B183" s="11">
        <v>10706</v>
      </c>
      <c r="C183" s="11">
        <v>2</v>
      </c>
      <c r="D183" s="11" t="s">
        <v>381</v>
      </c>
      <c r="E183" s="11"/>
      <c r="F183" s="11"/>
      <c r="G183" s="11"/>
      <c r="H183" s="11">
        <v>32</v>
      </c>
      <c r="I183" s="11">
        <v>31</v>
      </c>
      <c r="J183" s="11">
        <v>26</v>
      </c>
      <c r="K183" s="11">
        <v>0</v>
      </c>
      <c r="L183" s="11">
        <v>1</v>
      </c>
      <c r="M183" s="11">
        <v>3</v>
      </c>
      <c r="N183" s="11" t="s">
        <v>187</v>
      </c>
      <c r="O183" s="11" t="s">
        <v>187</v>
      </c>
      <c r="P183" s="11" t="s">
        <v>187</v>
      </c>
      <c r="Q183" s="11" t="s">
        <v>187</v>
      </c>
      <c r="R183" s="11" t="s">
        <v>187</v>
      </c>
      <c r="S183" s="11" t="s">
        <v>187</v>
      </c>
    </row>
    <row r="184" spans="1:19" x14ac:dyDescent="0.3">
      <c r="A184" s="11" t="s">
        <v>531</v>
      </c>
      <c r="B184" s="11">
        <v>10707</v>
      </c>
      <c r="C184" s="11">
        <v>2</v>
      </c>
      <c r="D184" s="11" t="s">
        <v>382</v>
      </c>
      <c r="E184" s="11"/>
      <c r="F184" s="11"/>
      <c r="G184" s="11"/>
      <c r="H184" s="11">
        <v>77</v>
      </c>
      <c r="I184" s="11">
        <v>65</v>
      </c>
      <c r="J184" s="11">
        <v>76</v>
      </c>
      <c r="K184" s="11">
        <v>0</v>
      </c>
      <c r="L184" s="11">
        <v>5</v>
      </c>
      <c r="M184" s="11">
        <v>0</v>
      </c>
      <c r="N184" s="11" t="s">
        <v>192</v>
      </c>
      <c r="O184" s="11" t="s">
        <v>192</v>
      </c>
      <c r="P184" s="11" t="s">
        <v>192</v>
      </c>
      <c r="Q184" s="11" t="s">
        <v>192</v>
      </c>
      <c r="R184" s="11" t="s">
        <v>192</v>
      </c>
      <c r="S184" s="11" t="s">
        <v>192</v>
      </c>
    </row>
    <row r="185" spans="1:19" x14ac:dyDescent="0.3">
      <c r="A185" s="11" t="s">
        <v>531</v>
      </c>
      <c r="B185" s="11">
        <v>10708</v>
      </c>
      <c r="C185" s="11">
        <v>2</v>
      </c>
      <c r="D185" s="11" t="s">
        <v>383</v>
      </c>
      <c r="E185" s="11"/>
      <c r="F185" s="11"/>
      <c r="G185" s="11"/>
      <c r="H185" s="11">
        <v>81</v>
      </c>
      <c r="I185" s="11">
        <v>86</v>
      </c>
      <c r="J185" s="11">
        <v>76</v>
      </c>
      <c r="K185" s="11">
        <v>0</v>
      </c>
      <c r="L185" s="11">
        <v>1</v>
      </c>
      <c r="M185" s="11">
        <v>0</v>
      </c>
      <c r="N185" s="11" t="s">
        <v>187</v>
      </c>
      <c r="O185" s="11" t="s">
        <v>187</v>
      </c>
      <c r="P185" s="11" t="s">
        <v>187</v>
      </c>
      <c r="Q185" s="11" t="s">
        <v>187</v>
      </c>
      <c r="R185" s="11" t="s">
        <v>187</v>
      </c>
      <c r="S185" s="11" t="s">
        <v>187</v>
      </c>
    </row>
    <row r="186" spans="1:19" x14ac:dyDescent="0.3">
      <c r="A186" s="11" t="s">
        <v>531</v>
      </c>
      <c r="B186" s="11">
        <v>10709</v>
      </c>
      <c r="C186" s="11">
        <v>2</v>
      </c>
      <c r="D186" s="11" t="s">
        <v>384</v>
      </c>
      <c r="E186" s="11"/>
      <c r="F186" s="11"/>
      <c r="G186" s="11"/>
      <c r="H186" s="11">
        <v>23</v>
      </c>
      <c r="I186" s="11">
        <v>23</v>
      </c>
      <c r="J186" s="11">
        <v>45</v>
      </c>
      <c r="K186" s="11">
        <v>0</v>
      </c>
      <c r="L186" s="11">
        <v>3</v>
      </c>
      <c r="M186" s="11">
        <v>3</v>
      </c>
      <c r="N186" s="11" t="s">
        <v>187</v>
      </c>
      <c r="O186" s="11" t="s">
        <v>191</v>
      </c>
      <c r="P186" s="11" t="s">
        <v>191</v>
      </c>
      <c r="Q186" s="11" t="s">
        <v>191</v>
      </c>
      <c r="R186" s="11" t="s">
        <v>187</v>
      </c>
      <c r="S186" s="11" t="s">
        <v>192</v>
      </c>
    </row>
    <row r="187" spans="1:19" x14ac:dyDescent="0.3">
      <c r="A187" s="11" t="s">
        <v>531</v>
      </c>
      <c r="B187" s="11">
        <v>10710</v>
      </c>
      <c r="C187" s="11">
        <v>2</v>
      </c>
      <c r="D187" s="11" t="s">
        <v>385</v>
      </c>
      <c r="E187" s="11"/>
      <c r="F187" s="11"/>
      <c r="G187" s="11"/>
      <c r="H187" s="11">
        <v>32</v>
      </c>
      <c r="I187" s="11">
        <v>31</v>
      </c>
      <c r="J187" s="11">
        <v>26</v>
      </c>
      <c r="K187" s="11">
        <v>0</v>
      </c>
      <c r="L187" s="11">
        <v>1</v>
      </c>
      <c r="M187" s="11">
        <v>3</v>
      </c>
      <c r="N187" s="11" t="s">
        <v>187</v>
      </c>
      <c r="O187" s="11" t="s">
        <v>187</v>
      </c>
      <c r="P187" s="11" t="s">
        <v>187</v>
      </c>
      <c r="Q187" s="11" t="s">
        <v>187</v>
      </c>
      <c r="R187" s="11" t="s">
        <v>187</v>
      </c>
      <c r="S187" s="11" t="s">
        <v>187</v>
      </c>
    </row>
    <row r="188" spans="1:19" x14ac:dyDescent="0.3">
      <c r="A188" s="11" t="s">
        <v>531</v>
      </c>
      <c r="B188" s="11">
        <v>10711</v>
      </c>
      <c r="C188" s="11">
        <v>2</v>
      </c>
      <c r="D188" s="11" t="s">
        <v>386</v>
      </c>
      <c r="E188" s="11"/>
      <c r="F188" s="11"/>
      <c r="G188" s="11"/>
      <c r="H188" s="11">
        <v>77</v>
      </c>
      <c r="I188" s="11">
        <v>65</v>
      </c>
      <c r="J188" s="11">
        <v>76</v>
      </c>
      <c r="K188" s="11">
        <v>0</v>
      </c>
      <c r="L188" s="11">
        <v>5</v>
      </c>
      <c r="M188" s="11">
        <v>0</v>
      </c>
      <c r="N188" s="11" t="s">
        <v>192</v>
      </c>
      <c r="O188" s="11" t="s">
        <v>192</v>
      </c>
      <c r="P188" s="11" t="s">
        <v>192</v>
      </c>
      <c r="Q188" s="11" t="s">
        <v>192</v>
      </c>
      <c r="R188" s="11" t="s">
        <v>192</v>
      </c>
      <c r="S188" s="11" t="s">
        <v>192</v>
      </c>
    </row>
    <row r="189" spans="1:19" x14ac:dyDescent="0.3">
      <c r="A189" s="11" t="s">
        <v>531</v>
      </c>
      <c r="B189" s="11">
        <v>10712</v>
      </c>
      <c r="C189" s="11">
        <v>2</v>
      </c>
      <c r="D189" s="11" t="s">
        <v>387</v>
      </c>
      <c r="E189" s="11"/>
      <c r="F189" s="11"/>
      <c r="G189" s="11"/>
      <c r="H189" s="11">
        <v>81</v>
      </c>
      <c r="I189" s="11">
        <v>86</v>
      </c>
      <c r="J189" s="11">
        <v>76</v>
      </c>
      <c r="K189" s="11">
        <v>0</v>
      </c>
      <c r="L189" s="11">
        <v>1</v>
      </c>
      <c r="M189" s="11">
        <v>0</v>
      </c>
      <c r="N189" s="11" t="s">
        <v>187</v>
      </c>
      <c r="O189" s="11" t="s">
        <v>187</v>
      </c>
      <c r="P189" s="11" t="s">
        <v>187</v>
      </c>
      <c r="Q189" s="11" t="s">
        <v>187</v>
      </c>
      <c r="R189" s="11" t="s">
        <v>187</v>
      </c>
      <c r="S189" s="11" t="s">
        <v>187</v>
      </c>
    </row>
    <row r="190" spans="1:19" x14ac:dyDescent="0.3">
      <c r="A190" s="11" t="s">
        <v>531</v>
      </c>
      <c r="B190" s="11">
        <v>10713</v>
      </c>
      <c r="C190" s="11">
        <v>2</v>
      </c>
      <c r="D190" s="11" t="s">
        <v>388</v>
      </c>
      <c r="E190" s="11"/>
      <c r="F190" s="11"/>
      <c r="G190" s="11"/>
      <c r="H190" s="11">
        <v>23</v>
      </c>
      <c r="I190" s="11">
        <v>23</v>
      </c>
      <c r="J190" s="11">
        <v>45</v>
      </c>
      <c r="K190" s="11">
        <v>0</v>
      </c>
      <c r="L190" s="11">
        <v>3</v>
      </c>
      <c r="M190" s="11">
        <v>3</v>
      </c>
      <c r="N190" s="11" t="s">
        <v>187</v>
      </c>
      <c r="O190" s="11" t="s">
        <v>191</v>
      </c>
      <c r="P190" s="11" t="s">
        <v>191</v>
      </c>
      <c r="Q190" s="11" t="s">
        <v>191</v>
      </c>
      <c r="R190" s="11" t="s">
        <v>187</v>
      </c>
      <c r="S190" s="11" t="s">
        <v>192</v>
      </c>
    </row>
    <row r="191" spans="1:19" x14ac:dyDescent="0.3">
      <c r="A191" s="11" t="s">
        <v>531</v>
      </c>
      <c r="B191" s="11">
        <v>10714</v>
      </c>
      <c r="C191" s="11">
        <v>2</v>
      </c>
      <c r="D191" s="11" t="s">
        <v>389</v>
      </c>
      <c r="E191" s="11"/>
      <c r="F191" s="11"/>
      <c r="G191" s="11"/>
      <c r="H191" s="11">
        <v>32</v>
      </c>
      <c r="I191" s="11">
        <v>31</v>
      </c>
      <c r="J191" s="11">
        <v>26</v>
      </c>
      <c r="K191" s="11">
        <v>0</v>
      </c>
      <c r="L191" s="11">
        <v>1</v>
      </c>
      <c r="M191" s="11">
        <v>3</v>
      </c>
      <c r="N191" s="11" t="s">
        <v>187</v>
      </c>
      <c r="O191" s="11" t="s">
        <v>187</v>
      </c>
      <c r="P191" s="11" t="s">
        <v>187</v>
      </c>
      <c r="Q191" s="11" t="s">
        <v>187</v>
      </c>
      <c r="R191" s="11" t="s">
        <v>187</v>
      </c>
      <c r="S191" s="11" t="s">
        <v>187</v>
      </c>
    </row>
    <row r="192" spans="1:19" x14ac:dyDescent="0.3">
      <c r="A192" s="11" t="s">
        <v>531</v>
      </c>
      <c r="B192" s="11">
        <v>10715</v>
      </c>
      <c r="C192" s="11">
        <v>1</v>
      </c>
      <c r="D192" s="11" t="s">
        <v>390</v>
      </c>
      <c r="E192" s="11"/>
      <c r="F192" s="11"/>
      <c r="G192" s="11"/>
      <c r="H192" s="11">
        <v>77</v>
      </c>
      <c r="I192" s="11">
        <v>65</v>
      </c>
      <c r="J192" s="11">
        <v>76</v>
      </c>
      <c r="K192" s="11">
        <v>0</v>
      </c>
      <c r="L192" s="11">
        <v>5</v>
      </c>
      <c r="M192" s="11">
        <v>0</v>
      </c>
      <c r="N192" s="11" t="s">
        <v>192</v>
      </c>
      <c r="O192" s="11" t="s">
        <v>192</v>
      </c>
      <c r="P192" s="11" t="s">
        <v>192</v>
      </c>
      <c r="Q192" s="11" t="s">
        <v>192</v>
      </c>
      <c r="R192" s="11" t="s">
        <v>192</v>
      </c>
      <c r="S192" s="11" t="s">
        <v>192</v>
      </c>
    </row>
    <row r="193" spans="1:19" x14ac:dyDescent="0.3">
      <c r="A193" s="11" t="s">
        <v>531</v>
      </c>
      <c r="B193" s="11">
        <v>10716</v>
      </c>
      <c r="C193" s="11">
        <v>1</v>
      </c>
      <c r="D193" s="11" t="s">
        <v>391</v>
      </c>
      <c r="E193" s="11"/>
      <c r="F193" s="11"/>
      <c r="G193" s="11"/>
      <c r="H193" s="11">
        <v>81</v>
      </c>
      <c r="I193" s="11">
        <v>86</v>
      </c>
      <c r="J193" s="11">
        <v>76</v>
      </c>
      <c r="K193" s="11">
        <v>0</v>
      </c>
      <c r="L193" s="11">
        <v>1</v>
      </c>
      <c r="M193" s="11">
        <v>0</v>
      </c>
      <c r="N193" s="11" t="s">
        <v>187</v>
      </c>
      <c r="O193" s="11" t="s">
        <v>187</v>
      </c>
      <c r="P193" s="11" t="s">
        <v>187</v>
      </c>
      <c r="Q193" s="11" t="s">
        <v>187</v>
      </c>
      <c r="R193" s="11" t="s">
        <v>187</v>
      </c>
      <c r="S193" s="11" t="s">
        <v>187</v>
      </c>
    </row>
    <row r="194" spans="1:19" x14ac:dyDescent="0.3">
      <c r="A194" s="11" t="s">
        <v>531</v>
      </c>
      <c r="B194" s="11">
        <v>10717</v>
      </c>
      <c r="C194" s="11">
        <v>1</v>
      </c>
      <c r="D194" s="11" t="s">
        <v>392</v>
      </c>
      <c r="E194" s="11"/>
      <c r="F194" s="11"/>
      <c r="G194" s="11"/>
      <c r="H194" s="11">
        <v>23</v>
      </c>
      <c r="I194" s="11">
        <v>23</v>
      </c>
      <c r="J194" s="11">
        <v>45</v>
      </c>
      <c r="K194" s="11">
        <v>0</v>
      </c>
      <c r="L194" s="11">
        <v>3</v>
      </c>
      <c r="M194" s="11">
        <v>3</v>
      </c>
      <c r="N194" s="11" t="s">
        <v>187</v>
      </c>
      <c r="O194" s="11" t="s">
        <v>191</v>
      </c>
      <c r="P194" s="11" t="s">
        <v>191</v>
      </c>
      <c r="Q194" s="11" t="s">
        <v>191</v>
      </c>
      <c r="R194" s="11" t="s">
        <v>187</v>
      </c>
      <c r="S194" s="11" t="s">
        <v>192</v>
      </c>
    </row>
    <row r="195" spans="1:19" x14ac:dyDescent="0.3">
      <c r="A195" s="11" t="s">
        <v>531</v>
      </c>
      <c r="B195" s="11">
        <v>10718</v>
      </c>
      <c r="C195" s="11">
        <v>1</v>
      </c>
      <c r="D195" s="11" t="s">
        <v>393</v>
      </c>
      <c r="E195" s="11"/>
      <c r="F195" s="11"/>
      <c r="G195" s="11"/>
      <c r="H195" s="11">
        <v>32</v>
      </c>
      <c r="I195" s="11">
        <v>31</v>
      </c>
      <c r="J195" s="11">
        <v>26</v>
      </c>
      <c r="K195" s="11">
        <v>0</v>
      </c>
      <c r="L195" s="11">
        <v>1</v>
      </c>
      <c r="M195" s="11">
        <v>3</v>
      </c>
      <c r="N195" s="11" t="s">
        <v>187</v>
      </c>
      <c r="O195" s="11" t="s">
        <v>187</v>
      </c>
      <c r="P195" s="11" t="s">
        <v>187</v>
      </c>
      <c r="Q195" s="11" t="s">
        <v>187</v>
      </c>
      <c r="R195" s="11" t="s">
        <v>187</v>
      </c>
      <c r="S195" s="11" t="s">
        <v>187</v>
      </c>
    </row>
    <row r="196" spans="1:19" x14ac:dyDescent="0.3">
      <c r="A196" s="11" t="s">
        <v>531</v>
      </c>
      <c r="B196" s="11">
        <v>10719</v>
      </c>
      <c r="C196" s="11">
        <v>1</v>
      </c>
      <c r="D196" s="11" t="s">
        <v>394</v>
      </c>
      <c r="E196" s="11"/>
      <c r="F196" s="11"/>
      <c r="G196" s="11"/>
      <c r="H196" s="11">
        <v>77</v>
      </c>
      <c r="I196" s="11">
        <v>65</v>
      </c>
      <c r="J196" s="11">
        <v>76</v>
      </c>
      <c r="K196" s="11">
        <v>0</v>
      </c>
      <c r="L196" s="11">
        <v>5</v>
      </c>
      <c r="M196" s="11">
        <v>0</v>
      </c>
      <c r="N196" s="11" t="s">
        <v>192</v>
      </c>
      <c r="O196" s="11" t="s">
        <v>192</v>
      </c>
      <c r="P196" s="11" t="s">
        <v>192</v>
      </c>
      <c r="Q196" s="11" t="s">
        <v>192</v>
      </c>
      <c r="R196" s="11" t="s">
        <v>192</v>
      </c>
      <c r="S196" s="11" t="s">
        <v>192</v>
      </c>
    </row>
    <row r="197" spans="1:19" x14ac:dyDescent="0.3">
      <c r="A197" s="11" t="s">
        <v>531</v>
      </c>
      <c r="B197" s="11">
        <v>10720</v>
      </c>
      <c r="C197" s="11">
        <v>1</v>
      </c>
      <c r="D197" s="11" t="s">
        <v>395</v>
      </c>
      <c r="E197" s="11"/>
      <c r="F197" s="11"/>
      <c r="G197" s="11"/>
      <c r="H197" s="11">
        <v>81</v>
      </c>
      <c r="I197" s="11">
        <v>86</v>
      </c>
      <c r="J197" s="11">
        <v>76</v>
      </c>
      <c r="K197" s="11">
        <v>0</v>
      </c>
      <c r="L197" s="11">
        <v>1</v>
      </c>
      <c r="M197" s="11">
        <v>0</v>
      </c>
      <c r="N197" s="11" t="s">
        <v>187</v>
      </c>
      <c r="O197" s="11" t="s">
        <v>187</v>
      </c>
      <c r="P197" s="11" t="s">
        <v>187</v>
      </c>
      <c r="Q197" s="11" t="s">
        <v>187</v>
      </c>
      <c r="R197" s="11" t="s">
        <v>187</v>
      </c>
      <c r="S197" s="11" t="s">
        <v>187</v>
      </c>
    </row>
    <row r="198" spans="1:19" x14ac:dyDescent="0.3">
      <c r="A198" s="11" t="s">
        <v>531</v>
      </c>
      <c r="B198" s="11">
        <v>10721</v>
      </c>
      <c r="C198" s="11">
        <v>1</v>
      </c>
      <c r="D198" s="11" t="s">
        <v>396</v>
      </c>
      <c r="E198" s="11"/>
      <c r="F198" s="11"/>
      <c r="G198" s="11"/>
      <c r="H198" s="11">
        <v>23</v>
      </c>
      <c r="I198" s="11">
        <v>23</v>
      </c>
      <c r="J198" s="11">
        <v>45</v>
      </c>
      <c r="K198" s="11">
        <v>0</v>
      </c>
      <c r="L198" s="11">
        <v>3</v>
      </c>
      <c r="M198" s="11">
        <v>3</v>
      </c>
      <c r="N198" s="11" t="s">
        <v>187</v>
      </c>
      <c r="O198" s="11" t="s">
        <v>191</v>
      </c>
      <c r="P198" s="11" t="s">
        <v>191</v>
      </c>
      <c r="Q198" s="11" t="s">
        <v>191</v>
      </c>
      <c r="R198" s="11" t="s">
        <v>187</v>
      </c>
      <c r="S198" s="11" t="s">
        <v>192</v>
      </c>
    </row>
    <row r="199" spans="1:19" x14ac:dyDescent="0.3">
      <c r="A199" s="11" t="s">
        <v>531</v>
      </c>
      <c r="B199" s="11">
        <v>10722</v>
      </c>
      <c r="C199" s="11">
        <v>1</v>
      </c>
      <c r="D199" s="11" t="s">
        <v>397</v>
      </c>
      <c r="E199" s="11"/>
      <c r="F199" s="11"/>
      <c r="G199" s="11"/>
      <c r="H199" s="11">
        <v>32</v>
      </c>
      <c r="I199" s="11">
        <v>31</v>
      </c>
      <c r="J199" s="11">
        <v>26</v>
      </c>
      <c r="K199" s="11">
        <v>0</v>
      </c>
      <c r="L199" s="11">
        <v>1</v>
      </c>
      <c r="M199" s="11">
        <v>3</v>
      </c>
      <c r="N199" s="11" t="s">
        <v>187</v>
      </c>
      <c r="O199" s="11" t="s">
        <v>187</v>
      </c>
      <c r="P199" s="11" t="s">
        <v>187</v>
      </c>
      <c r="Q199" s="11" t="s">
        <v>187</v>
      </c>
      <c r="R199" s="11" t="s">
        <v>187</v>
      </c>
      <c r="S199" s="11" t="s">
        <v>187</v>
      </c>
    </row>
    <row r="200" spans="1:19" x14ac:dyDescent="0.3">
      <c r="A200" s="11" t="s">
        <v>531</v>
      </c>
      <c r="B200" s="11">
        <v>10723</v>
      </c>
      <c r="C200" s="11">
        <v>1</v>
      </c>
      <c r="D200" s="11" t="s">
        <v>398</v>
      </c>
      <c r="E200" s="11"/>
      <c r="F200" s="11"/>
      <c r="G200" s="11"/>
      <c r="H200" s="11">
        <v>77</v>
      </c>
      <c r="I200" s="11">
        <v>65</v>
      </c>
      <c r="J200" s="11">
        <v>76</v>
      </c>
      <c r="K200" s="11">
        <v>0</v>
      </c>
      <c r="L200" s="11">
        <v>5</v>
      </c>
      <c r="M200" s="11">
        <v>0</v>
      </c>
      <c r="N200" s="11" t="s">
        <v>192</v>
      </c>
      <c r="O200" s="11" t="s">
        <v>192</v>
      </c>
      <c r="P200" s="11" t="s">
        <v>192</v>
      </c>
      <c r="Q200" s="11" t="s">
        <v>192</v>
      </c>
      <c r="R200" s="11" t="s">
        <v>192</v>
      </c>
      <c r="S200" s="11" t="s">
        <v>192</v>
      </c>
    </row>
    <row r="201" spans="1:19" x14ac:dyDescent="0.3">
      <c r="A201" s="11" t="s">
        <v>531</v>
      </c>
      <c r="B201" s="11">
        <v>10724</v>
      </c>
      <c r="C201" s="11">
        <v>1</v>
      </c>
      <c r="D201" s="11" t="s">
        <v>399</v>
      </c>
      <c r="E201" s="11"/>
      <c r="F201" s="11"/>
      <c r="G201" s="11"/>
      <c r="H201" s="11">
        <v>81</v>
      </c>
      <c r="I201" s="11">
        <v>86</v>
      </c>
      <c r="J201" s="11">
        <v>76</v>
      </c>
      <c r="K201" s="11">
        <v>0</v>
      </c>
      <c r="L201" s="11">
        <v>1</v>
      </c>
      <c r="M201" s="11">
        <v>0</v>
      </c>
      <c r="N201" s="11" t="s">
        <v>187</v>
      </c>
      <c r="O201" s="11" t="s">
        <v>187</v>
      </c>
      <c r="P201" s="11" t="s">
        <v>187</v>
      </c>
      <c r="Q201" s="11" t="s">
        <v>187</v>
      </c>
      <c r="R201" s="11" t="s">
        <v>187</v>
      </c>
      <c r="S201" s="11" t="s">
        <v>187</v>
      </c>
    </row>
    <row r="202" spans="1:19" x14ac:dyDescent="0.3">
      <c r="A202" s="11" t="s">
        <v>531</v>
      </c>
      <c r="B202" s="11">
        <v>10725</v>
      </c>
      <c r="C202" s="11">
        <v>1</v>
      </c>
      <c r="D202" s="11" t="s">
        <v>400</v>
      </c>
      <c r="E202" s="11"/>
      <c r="F202" s="11"/>
      <c r="G202" s="11"/>
      <c r="H202" s="11">
        <v>23</v>
      </c>
      <c r="I202" s="11">
        <v>23</v>
      </c>
      <c r="J202" s="11">
        <v>45</v>
      </c>
      <c r="K202" s="11">
        <v>0</v>
      </c>
      <c r="L202" s="11">
        <v>3</v>
      </c>
      <c r="M202" s="11">
        <v>3</v>
      </c>
      <c r="N202" s="11" t="s">
        <v>187</v>
      </c>
      <c r="O202" s="11" t="s">
        <v>191</v>
      </c>
      <c r="P202" s="11" t="s">
        <v>191</v>
      </c>
      <c r="Q202" s="11" t="s">
        <v>191</v>
      </c>
      <c r="R202" s="11" t="s">
        <v>187</v>
      </c>
      <c r="S202" s="11" t="s">
        <v>192</v>
      </c>
    </row>
    <row r="203" spans="1:19" x14ac:dyDescent="0.3">
      <c r="A203" s="11" t="s">
        <v>531</v>
      </c>
      <c r="B203" s="11">
        <v>10726</v>
      </c>
      <c r="C203" s="11">
        <v>1</v>
      </c>
      <c r="D203" s="11" t="s">
        <v>401</v>
      </c>
      <c r="E203" s="11"/>
      <c r="F203" s="11"/>
      <c r="G203" s="11"/>
      <c r="H203" s="11">
        <v>32</v>
      </c>
      <c r="I203" s="11">
        <v>31</v>
      </c>
      <c r="J203" s="11">
        <v>26</v>
      </c>
      <c r="K203" s="11">
        <v>0</v>
      </c>
      <c r="L203" s="11">
        <v>1</v>
      </c>
      <c r="M203" s="11">
        <v>3</v>
      </c>
      <c r="N203" s="11" t="s">
        <v>187</v>
      </c>
      <c r="O203" s="11" t="s">
        <v>187</v>
      </c>
      <c r="P203" s="11" t="s">
        <v>187</v>
      </c>
      <c r="Q203" s="11" t="s">
        <v>187</v>
      </c>
      <c r="R203" s="11" t="s">
        <v>187</v>
      </c>
      <c r="S203" s="11" t="s">
        <v>187</v>
      </c>
    </row>
    <row r="204" spans="1:19" x14ac:dyDescent="0.3">
      <c r="A204" s="11" t="s">
        <v>531</v>
      </c>
      <c r="B204" s="11">
        <v>10727</v>
      </c>
      <c r="C204" s="11">
        <v>1</v>
      </c>
      <c r="D204" s="11" t="s">
        <v>402</v>
      </c>
      <c r="E204" s="11"/>
      <c r="F204" s="11"/>
      <c r="G204" s="11"/>
      <c r="H204" s="11">
        <v>77</v>
      </c>
      <c r="I204" s="11">
        <v>65</v>
      </c>
      <c r="J204" s="11">
        <v>76</v>
      </c>
      <c r="K204" s="11">
        <v>0</v>
      </c>
      <c r="L204" s="11">
        <v>5</v>
      </c>
      <c r="M204" s="11">
        <v>0</v>
      </c>
      <c r="N204" s="11" t="s">
        <v>192</v>
      </c>
      <c r="O204" s="11" t="s">
        <v>192</v>
      </c>
      <c r="P204" s="11" t="s">
        <v>192</v>
      </c>
      <c r="Q204" s="11" t="s">
        <v>192</v>
      </c>
      <c r="R204" s="11" t="s">
        <v>192</v>
      </c>
      <c r="S204" s="11" t="s">
        <v>192</v>
      </c>
    </row>
    <row r="205" spans="1:19" x14ac:dyDescent="0.3">
      <c r="A205" s="11" t="s">
        <v>531</v>
      </c>
      <c r="B205" s="11">
        <v>10728</v>
      </c>
      <c r="C205" s="11">
        <v>1</v>
      </c>
      <c r="D205" s="11" t="s">
        <v>403</v>
      </c>
      <c r="E205" s="11"/>
      <c r="F205" s="11"/>
      <c r="G205" s="11"/>
      <c r="H205" s="11">
        <v>81</v>
      </c>
      <c r="I205" s="11">
        <v>86</v>
      </c>
      <c r="J205" s="11">
        <v>76</v>
      </c>
      <c r="K205" s="11">
        <v>0</v>
      </c>
      <c r="L205" s="11">
        <v>1</v>
      </c>
      <c r="M205" s="11">
        <v>0</v>
      </c>
      <c r="N205" s="11" t="s">
        <v>187</v>
      </c>
      <c r="O205" s="11" t="s">
        <v>187</v>
      </c>
      <c r="P205" s="11" t="s">
        <v>187</v>
      </c>
      <c r="Q205" s="11" t="s">
        <v>187</v>
      </c>
      <c r="R205" s="11" t="s">
        <v>187</v>
      </c>
      <c r="S205" s="11" t="s">
        <v>187</v>
      </c>
    </row>
    <row r="206" spans="1:19" x14ac:dyDescent="0.3">
      <c r="A206" s="11" t="s">
        <v>531</v>
      </c>
      <c r="B206" s="11">
        <v>10729</v>
      </c>
      <c r="C206" s="11">
        <v>1</v>
      </c>
      <c r="D206" s="11" t="s">
        <v>404</v>
      </c>
      <c r="E206" s="11"/>
      <c r="F206" s="11"/>
      <c r="G206" s="11"/>
      <c r="H206" s="11">
        <v>23</v>
      </c>
      <c r="I206" s="11">
        <v>23</v>
      </c>
      <c r="J206" s="11">
        <v>45</v>
      </c>
      <c r="K206" s="11">
        <v>0</v>
      </c>
      <c r="L206" s="11">
        <v>3</v>
      </c>
      <c r="M206" s="11">
        <v>3</v>
      </c>
      <c r="N206" s="11" t="s">
        <v>187</v>
      </c>
      <c r="O206" s="11" t="s">
        <v>191</v>
      </c>
      <c r="P206" s="11" t="s">
        <v>191</v>
      </c>
      <c r="Q206" s="11" t="s">
        <v>191</v>
      </c>
      <c r="R206" s="11" t="s">
        <v>187</v>
      </c>
      <c r="S206" s="11" t="s">
        <v>192</v>
      </c>
    </row>
    <row r="207" spans="1:19" x14ac:dyDescent="0.3">
      <c r="A207" s="11" t="s">
        <v>531</v>
      </c>
      <c r="B207" s="11">
        <v>10730</v>
      </c>
      <c r="C207" s="11">
        <v>1</v>
      </c>
      <c r="D207" s="11" t="s">
        <v>405</v>
      </c>
      <c r="E207" s="11"/>
      <c r="F207" s="11"/>
      <c r="G207" s="11"/>
      <c r="H207" s="11">
        <v>32</v>
      </c>
      <c r="I207" s="11">
        <v>31</v>
      </c>
      <c r="J207" s="11">
        <v>26</v>
      </c>
      <c r="K207" s="11">
        <v>0</v>
      </c>
      <c r="L207" s="11">
        <v>1</v>
      </c>
      <c r="M207" s="11">
        <v>3</v>
      </c>
      <c r="N207" s="11" t="s">
        <v>187</v>
      </c>
      <c r="O207" s="11" t="s">
        <v>187</v>
      </c>
      <c r="P207" s="11" t="s">
        <v>187</v>
      </c>
      <c r="Q207" s="11" t="s">
        <v>187</v>
      </c>
      <c r="R207" s="11" t="s">
        <v>187</v>
      </c>
      <c r="S207" s="11" t="s">
        <v>187</v>
      </c>
    </row>
    <row r="208" spans="1:19" x14ac:dyDescent="0.3">
      <c r="A208" s="11" t="s">
        <v>531</v>
      </c>
      <c r="B208" s="11">
        <v>10801</v>
      </c>
      <c r="C208" s="11">
        <v>2</v>
      </c>
      <c r="D208" s="11" t="s">
        <v>406</v>
      </c>
      <c r="E208" s="11"/>
      <c r="F208" s="11"/>
      <c r="G208" s="11"/>
      <c r="H208" s="11">
        <v>77</v>
      </c>
      <c r="I208" s="11">
        <v>65</v>
      </c>
      <c r="J208" s="11">
        <v>76</v>
      </c>
      <c r="K208" s="11">
        <v>0</v>
      </c>
      <c r="L208" s="11">
        <v>5</v>
      </c>
      <c r="M208" s="11">
        <v>0</v>
      </c>
      <c r="N208" s="11" t="s">
        <v>192</v>
      </c>
      <c r="O208" s="11" t="s">
        <v>192</v>
      </c>
      <c r="P208" s="11" t="s">
        <v>192</v>
      </c>
      <c r="Q208" s="11" t="s">
        <v>192</v>
      </c>
      <c r="R208" s="11" t="s">
        <v>192</v>
      </c>
      <c r="S208" s="11" t="s">
        <v>192</v>
      </c>
    </row>
    <row r="209" spans="1:19" x14ac:dyDescent="0.3">
      <c r="A209" s="11" t="s">
        <v>531</v>
      </c>
      <c r="B209" s="11">
        <v>10802</v>
      </c>
      <c r="C209" s="11">
        <v>2</v>
      </c>
      <c r="D209" s="11" t="s">
        <v>407</v>
      </c>
      <c r="E209" s="11"/>
      <c r="F209" s="11"/>
      <c r="G209" s="11"/>
      <c r="H209" s="11">
        <v>81</v>
      </c>
      <c r="I209" s="11">
        <v>86</v>
      </c>
      <c r="J209" s="11">
        <v>76</v>
      </c>
      <c r="K209" s="11">
        <v>0</v>
      </c>
      <c r="L209" s="11">
        <v>1</v>
      </c>
      <c r="M209" s="11">
        <v>0</v>
      </c>
      <c r="N209" s="11" t="s">
        <v>187</v>
      </c>
      <c r="O209" s="11" t="s">
        <v>187</v>
      </c>
      <c r="P209" s="11" t="s">
        <v>187</v>
      </c>
      <c r="Q209" s="11" t="s">
        <v>187</v>
      </c>
      <c r="R209" s="11" t="s">
        <v>187</v>
      </c>
      <c r="S209" s="11" t="s">
        <v>187</v>
      </c>
    </row>
    <row r="210" spans="1:19" x14ac:dyDescent="0.3">
      <c r="A210" s="11" t="s">
        <v>531</v>
      </c>
      <c r="B210" s="11">
        <v>10803</v>
      </c>
      <c r="C210" s="11">
        <v>2</v>
      </c>
      <c r="D210" s="11" t="s">
        <v>408</v>
      </c>
      <c r="E210" s="11"/>
      <c r="F210" s="11"/>
      <c r="G210" s="11"/>
      <c r="H210" s="11">
        <v>23</v>
      </c>
      <c r="I210" s="11">
        <v>23</v>
      </c>
      <c r="J210" s="11">
        <v>45</v>
      </c>
      <c r="K210" s="11">
        <v>0</v>
      </c>
      <c r="L210" s="11">
        <v>3</v>
      </c>
      <c r="M210" s="11">
        <v>3</v>
      </c>
      <c r="N210" s="11" t="s">
        <v>187</v>
      </c>
      <c r="O210" s="11" t="s">
        <v>191</v>
      </c>
      <c r="P210" s="11" t="s">
        <v>191</v>
      </c>
      <c r="Q210" s="11" t="s">
        <v>191</v>
      </c>
      <c r="R210" s="11" t="s">
        <v>187</v>
      </c>
      <c r="S210" s="11" t="s">
        <v>192</v>
      </c>
    </row>
    <row r="211" spans="1:19" x14ac:dyDescent="0.3">
      <c r="A211" s="11" t="s">
        <v>531</v>
      </c>
      <c r="B211" s="11">
        <v>10804</v>
      </c>
      <c r="C211" s="11">
        <v>2</v>
      </c>
      <c r="D211" s="11" t="s">
        <v>409</v>
      </c>
      <c r="E211" s="11"/>
      <c r="F211" s="11"/>
      <c r="G211" s="11"/>
      <c r="H211" s="11">
        <v>32</v>
      </c>
      <c r="I211" s="11">
        <v>31</v>
      </c>
      <c r="J211" s="11">
        <v>26</v>
      </c>
      <c r="K211" s="11">
        <v>0</v>
      </c>
      <c r="L211" s="11">
        <v>1</v>
      </c>
      <c r="M211" s="11">
        <v>3</v>
      </c>
      <c r="N211" s="11" t="s">
        <v>187</v>
      </c>
      <c r="O211" s="11" t="s">
        <v>187</v>
      </c>
      <c r="P211" s="11" t="s">
        <v>187</v>
      </c>
      <c r="Q211" s="11" t="s">
        <v>187</v>
      </c>
      <c r="R211" s="11" t="s">
        <v>187</v>
      </c>
      <c r="S211" s="11" t="s">
        <v>187</v>
      </c>
    </row>
    <row r="212" spans="1:19" x14ac:dyDescent="0.3">
      <c r="A212" s="11" t="s">
        <v>531</v>
      </c>
      <c r="B212" s="11">
        <v>10805</v>
      </c>
      <c r="C212" s="11">
        <v>2</v>
      </c>
      <c r="D212" s="11" t="s">
        <v>410</v>
      </c>
      <c r="E212" s="11"/>
      <c r="F212" s="11"/>
      <c r="G212" s="11"/>
      <c r="H212" s="11">
        <v>77</v>
      </c>
      <c r="I212" s="11">
        <v>65</v>
      </c>
      <c r="J212" s="11">
        <v>76</v>
      </c>
      <c r="K212" s="11">
        <v>0</v>
      </c>
      <c r="L212" s="11">
        <v>5</v>
      </c>
      <c r="M212" s="11">
        <v>0</v>
      </c>
      <c r="N212" s="11" t="s">
        <v>192</v>
      </c>
      <c r="O212" s="11" t="s">
        <v>192</v>
      </c>
      <c r="P212" s="11" t="s">
        <v>192</v>
      </c>
      <c r="Q212" s="11" t="s">
        <v>192</v>
      </c>
      <c r="R212" s="11" t="s">
        <v>192</v>
      </c>
      <c r="S212" s="11" t="s">
        <v>192</v>
      </c>
    </row>
    <row r="213" spans="1:19" x14ac:dyDescent="0.3">
      <c r="A213" s="11" t="s">
        <v>531</v>
      </c>
      <c r="B213" s="11">
        <v>10806</v>
      </c>
      <c r="C213" s="11">
        <v>2</v>
      </c>
      <c r="D213" s="11" t="s">
        <v>411</v>
      </c>
      <c r="E213" s="11"/>
      <c r="F213" s="11"/>
      <c r="G213" s="11"/>
      <c r="H213" s="11">
        <v>81</v>
      </c>
      <c r="I213" s="11">
        <v>86</v>
      </c>
      <c r="J213" s="11">
        <v>76</v>
      </c>
      <c r="K213" s="11">
        <v>0</v>
      </c>
      <c r="L213" s="11">
        <v>1</v>
      </c>
      <c r="M213" s="11">
        <v>0</v>
      </c>
      <c r="N213" s="11" t="s">
        <v>187</v>
      </c>
      <c r="O213" s="11" t="s">
        <v>187</v>
      </c>
      <c r="P213" s="11" t="s">
        <v>187</v>
      </c>
      <c r="Q213" s="11" t="s">
        <v>187</v>
      </c>
      <c r="R213" s="11" t="s">
        <v>187</v>
      </c>
      <c r="S213" s="11" t="s">
        <v>187</v>
      </c>
    </row>
    <row r="214" spans="1:19" x14ac:dyDescent="0.3">
      <c r="A214" s="11" t="s">
        <v>531</v>
      </c>
      <c r="B214" s="11">
        <v>10807</v>
      </c>
      <c r="C214" s="11">
        <v>2</v>
      </c>
      <c r="D214" s="11" t="s">
        <v>412</v>
      </c>
      <c r="E214" s="11"/>
      <c r="F214" s="11"/>
      <c r="G214" s="11"/>
      <c r="H214" s="11">
        <v>23</v>
      </c>
      <c r="I214" s="11">
        <v>23</v>
      </c>
      <c r="J214" s="11">
        <v>45</v>
      </c>
      <c r="K214" s="11">
        <v>0</v>
      </c>
      <c r="L214" s="11">
        <v>3</v>
      </c>
      <c r="M214" s="11">
        <v>3</v>
      </c>
      <c r="N214" s="11" t="s">
        <v>187</v>
      </c>
      <c r="O214" s="11" t="s">
        <v>191</v>
      </c>
      <c r="P214" s="11" t="s">
        <v>191</v>
      </c>
      <c r="Q214" s="11" t="s">
        <v>191</v>
      </c>
      <c r="R214" s="11" t="s">
        <v>187</v>
      </c>
      <c r="S214" s="11" t="s">
        <v>192</v>
      </c>
    </row>
    <row r="215" spans="1:19" x14ac:dyDescent="0.3">
      <c r="A215" s="11" t="s">
        <v>531</v>
      </c>
      <c r="B215" s="11">
        <v>10808</v>
      </c>
      <c r="C215" s="11">
        <v>2</v>
      </c>
      <c r="D215" s="11" t="s">
        <v>413</v>
      </c>
      <c r="E215" s="11"/>
      <c r="F215" s="11"/>
      <c r="G215" s="11"/>
      <c r="H215" s="11">
        <v>32</v>
      </c>
      <c r="I215" s="11">
        <v>31</v>
      </c>
      <c r="J215" s="11">
        <v>26</v>
      </c>
      <c r="K215" s="11">
        <v>0</v>
      </c>
      <c r="L215" s="11">
        <v>1</v>
      </c>
      <c r="M215" s="11">
        <v>3</v>
      </c>
      <c r="N215" s="11" t="s">
        <v>187</v>
      </c>
      <c r="O215" s="11" t="s">
        <v>187</v>
      </c>
      <c r="P215" s="11" t="s">
        <v>187</v>
      </c>
      <c r="Q215" s="11" t="s">
        <v>187</v>
      </c>
      <c r="R215" s="11" t="s">
        <v>187</v>
      </c>
      <c r="S215" s="11" t="s">
        <v>187</v>
      </c>
    </row>
    <row r="216" spans="1:19" x14ac:dyDescent="0.3">
      <c r="A216" s="11" t="s">
        <v>531</v>
      </c>
      <c r="B216" s="11">
        <v>10809</v>
      </c>
      <c r="C216" s="11">
        <v>2</v>
      </c>
      <c r="D216" s="11" t="s">
        <v>414</v>
      </c>
      <c r="E216" s="11"/>
      <c r="F216" s="11"/>
      <c r="G216" s="11"/>
      <c r="H216" s="11">
        <v>77</v>
      </c>
      <c r="I216" s="11">
        <v>65</v>
      </c>
      <c r="J216" s="11">
        <v>76</v>
      </c>
      <c r="K216" s="11">
        <v>0</v>
      </c>
      <c r="L216" s="11">
        <v>5</v>
      </c>
      <c r="M216" s="11">
        <v>0</v>
      </c>
      <c r="N216" s="11" t="s">
        <v>192</v>
      </c>
      <c r="O216" s="11" t="s">
        <v>192</v>
      </c>
      <c r="P216" s="11" t="s">
        <v>192</v>
      </c>
      <c r="Q216" s="11" t="s">
        <v>192</v>
      </c>
      <c r="R216" s="11" t="s">
        <v>192</v>
      </c>
      <c r="S216" s="11" t="s">
        <v>192</v>
      </c>
    </row>
    <row r="217" spans="1:19" x14ac:dyDescent="0.3">
      <c r="A217" s="11" t="s">
        <v>531</v>
      </c>
      <c r="B217" s="11">
        <v>10810</v>
      </c>
      <c r="C217" s="11">
        <v>2</v>
      </c>
      <c r="D217" s="11" t="s">
        <v>415</v>
      </c>
      <c r="E217" s="11"/>
      <c r="F217" s="11"/>
      <c r="G217" s="11"/>
      <c r="H217" s="11">
        <v>81</v>
      </c>
      <c r="I217" s="11">
        <v>86</v>
      </c>
      <c r="J217" s="11">
        <v>76</v>
      </c>
      <c r="K217" s="11">
        <v>0</v>
      </c>
      <c r="L217" s="11">
        <v>1</v>
      </c>
      <c r="M217" s="11">
        <v>0</v>
      </c>
      <c r="N217" s="11" t="s">
        <v>187</v>
      </c>
      <c r="O217" s="11" t="s">
        <v>187</v>
      </c>
      <c r="P217" s="11" t="s">
        <v>187</v>
      </c>
      <c r="Q217" s="11" t="s">
        <v>187</v>
      </c>
      <c r="R217" s="11" t="s">
        <v>187</v>
      </c>
      <c r="S217" s="11" t="s">
        <v>187</v>
      </c>
    </row>
    <row r="218" spans="1:19" x14ac:dyDescent="0.3">
      <c r="A218" s="11" t="s">
        <v>531</v>
      </c>
      <c r="B218" s="11">
        <v>10811</v>
      </c>
      <c r="C218" s="11">
        <v>2</v>
      </c>
      <c r="D218" s="11" t="s">
        <v>416</v>
      </c>
      <c r="E218" s="11"/>
      <c r="F218" s="11"/>
      <c r="G218" s="11"/>
      <c r="H218" s="11">
        <v>23</v>
      </c>
      <c r="I218" s="11">
        <v>23</v>
      </c>
      <c r="J218" s="11">
        <v>45</v>
      </c>
      <c r="K218" s="11">
        <v>0</v>
      </c>
      <c r="L218" s="11">
        <v>3</v>
      </c>
      <c r="M218" s="11">
        <v>3</v>
      </c>
      <c r="N218" s="11" t="s">
        <v>187</v>
      </c>
      <c r="O218" s="11" t="s">
        <v>191</v>
      </c>
      <c r="P218" s="11" t="s">
        <v>191</v>
      </c>
      <c r="Q218" s="11" t="s">
        <v>191</v>
      </c>
      <c r="R218" s="11" t="s">
        <v>187</v>
      </c>
      <c r="S218" s="11" t="s">
        <v>192</v>
      </c>
    </row>
    <row r="219" spans="1:19" x14ac:dyDescent="0.3">
      <c r="A219" s="11" t="s">
        <v>531</v>
      </c>
      <c r="B219" s="11">
        <v>10812</v>
      </c>
      <c r="C219" s="11">
        <v>2</v>
      </c>
      <c r="D219" s="11" t="s">
        <v>417</v>
      </c>
      <c r="E219" s="11"/>
      <c r="F219" s="11"/>
      <c r="G219" s="11"/>
      <c r="H219" s="11">
        <v>32</v>
      </c>
      <c r="I219" s="11">
        <v>31</v>
      </c>
      <c r="J219" s="11">
        <v>26</v>
      </c>
      <c r="K219" s="11">
        <v>0</v>
      </c>
      <c r="L219" s="11">
        <v>1</v>
      </c>
      <c r="M219" s="11">
        <v>3</v>
      </c>
      <c r="N219" s="11" t="s">
        <v>187</v>
      </c>
      <c r="O219" s="11" t="s">
        <v>187</v>
      </c>
      <c r="P219" s="11" t="s">
        <v>187</v>
      </c>
      <c r="Q219" s="11" t="s">
        <v>187</v>
      </c>
      <c r="R219" s="11" t="s">
        <v>187</v>
      </c>
      <c r="S219" s="11" t="s">
        <v>187</v>
      </c>
    </row>
    <row r="220" spans="1:19" x14ac:dyDescent="0.3">
      <c r="A220" s="11" t="s">
        <v>531</v>
      </c>
      <c r="B220" s="11">
        <v>10813</v>
      </c>
      <c r="C220" s="11">
        <v>2</v>
      </c>
      <c r="D220" s="11" t="s">
        <v>418</v>
      </c>
      <c r="E220" s="11"/>
      <c r="F220" s="11"/>
      <c r="G220" s="11"/>
      <c r="H220" s="11">
        <v>77</v>
      </c>
      <c r="I220" s="11">
        <v>65</v>
      </c>
      <c r="J220" s="11">
        <v>76</v>
      </c>
      <c r="K220" s="11">
        <v>0</v>
      </c>
      <c r="L220" s="11">
        <v>5</v>
      </c>
      <c r="M220" s="11">
        <v>0</v>
      </c>
      <c r="N220" s="11" t="s">
        <v>192</v>
      </c>
      <c r="O220" s="11" t="s">
        <v>192</v>
      </c>
      <c r="P220" s="11" t="s">
        <v>192</v>
      </c>
      <c r="Q220" s="11" t="s">
        <v>192</v>
      </c>
      <c r="R220" s="11" t="s">
        <v>192</v>
      </c>
      <c r="S220" s="11" t="s">
        <v>192</v>
      </c>
    </row>
    <row r="221" spans="1:19" x14ac:dyDescent="0.3">
      <c r="A221" s="11" t="s">
        <v>531</v>
      </c>
      <c r="B221" s="11">
        <v>10814</v>
      </c>
      <c r="C221" s="11">
        <v>2</v>
      </c>
      <c r="D221" s="11" t="s">
        <v>419</v>
      </c>
      <c r="E221" s="11"/>
      <c r="F221" s="11"/>
      <c r="G221" s="11"/>
      <c r="H221" s="11">
        <v>81</v>
      </c>
      <c r="I221" s="11">
        <v>86</v>
      </c>
      <c r="J221" s="11">
        <v>76</v>
      </c>
      <c r="K221" s="11">
        <v>0</v>
      </c>
      <c r="L221" s="11">
        <v>1</v>
      </c>
      <c r="M221" s="11">
        <v>0</v>
      </c>
      <c r="N221" s="11" t="s">
        <v>187</v>
      </c>
      <c r="O221" s="11" t="s">
        <v>187</v>
      </c>
      <c r="P221" s="11" t="s">
        <v>187</v>
      </c>
      <c r="Q221" s="11" t="s">
        <v>187</v>
      </c>
      <c r="R221" s="11" t="s">
        <v>187</v>
      </c>
      <c r="S221" s="11" t="s">
        <v>187</v>
      </c>
    </row>
    <row r="222" spans="1:19" x14ac:dyDescent="0.3">
      <c r="A222" s="11" t="s">
        <v>531</v>
      </c>
      <c r="B222" s="11">
        <v>10816</v>
      </c>
      <c r="C222" s="11">
        <v>1</v>
      </c>
      <c r="D222" s="11" t="s">
        <v>420</v>
      </c>
      <c r="E222" s="11"/>
      <c r="F222" s="11"/>
      <c r="G222" s="11"/>
      <c r="H222" s="11">
        <v>23</v>
      </c>
      <c r="I222" s="11">
        <v>23</v>
      </c>
      <c r="J222" s="11">
        <v>45</v>
      </c>
      <c r="K222" s="11">
        <v>0</v>
      </c>
      <c r="L222" s="11">
        <v>3</v>
      </c>
      <c r="M222" s="11">
        <v>3</v>
      </c>
      <c r="N222" s="11" t="s">
        <v>187</v>
      </c>
      <c r="O222" s="11" t="s">
        <v>191</v>
      </c>
      <c r="P222" s="11" t="s">
        <v>191</v>
      </c>
      <c r="Q222" s="11" t="s">
        <v>191</v>
      </c>
      <c r="R222" s="11" t="s">
        <v>187</v>
      </c>
      <c r="S222" s="11" t="s">
        <v>192</v>
      </c>
    </row>
    <row r="223" spans="1:19" x14ac:dyDescent="0.3">
      <c r="A223" s="11" t="s">
        <v>531</v>
      </c>
      <c r="B223" s="11">
        <v>10817</v>
      </c>
      <c r="C223" s="11">
        <v>1</v>
      </c>
      <c r="D223" s="11" t="s">
        <v>421</v>
      </c>
      <c r="E223" s="11"/>
      <c r="F223" s="11"/>
      <c r="G223" s="11"/>
      <c r="H223" s="11">
        <v>32</v>
      </c>
      <c r="I223" s="11">
        <v>31</v>
      </c>
      <c r="J223" s="11">
        <v>26</v>
      </c>
      <c r="K223" s="11">
        <v>0</v>
      </c>
      <c r="L223" s="11">
        <v>1</v>
      </c>
      <c r="M223" s="11">
        <v>3</v>
      </c>
      <c r="N223" s="11" t="s">
        <v>187</v>
      </c>
      <c r="O223" s="11" t="s">
        <v>187</v>
      </c>
      <c r="P223" s="11" t="s">
        <v>187</v>
      </c>
      <c r="Q223" s="11" t="s">
        <v>187</v>
      </c>
      <c r="R223" s="11" t="s">
        <v>187</v>
      </c>
      <c r="S223" s="11" t="s">
        <v>187</v>
      </c>
    </row>
    <row r="224" spans="1:19" x14ac:dyDescent="0.3">
      <c r="A224" s="11" t="s">
        <v>531</v>
      </c>
      <c r="B224" s="11">
        <v>10818</v>
      </c>
      <c r="C224" s="11">
        <v>1</v>
      </c>
      <c r="D224" s="11" t="s">
        <v>422</v>
      </c>
      <c r="E224" s="11"/>
      <c r="F224" s="11"/>
      <c r="G224" s="11"/>
      <c r="H224" s="11">
        <v>77</v>
      </c>
      <c r="I224" s="11">
        <v>65</v>
      </c>
      <c r="J224" s="11">
        <v>76</v>
      </c>
      <c r="K224" s="11">
        <v>0</v>
      </c>
      <c r="L224" s="11">
        <v>5</v>
      </c>
      <c r="M224" s="11">
        <v>0</v>
      </c>
      <c r="N224" s="11" t="s">
        <v>192</v>
      </c>
      <c r="O224" s="11" t="s">
        <v>192</v>
      </c>
      <c r="P224" s="11" t="s">
        <v>192</v>
      </c>
      <c r="Q224" s="11" t="s">
        <v>192</v>
      </c>
      <c r="R224" s="11" t="s">
        <v>192</v>
      </c>
      <c r="S224" s="11" t="s">
        <v>192</v>
      </c>
    </row>
    <row r="225" spans="1:19" x14ac:dyDescent="0.3">
      <c r="A225" s="11" t="s">
        <v>531</v>
      </c>
      <c r="B225" s="11">
        <v>10819</v>
      </c>
      <c r="C225" s="11">
        <v>1</v>
      </c>
      <c r="D225" s="11" t="s">
        <v>423</v>
      </c>
      <c r="E225" s="11"/>
      <c r="F225" s="11"/>
      <c r="G225" s="11"/>
      <c r="H225" s="11">
        <v>81</v>
      </c>
      <c r="I225" s="11">
        <v>86</v>
      </c>
      <c r="J225" s="11">
        <v>76</v>
      </c>
      <c r="K225" s="11">
        <v>0</v>
      </c>
      <c r="L225" s="11">
        <v>1</v>
      </c>
      <c r="M225" s="11">
        <v>0</v>
      </c>
      <c r="N225" s="11" t="s">
        <v>187</v>
      </c>
      <c r="O225" s="11" t="s">
        <v>187</v>
      </c>
      <c r="P225" s="11" t="s">
        <v>187</v>
      </c>
      <c r="Q225" s="11" t="s">
        <v>187</v>
      </c>
      <c r="R225" s="11" t="s">
        <v>187</v>
      </c>
      <c r="S225" s="11" t="s">
        <v>187</v>
      </c>
    </row>
    <row r="226" spans="1:19" x14ac:dyDescent="0.3">
      <c r="A226" s="11" t="s">
        <v>531</v>
      </c>
      <c r="B226" s="11">
        <v>10820</v>
      </c>
      <c r="C226" s="11">
        <v>1</v>
      </c>
      <c r="D226" s="11" t="s">
        <v>424</v>
      </c>
      <c r="E226" s="11"/>
      <c r="F226" s="11"/>
      <c r="G226" s="11"/>
      <c r="H226" s="11">
        <v>23</v>
      </c>
      <c r="I226" s="11">
        <v>23</v>
      </c>
      <c r="J226" s="11">
        <v>45</v>
      </c>
      <c r="K226" s="11">
        <v>0</v>
      </c>
      <c r="L226" s="11">
        <v>3</v>
      </c>
      <c r="M226" s="11">
        <v>3</v>
      </c>
      <c r="N226" s="11" t="s">
        <v>187</v>
      </c>
      <c r="O226" s="11" t="s">
        <v>191</v>
      </c>
      <c r="P226" s="11" t="s">
        <v>191</v>
      </c>
      <c r="Q226" s="11" t="s">
        <v>191</v>
      </c>
      <c r="R226" s="11" t="s">
        <v>187</v>
      </c>
      <c r="S226" s="11" t="s">
        <v>192</v>
      </c>
    </row>
    <row r="227" spans="1:19" x14ac:dyDescent="0.3">
      <c r="A227" s="11" t="s">
        <v>531</v>
      </c>
      <c r="B227" s="11">
        <v>10821</v>
      </c>
      <c r="C227" s="11">
        <v>1</v>
      </c>
      <c r="D227" s="11" t="s">
        <v>425</v>
      </c>
      <c r="E227" s="11"/>
      <c r="F227" s="11"/>
      <c r="G227" s="11"/>
      <c r="H227" s="11">
        <v>32</v>
      </c>
      <c r="I227" s="11">
        <v>31</v>
      </c>
      <c r="J227" s="11">
        <v>26</v>
      </c>
      <c r="K227" s="11">
        <v>0</v>
      </c>
      <c r="L227" s="11">
        <v>1</v>
      </c>
      <c r="M227" s="11">
        <v>3</v>
      </c>
      <c r="N227" s="11" t="s">
        <v>187</v>
      </c>
      <c r="O227" s="11" t="s">
        <v>187</v>
      </c>
      <c r="P227" s="11" t="s">
        <v>187</v>
      </c>
      <c r="Q227" s="11" t="s">
        <v>187</v>
      </c>
      <c r="R227" s="11" t="s">
        <v>187</v>
      </c>
      <c r="S227" s="11" t="s">
        <v>187</v>
      </c>
    </row>
    <row r="228" spans="1:19" x14ac:dyDescent="0.3">
      <c r="A228" s="11" t="s">
        <v>531</v>
      </c>
      <c r="B228" s="11">
        <v>10822</v>
      </c>
      <c r="C228" s="11">
        <v>1</v>
      </c>
      <c r="D228" s="11" t="s">
        <v>426</v>
      </c>
      <c r="E228" s="11"/>
      <c r="F228" s="11"/>
      <c r="G228" s="11"/>
      <c r="H228" s="11">
        <v>77</v>
      </c>
      <c r="I228" s="11">
        <v>65</v>
      </c>
      <c r="J228" s="11">
        <v>76</v>
      </c>
      <c r="K228" s="11">
        <v>0</v>
      </c>
      <c r="L228" s="11">
        <v>5</v>
      </c>
      <c r="M228" s="11">
        <v>0</v>
      </c>
      <c r="N228" s="11" t="s">
        <v>192</v>
      </c>
      <c r="O228" s="11" t="s">
        <v>192</v>
      </c>
      <c r="P228" s="11" t="s">
        <v>192</v>
      </c>
      <c r="Q228" s="11" t="s">
        <v>192</v>
      </c>
      <c r="R228" s="11" t="s">
        <v>192</v>
      </c>
      <c r="S228" s="11" t="s">
        <v>192</v>
      </c>
    </row>
    <row r="229" spans="1:19" x14ac:dyDescent="0.3">
      <c r="A229" s="11" t="s">
        <v>531</v>
      </c>
      <c r="B229" s="11">
        <v>10823</v>
      </c>
      <c r="C229" s="11">
        <v>1</v>
      </c>
      <c r="D229" s="11" t="s">
        <v>427</v>
      </c>
      <c r="E229" s="11"/>
      <c r="F229" s="11"/>
      <c r="G229" s="11"/>
      <c r="H229" s="11">
        <v>81</v>
      </c>
      <c r="I229" s="11">
        <v>86</v>
      </c>
      <c r="J229" s="11">
        <v>76</v>
      </c>
      <c r="K229" s="11">
        <v>0</v>
      </c>
      <c r="L229" s="11">
        <v>1</v>
      </c>
      <c r="M229" s="11">
        <v>0</v>
      </c>
      <c r="N229" s="11" t="s">
        <v>187</v>
      </c>
      <c r="O229" s="11" t="s">
        <v>187</v>
      </c>
      <c r="P229" s="11" t="s">
        <v>187</v>
      </c>
      <c r="Q229" s="11" t="s">
        <v>187</v>
      </c>
      <c r="R229" s="11" t="s">
        <v>187</v>
      </c>
      <c r="S229" s="11" t="s">
        <v>187</v>
      </c>
    </row>
    <row r="230" spans="1:19" x14ac:dyDescent="0.3">
      <c r="A230" s="11" t="s">
        <v>531</v>
      </c>
      <c r="B230" s="11">
        <v>10824</v>
      </c>
      <c r="C230" s="11">
        <v>1</v>
      </c>
      <c r="D230" s="11" t="s">
        <v>428</v>
      </c>
      <c r="E230" s="11"/>
      <c r="F230" s="11"/>
      <c r="G230" s="11"/>
      <c r="H230" s="11">
        <v>23</v>
      </c>
      <c r="I230" s="11">
        <v>23</v>
      </c>
      <c r="J230" s="11">
        <v>45</v>
      </c>
      <c r="K230" s="11">
        <v>0</v>
      </c>
      <c r="L230" s="11">
        <v>3</v>
      </c>
      <c r="M230" s="11">
        <v>3</v>
      </c>
      <c r="N230" s="11" t="s">
        <v>187</v>
      </c>
      <c r="O230" s="11" t="s">
        <v>191</v>
      </c>
      <c r="P230" s="11" t="s">
        <v>191</v>
      </c>
      <c r="Q230" s="11" t="s">
        <v>191</v>
      </c>
      <c r="R230" s="11" t="s">
        <v>187</v>
      </c>
      <c r="S230" s="11" t="s">
        <v>192</v>
      </c>
    </row>
    <row r="231" spans="1:19" x14ac:dyDescent="0.3">
      <c r="A231" s="11" t="s">
        <v>531</v>
      </c>
      <c r="B231" s="11">
        <v>10825</v>
      </c>
      <c r="C231" s="11">
        <v>1</v>
      </c>
      <c r="D231" s="11" t="s">
        <v>429</v>
      </c>
      <c r="E231" s="11"/>
      <c r="F231" s="11"/>
      <c r="G231" s="11"/>
      <c r="H231" s="11">
        <v>32</v>
      </c>
      <c r="I231" s="11">
        <v>31</v>
      </c>
      <c r="J231" s="11">
        <v>26</v>
      </c>
      <c r="K231" s="11">
        <v>0</v>
      </c>
      <c r="L231" s="11">
        <v>1</v>
      </c>
      <c r="M231" s="11">
        <v>3</v>
      </c>
      <c r="N231" s="11" t="s">
        <v>187</v>
      </c>
      <c r="O231" s="11" t="s">
        <v>187</v>
      </c>
      <c r="P231" s="11" t="s">
        <v>187</v>
      </c>
      <c r="Q231" s="11" t="s">
        <v>187</v>
      </c>
      <c r="R231" s="11" t="s">
        <v>187</v>
      </c>
      <c r="S231" s="11" t="s">
        <v>187</v>
      </c>
    </row>
    <row r="232" spans="1:19" x14ac:dyDescent="0.3">
      <c r="A232" s="11" t="s">
        <v>531</v>
      </c>
      <c r="B232" s="11">
        <v>10826</v>
      </c>
      <c r="C232" s="11">
        <v>1</v>
      </c>
      <c r="D232" s="11" t="s">
        <v>430</v>
      </c>
      <c r="E232" s="11"/>
      <c r="F232" s="11"/>
      <c r="G232" s="11"/>
      <c r="H232" s="11">
        <v>77</v>
      </c>
      <c r="I232" s="11">
        <v>65</v>
      </c>
      <c r="J232" s="11">
        <v>76</v>
      </c>
      <c r="K232" s="11">
        <v>0</v>
      </c>
      <c r="L232" s="11">
        <v>5</v>
      </c>
      <c r="M232" s="11">
        <v>0</v>
      </c>
      <c r="N232" s="11" t="s">
        <v>192</v>
      </c>
      <c r="O232" s="11" t="s">
        <v>192</v>
      </c>
      <c r="P232" s="11" t="s">
        <v>192</v>
      </c>
      <c r="Q232" s="11" t="s">
        <v>192</v>
      </c>
      <c r="R232" s="11" t="s">
        <v>192</v>
      </c>
      <c r="S232" s="11" t="s">
        <v>192</v>
      </c>
    </row>
    <row r="233" spans="1:19" x14ac:dyDescent="0.3">
      <c r="A233" s="11" t="s">
        <v>531</v>
      </c>
      <c r="B233" s="11">
        <v>10827</v>
      </c>
      <c r="C233" s="11">
        <v>1</v>
      </c>
      <c r="D233" s="11" t="s">
        <v>431</v>
      </c>
      <c r="E233" s="11"/>
      <c r="F233" s="11"/>
      <c r="G233" s="11"/>
      <c r="H233" s="11">
        <v>81</v>
      </c>
      <c r="I233" s="11">
        <v>86</v>
      </c>
      <c r="J233" s="11">
        <v>76</v>
      </c>
      <c r="K233" s="11">
        <v>0</v>
      </c>
      <c r="L233" s="11">
        <v>1</v>
      </c>
      <c r="M233" s="11">
        <v>0</v>
      </c>
      <c r="N233" s="11" t="s">
        <v>187</v>
      </c>
      <c r="O233" s="11" t="s">
        <v>187</v>
      </c>
      <c r="P233" s="11" t="s">
        <v>187</v>
      </c>
      <c r="Q233" s="11" t="s">
        <v>187</v>
      </c>
      <c r="R233" s="11" t="s">
        <v>187</v>
      </c>
      <c r="S233" s="11" t="s">
        <v>187</v>
      </c>
    </row>
    <row r="234" spans="1:19" x14ac:dyDescent="0.3">
      <c r="A234" s="11" t="s">
        <v>531</v>
      </c>
      <c r="B234" s="11">
        <v>10828</v>
      </c>
      <c r="C234" s="11">
        <v>1</v>
      </c>
      <c r="D234" s="11" t="s">
        <v>432</v>
      </c>
      <c r="E234" s="11"/>
      <c r="F234" s="11"/>
      <c r="G234" s="11"/>
      <c r="H234" s="11">
        <v>23</v>
      </c>
      <c r="I234" s="11">
        <v>23</v>
      </c>
      <c r="J234" s="11">
        <v>45</v>
      </c>
      <c r="K234" s="11">
        <v>0</v>
      </c>
      <c r="L234" s="11">
        <v>3</v>
      </c>
      <c r="M234" s="11">
        <v>3</v>
      </c>
      <c r="N234" s="11" t="s">
        <v>187</v>
      </c>
      <c r="O234" s="11" t="s">
        <v>191</v>
      </c>
      <c r="P234" s="11" t="s">
        <v>191</v>
      </c>
      <c r="Q234" s="11" t="s">
        <v>191</v>
      </c>
      <c r="R234" s="11" t="s">
        <v>187</v>
      </c>
      <c r="S234" s="11" t="s">
        <v>192</v>
      </c>
    </row>
    <row r="235" spans="1:19" x14ac:dyDescent="0.3">
      <c r="A235" s="11" t="s">
        <v>531</v>
      </c>
      <c r="B235" s="11">
        <v>10829</v>
      </c>
      <c r="C235" s="11">
        <v>1</v>
      </c>
      <c r="D235" s="11" t="s">
        <v>375</v>
      </c>
      <c r="E235" s="11"/>
      <c r="F235" s="11"/>
      <c r="G235" s="11"/>
      <c r="H235" s="11">
        <v>32</v>
      </c>
      <c r="I235" s="11">
        <v>31</v>
      </c>
      <c r="J235" s="11">
        <v>26</v>
      </c>
      <c r="K235" s="11">
        <v>0</v>
      </c>
      <c r="L235" s="11">
        <v>1</v>
      </c>
      <c r="M235" s="11">
        <v>3</v>
      </c>
      <c r="N235" s="11" t="s">
        <v>187</v>
      </c>
      <c r="O235" s="11" t="s">
        <v>187</v>
      </c>
      <c r="P235" s="11" t="s">
        <v>187</v>
      </c>
      <c r="Q235" s="11" t="s">
        <v>187</v>
      </c>
      <c r="R235" s="11" t="s">
        <v>187</v>
      </c>
      <c r="S235" s="11" t="s">
        <v>187</v>
      </c>
    </row>
    <row r="236" spans="1:19" x14ac:dyDescent="0.3">
      <c r="A236" s="11" t="s">
        <v>531</v>
      </c>
      <c r="B236" s="11">
        <v>10830</v>
      </c>
      <c r="C236" s="11">
        <v>2</v>
      </c>
      <c r="D236" s="11" t="s">
        <v>198</v>
      </c>
      <c r="E236" s="11"/>
      <c r="F236" s="11"/>
      <c r="G236" s="11"/>
      <c r="H236" s="11">
        <v>77</v>
      </c>
      <c r="I236" s="11">
        <v>65</v>
      </c>
      <c r="J236" s="11">
        <v>76</v>
      </c>
      <c r="K236" s="11">
        <v>0</v>
      </c>
      <c r="L236" s="11">
        <v>5</v>
      </c>
      <c r="M236" s="11">
        <v>0</v>
      </c>
      <c r="N236" s="11" t="s">
        <v>192</v>
      </c>
      <c r="O236" s="11" t="s">
        <v>192</v>
      </c>
      <c r="P236" s="11" t="s">
        <v>192</v>
      </c>
      <c r="Q236" s="11" t="s">
        <v>192</v>
      </c>
      <c r="R236" s="11" t="s">
        <v>192</v>
      </c>
      <c r="S236" s="11" t="s">
        <v>192</v>
      </c>
    </row>
    <row r="237" spans="1:19" x14ac:dyDescent="0.3">
      <c r="A237" s="11" t="s">
        <v>531</v>
      </c>
      <c r="B237" s="11">
        <v>10901</v>
      </c>
      <c r="C237" s="11">
        <v>2</v>
      </c>
      <c r="D237" s="11" t="s">
        <v>433</v>
      </c>
      <c r="E237" s="11"/>
      <c r="F237" s="11"/>
      <c r="G237" s="11"/>
      <c r="H237" s="11">
        <v>81</v>
      </c>
      <c r="I237" s="11">
        <v>86</v>
      </c>
      <c r="J237" s="11">
        <v>76</v>
      </c>
      <c r="K237" s="11">
        <v>0</v>
      </c>
      <c r="L237" s="11">
        <v>1</v>
      </c>
      <c r="M237" s="11">
        <v>0</v>
      </c>
      <c r="N237" s="11" t="s">
        <v>187</v>
      </c>
      <c r="O237" s="11" t="s">
        <v>187</v>
      </c>
      <c r="P237" s="11" t="s">
        <v>187</v>
      </c>
      <c r="Q237" s="11" t="s">
        <v>187</v>
      </c>
      <c r="R237" s="11" t="s">
        <v>187</v>
      </c>
      <c r="S237" s="11" t="s">
        <v>187</v>
      </c>
    </row>
    <row r="238" spans="1:19" x14ac:dyDescent="0.3">
      <c r="A238" s="11" t="s">
        <v>531</v>
      </c>
      <c r="B238" s="11">
        <v>10902</v>
      </c>
      <c r="C238" s="11">
        <v>2</v>
      </c>
      <c r="D238" s="11" t="s">
        <v>434</v>
      </c>
      <c r="E238" s="11"/>
      <c r="F238" s="11"/>
      <c r="G238" s="11"/>
      <c r="H238" s="11">
        <v>23</v>
      </c>
      <c r="I238" s="11">
        <v>23</v>
      </c>
      <c r="J238" s="11">
        <v>45</v>
      </c>
      <c r="K238" s="11">
        <v>0</v>
      </c>
      <c r="L238" s="11">
        <v>3</v>
      </c>
      <c r="M238" s="11">
        <v>3</v>
      </c>
      <c r="N238" s="11" t="s">
        <v>187</v>
      </c>
      <c r="O238" s="11" t="s">
        <v>191</v>
      </c>
      <c r="P238" s="11" t="s">
        <v>191</v>
      </c>
      <c r="Q238" s="11" t="s">
        <v>191</v>
      </c>
      <c r="R238" s="11" t="s">
        <v>187</v>
      </c>
      <c r="S238" s="11" t="s">
        <v>192</v>
      </c>
    </row>
    <row r="239" spans="1:19" x14ac:dyDescent="0.3">
      <c r="A239" s="11" t="s">
        <v>531</v>
      </c>
      <c r="B239" s="11">
        <v>10903</v>
      </c>
      <c r="C239" s="11">
        <v>2</v>
      </c>
      <c r="D239" s="11" t="s">
        <v>435</v>
      </c>
      <c r="E239" s="11"/>
      <c r="F239" s="11"/>
      <c r="G239" s="11"/>
      <c r="H239" s="11">
        <v>32</v>
      </c>
      <c r="I239" s="11">
        <v>31</v>
      </c>
      <c r="J239" s="11">
        <v>26</v>
      </c>
      <c r="K239" s="11">
        <v>0</v>
      </c>
      <c r="L239" s="11">
        <v>1</v>
      </c>
      <c r="M239" s="11">
        <v>3</v>
      </c>
      <c r="N239" s="11" t="s">
        <v>187</v>
      </c>
      <c r="O239" s="11" t="s">
        <v>187</v>
      </c>
      <c r="P239" s="11" t="s">
        <v>187</v>
      </c>
      <c r="Q239" s="11" t="s">
        <v>187</v>
      </c>
      <c r="R239" s="11" t="s">
        <v>187</v>
      </c>
      <c r="S239" s="11" t="s">
        <v>187</v>
      </c>
    </row>
    <row r="240" spans="1:19" x14ac:dyDescent="0.3">
      <c r="A240" s="11" t="s">
        <v>531</v>
      </c>
      <c r="B240" s="11">
        <v>10904</v>
      </c>
      <c r="C240" s="11">
        <v>2</v>
      </c>
      <c r="D240" s="11" t="s">
        <v>436</v>
      </c>
      <c r="E240" s="11"/>
      <c r="F240" s="11"/>
      <c r="G240" s="11"/>
      <c r="H240" s="11">
        <v>77</v>
      </c>
      <c r="I240" s="11">
        <v>65</v>
      </c>
      <c r="J240" s="11">
        <v>76</v>
      </c>
      <c r="K240" s="11">
        <v>0</v>
      </c>
      <c r="L240" s="11">
        <v>5</v>
      </c>
      <c r="M240" s="11">
        <v>0</v>
      </c>
      <c r="N240" s="11" t="s">
        <v>192</v>
      </c>
      <c r="O240" s="11" t="s">
        <v>192</v>
      </c>
      <c r="P240" s="11" t="s">
        <v>192</v>
      </c>
      <c r="Q240" s="11" t="s">
        <v>192</v>
      </c>
      <c r="R240" s="11" t="s">
        <v>192</v>
      </c>
      <c r="S240" s="11" t="s">
        <v>192</v>
      </c>
    </row>
    <row r="241" spans="1:19" x14ac:dyDescent="0.3">
      <c r="A241" s="11" t="s">
        <v>531</v>
      </c>
      <c r="B241" s="11">
        <v>10905</v>
      </c>
      <c r="C241" s="11">
        <v>2</v>
      </c>
      <c r="D241" s="11" t="s">
        <v>437</v>
      </c>
      <c r="E241" s="11"/>
      <c r="F241" s="11"/>
      <c r="G241" s="11"/>
      <c r="H241" s="11">
        <v>81</v>
      </c>
      <c r="I241" s="11">
        <v>86</v>
      </c>
      <c r="J241" s="11">
        <v>76</v>
      </c>
      <c r="K241" s="11">
        <v>0</v>
      </c>
      <c r="L241" s="11">
        <v>1</v>
      </c>
      <c r="M241" s="11">
        <v>0</v>
      </c>
      <c r="N241" s="11" t="s">
        <v>187</v>
      </c>
      <c r="O241" s="11" t="s">
        <v>187</v>
      </c>
      <c r="P241" s="11" t="s">
        <v>187</v>
      </c>
      <c r="Q241" s="11" t="s">
        <v>187</v>
      </c>
      <c r="R241" s="11" t="s">
        <v>187</v>
      </c>
      <c r="S241" s="11" t="s">
        <v>187</v>
      </c>
    </row>
    <row r="242" spans="1:19" x14ac:dyDescent="0.3">
      <c r="A242" s="11" t="s">
        <v>531</v>
      </c>
      <c r="B242" s="11">
        <v>10906</v>
      </c>
      <c r="C242" s="11">
        <v>2</v>
      </c>
      <c r="D242" s="11" t="s">
        <v>438</v>
      </c>
      <c r="E242" s="11"/>
      <c r="F242" s="11"/>
      <c r="G242" s="11"/>
      <c r="H242" s="11">
        <v>23</v>
      </c>
      <c r="I242" s="11">
        <v>23</v>
      </c>
      <c r="J242" s="11">
        <v>45</v>
      </c>
      <c r="K242" s="11">
        <v>0</v>
      </c>
      <c r="L242" s="11">
        <v>3</v>
      </c>
      <c r="M242" s="11">
        <v>3</v>
      </c>
      <c r="N242" s="11" t="s">
        <v>187</v>
      </c>
      <c r="O242" s="11" t="s">
        <v>191</v>
      </c>
      <c r="P242" s="11" t="s">
        <v>191</v>
      </c>
      <c r="Q242" s="11" t="s">
        <v>191</v>
      </c>
      <c r="R242" s="11" t="s">
        <v>187</v>
      </c>
      <c r="S242" s="11" t="s">
        <v>192</v>
      </c>
    </row>
    <row r="243" spans="1:19" x14ac:dyDescent="0.3">
      <c r="A243" s="11" t="s">
        <v>531</v>
      </c>
      <c r="B243" s="11">
        <v>10907</v>
      </c>
      <c r="C243" s="11">
        <v>2</v>
      </c>
      <c r="D243" s="11" t="s">
        <v>439</v>
      </c>
      <c r="E243" s="11"/>
      <c r="F243" s="11"/>
      <c r="G243" s="11"/>
      <c r="H243" s="11">
        <v>32</v>
      </c>
      <c r="I243" s="11">
        <v>31</v>
      </c>
      <c r="J243" s="11">
        <v>26</v>
      </c>
      <c r="K243" s="11">
        <v>0</v>
      </c>
      <c r="L243" s="11">
        <v>1</v>
      </c>
      <c r="M243" s="11">
        <v>3</v>
      </c>
      <c r="N243" s="11" t="s">
        <v>187</v>
      </c>
      <c r="O243" s="11" t="s">
        <v>187</v>
      </c>
      <c r="P243" s="11" t="s">
        <v>187</v>
      </c>
      <c r="Q243" s="11" t="s">
        <v>187</v>
      </c>
      <c r="R243" s="11" t="s">
        <v>187</v>
      </c>
      <c r="S243" s="11" t="s">
        <v>187</v>
      </c>
    </row>
    <row r="244" spans="1:19" x14ac:dyDescent="0.3">
      <c r="A244" s="11" t="s">
        <v>531</v>
      </c>
      <c r="B244" s="11">
        <v>10908</v>
      </c>
      <c r="C244" s="11">
        <v>2</v>
      </c>
      <c r="D244" s="11" t="s">
        <v>440</v>
      </c>
      <c r="E244" s="11"/>
      <c r="F244" s="11"/>
      <c r="G244" s="11"/>
      <c r="H244" s="11">
        <v>77</v>
      </c>
      <c r="I244" s="11">
        <v>65</v>
      </c>
      <c r="J244" s="11">
        <v>76</v>
      </c>
      <c r="K244" s="11">
        <v>0</v>
      </c>
      <c r="L244" s="11">
        <v>5</v>
      </c>
      <c r="M244" s="11">
        <v>0</v>
      </c>
      <c r="N244" s="11" t="s">
        <v>192</v>
      </c>
      <c r="O244" s="11" t="s">
        <v>192</v>
      </c>
      <c r="P244" s="11" t="s">
        <v>192</v>
      </c>
      <c r="Q244" s="11" t="s">
        <v>192</v>
      </c>
      <c r="R244" s="11" t="s">
        <v>192</v>
      </c>
      <c r="S244" s="11" t="s">
        <v>192</v>
      </c>
    </row>
    <row r="245" spans="1:19" x14ac:dyDescent="0.3">
      <c r="A245" s="11" t="s">
        <v>531</v>
      </c>
      <c r="B245" s="11">
        <v>10909</v>
      </c>
      <c r="C245" s="11">
        <v>2</v>
      </c>
      <c r="D245" s="11" t="s">
        <v>441</v>
      </c>
      <c r="E245" s="11"/>
      <c r="F245" s="11"/>
      <c r="G245" s="11"/>
      <c r="H245" s="11">
        <v>81</v>
      </c>
      <c r="I245" s="11">
        <v>86</v>
      </c>
      <c r="J245" s="11">
        <v>76</v>
      </c>
      <c r="K245" s="11">
        <v>0</v>
      </c>
      <c r="L245" s="11">
        <v>1</v>
      </c>
      <c r="M245" s="11">
        <v>0</v>
      </c>
      <c r="N245" s="11" t="s">
        <v>187</v>
      </c>
      <c r="O245" s="11" t="s">
        <v>187</v>
      </c>
      <c r="P245" s="11" t="s">
        <v>187</v>
      </c>
      <c r="Q245" s="11" t="s">
        <v>187</v>
      </c>
      <c r="R245" s="11" t="s">
        <v>187</v>
      </c>
      <c r="S245" s="11" t="s">
        <v>187</v>
      </c>
    </row>
    <row r="246" spans="1:19" x14ac:dyDescent="0.3">
      <c r="A246" s="11" t="s">
        <v>531</v>
      </c>
      <c r="B246" s="11">
        <v>10910</v>
      </c>
      <c r="C246" s="11">
        <v>2</v>
      </c>
      <c r="D246" s="11" t="s">
        <v>442</v>
      </c>
      <c r="E246" s="11"/>
      <c r="F246" s="11"/>
      <c r="G246" s="11"/>
      <c r="H246" s="11">
        <v>23</v>
      </c>
      <c r="I246" s="11">
        <v>23</v>
      </c>
      <c r="J246" s="11">
        <v>45</v>
      </c>
      <c r="K246" s="11">
        <v>0</v>
      </c>
      <c r="L246" s="11">
        <v>3</v>
      </c>
      <c r="M246" s="11">
        <v>3</v>
      </c>
      <c r="N246" s="11" t="s">
        <v>187</v>
      </c>
      <c r="O246" s="11" t="s">
        <v>191</v>
      </c>
      <c r="P246" s="11" t="s">
        <v>191</v>
      </c>
      <c r="Q246" s="11" t="s">
        <v>191</v>
      </c>
      <c r="R246" s="11" t="s">
        <v>187</v>
      </c>
      <c r="S246" s="11" t="s">
        <v>192</v>
      </c>
    </row>
    <row r="247" spans="1:19" x14ac:dyDescent="0.3">
      <c r="A247" s="11" t="s">
        <v>531</v>
      </c>
      <c r="B247" s="11">
        <v>10911</v>
      </c>
      <c r="C247" s="11">
        <v>2</v>
      </c>
      <c r="D247" s="11" t="s">
        <v>443</v>
      </c>
      <c r="E247" s="11"/>
      <c r="F247" s="11"/>
      <c r="G247" s="11"/>
      <c r="H247" s="11">
        <v>32</v>
      </c>
      <c r="I247" s="11">
        <v>31</v>
      </c>
      <c r="J247" s="11">
        <v>26</v>
      </c>
      <c r="K247" s="11">
        <v>0</v>
      </c>
      <c r="L247" s="11">
        <v>1</v>
      </c>
      <c r="M247" s="11">
        <v>3</v>
      </c>
      <c r="N247" s="11" t="s">
        <v>187</v>
      </c>
      <c r="O247" s="11" t="s">
        <v>187</v>
      </c>
      <c r="P247" s="11" t="s">
        <v>187</v>
      </c>
      <c r="Q247" s="11" t="s">
        <v>187</v>
      </c>
      <c r="R247" s="11" t="s">
        <v>187</v>
      </c>
      <c r="S247" s="11" t="s">
        <v>187</v>
      </c>
    </row>
    <row r="248" spans="1:19" x14ac:dyDescent="0.3">
      <c r="A248" s="11" t="s">
        <v>531</v>
      </c>
      <c r="B248" s="11">
        <v>10912</v>
      </c>
      <c r="C248" s="11">
        <v>2</v>
      </c>
      <c r="D248" s="11" t="s">
        <v>444</v>
      </c>
      <c r="E248" s="11"/>
      <c r="F248" s="11"/>
      <c r="G248" s="11"/>
      <c r="H248" s="11">
        <v>77</v>
      </c>
      <c r="I248" s="11">
        <v>65</v>
      </c>
      <c r="J248" s="11">
        <v>76</v>
      </c>
      <c r="K248" s="11">
        <v>0</v>
      </c>
      <c r="L248" s="11">
        <v>5</v>
      </c>
      <c r="M248" s="11">
        <v>0</v>
      </c>
      <c r="N248" s="11" t="s">
        <v>192</v>
      </c>
      <c r="O248" s="11" t="s">
        <v>192</v>
      </c>
      <c r="P248" s="11" t="s">
        <v>192</v>
      </c>
      <c r="Q248" s="11" t="s">
        <v>192</v>
      </c>
      <c r="R248" s="11" t="s">
        <v>192</v>
      </c>
      <c r="S248" s="11" t="s">
        <v>192</v>
      </c>
    </row>
    <row r="249" spans="1:19" x14ac:dyDescent="0.3">
      <c r="A249" s="11" t="s">
        <v>531</v>
      </c>
      <c r="B249" s="11">
        <v>10913</v>
      </c>
      <c r="C249" s="11">
        <v>2</v>
      </c>
      <c r="D249" s="11" t="s">
        <v>445</v>
      </c>
      <c r="E249" s="11"/>
      <c r="F249" s="11"/>
      <c r="G249" s="11"/>
      <c r="H249" s="11">
        <v>81</v>
      </c>
      <c r="I249" s="11">
        <v>86</v>
      </c>
      <c r="J249" s="11">
        <v>76</v>
      </c>
      <c r="K249" s="11">
        <v>0</v>
      </c>
      <c r="L249" s="11">
        <v>1</v>
      </c>
      <c r="M249" s="11">
        <v>0</v>
      </c>
      <c r="N249" s="11" t="s">
        <v>187</v>
      </c>
      <c r="O249" s="11" t="s">
        <v>187</v>
      </c>
      <c r="P249" s="11" t="s">
        <v>187</v>
      </c>
      <c r="Q249" s="11" t="s">
        <v>187</v>
      </c>
      <c r="R249" s="11" t="s">
        <v>187</v>
      </c>
      <c r="S249" s="11" t="s">
        <v>187</v>
      </c>
    </row>
    <row r="250" spans="1:19" x14ac:dyDescent="0.3">
      <c r="A250" s="11" t="s">
        <v>531</v>
      </c>
      <c r="B250" s="11">
        <v>10914</v>
      </c>
      <c r="C250" s="11">
        <v>2</v>
      </c>
      <c r="D250" s="11" t="s">
        <v>446</v>
      </c>
      <c r="E250" s="11"/>
      <c r="F250" s="11"/>
      <c r="G250" s="11"/>
      <c r="H250" s="11">
        <v>23</v>
      </c>
      <c r="I250" s="11">
        <v>23</v>
      </c>
      <c r="J250" s="11">
        <v>45</v>
      </c>
      <c r="K250" s="11">
        <v>0</v>
      </c>
      <c r="L250" s="11">
        <v>3</v>
      </c>
      <c r="M250" s="11">
        <v>3</v>
      </c>
      <c r="N250" s="11" t="s">
        <v>187</v>
      </c>
      <c r="O250" s="11" t="s">
        <v>191</v>
      </c>
      <c r="P250" s="11" t="s">
        <v>191</v>
      </c>
      <c r="Q250" s="11" t="s">
        <v>191</v>
      </c>
      <c r="R250" s="11" t="s">
        <v>187</v>
      </c>
      <c r="S250" s="11" t="s">
        <v>192</v>
      </c>
    </row>
    <row r="251" spans="1:19" x14ac:dyDescent="0.3">
      <c r="A251" s="11" t="s">
        <v>531</v>
      </c>
      <c r="B251" s="11">
        <v>10915</v>
      </c>
      <c r="C251" s="11">
        <v>2</v>
      </c>
      <c r="D251" s="11" t="s">
        <v>447</v>
      </c>
      <c r="E251" s="11"/>
      <c r="F251" s="11"/>
      <c r="G251" s="11"/>
      <c r="H251" s="11">
        <v>32</v>
      </c>
      <c r="I251" s="11">
        <v>31</v>
      </c>
      <c r="J251" s="11">
        <v>26</v>
      </c>
      <c r="K251" s="11">
        <v>0</v>
      </c>
      <c r="L251" s="11">
        <v>1</v>
      </c>
      <c r="M251" s="11">
        <v>3</v>
      </c>
      <c r="N251" s="11" t="s">
        <v>187</v>
      </c>
      <c r="O251" s="11" t="s">
        <v>187</v>
      </c>
      <c r="P251" s="11" t="s">
        <v>187</v>
      </c>
      <c r="Q251" s="11" t="s">
        <v>187</v>
      </c>
      <c r="R251" s="11" t="s">
        <v>187</v>
      </c>
      <c r="S251" s="11" t="s">
        <v>187</v>
      </c>
    </row>
    <row r="252" spans="1:19" x14ac:dyDescent="0.3">
      <c r="A252" s="11" t="s">
        <v>531</v>
      </c>
      <c r="B252" s="11">
        <v>10917</v>
      </c>
      <c r="C252" s="11">
        <v>1</v>
      </c>
      <c r="D252" s="11" t="s">
        <v>448</v>
      </c>
      <c r="E252" s="11"/>
      <c r="F252" s="11"/>
      <c r="G252" s="11"/>
      <c r="H252" s="11">
        <v>77</v>
      </c>
      <c r="I252" s="11">
        <v>65</v>
      </c>
      <c r="J252" s="11">
        <v>76</v>
      </c>
      <c r="K252" s="11">
        <v>0</v>
      </c>
      <c r="L252" s="11">
        <v>5</v>
      </c>
      <c r="M252" s="11">
        <v>0</v>
      </c>
      <c r="N252" s="11" t="s">
        <v>192</v>
      </c>
      <c r="O252" s="11" t="s">
        <v>192</v>
      </c>
      <c r="P252" s="11" t="s">
        <v>192</v>
      </c>
      <c r="Q252" s="11" t="s">
        <v>192</v>
      </c>
      <c r="R252" s="11" t="s">
        <v>192</v>
      </c>
      <c r="S252" s="11" t="s">
        <v>192</v>
      </c>
    </row>
    <row r="253" spans="1:19" x14ac:dyDescent="0.3">
      <c r="A253" s="11" t="s">
        <v>531</v>
      </c>
      <c r="B253" s="11">
        <v>10918</v>
      </c>
      <c r="C253" s="11">
        <v>1</v>
      </c>
      <c r="D253" s="11" t="s">
        <v>449</v>
      </c>
      <c r="E253" s="11"/>
      <c r="F253" s="11"/>
      <c r="G253" s="11"/>
      <c r="H253" s="11">
        <v>81</v>
      </c>
      <c r="I253" s="11">
        <v>86</v>
      </c>
      <c r="J253" s="11">
        <v>76</v>
      </c>
      <c r="K253" s="11">
        <v>0</v>
      </c>
      <c r="L253" s="11">
        <v>1</v>
      </c>
      <c r="M253" s="11">
        <v>0</v>
      </c>
      <c r="N253" s="11" t="s">
        <v>187</v>
      </c>
      <c r="O253" s="11" t="s">
        <v>187</v>
      </c>
      <c r="P253" s="11" t="s">
        <v>187</v>
      </c>
      <c r="Q253" s="11" t="s">
        <v>187</v>
      </c>
      <c r="R253" s="11" t="s">
        <v>187</v>
      </c>
      <c r="S253" s="11" t="s">
        <v>187</v>
      </c>
    </row>
    <row r="254" spans="1:19" x14ac:dyDescent="0.3">
      <c r="A254" s="11" t="s">
        <v>531</v>
      </c>
      <c r="B254" s="11">
        <v>10919</v>
      </c>
      <c r="C254" s="11">
        <v>1</v>
      </c>
      <c r="D254" s="11" t="s">
        <v>450</v>
      </c>
      <c r="E254" s="11"/>
      <c r="F254" s="11"/>
      <c r="G254" s="11"/>
      <c r="H254" s="11">
        <v>23</v>
      </c>
      <c r="I254" s="11">
        <v>23</v>
      </c>
      <c r="J254" s="11">
        <v>45</v>
      </c>
      <c r="K254" s="11">
        <v>0</v>
      </c>
      <c r="L254" s="11">
        <v>3</v>
      </c>
      <c r="M254" s="11">
        <v>3</v>
      </c>
      <c r="N254" s="11" t="s">
        <v>187</v>
      </c>
      <c r="O254" s="11" t="s">
        <v>191</v>
      </c>
      <c r="P254" s="11" t="s">
        <v>191</v>
      </c>
      <c r="Q254" s="11" t="s">
        <v>191</v>
      </c>
      <c r="R254" s="11" t="s">
        <v>187</v>
      </c>
      <c r="S254" s="11" t="s">
        <v>192</v>
      </c>
    </row>
    <row r="255" spans="1:19" x14ac:dyDescent="0.3">
      <c r="A255" s="11" t="s">
        <v>531</v>
      </c>
      <c r="B255" s="11">
        <v>10920</v>
      </c>
      <c r="C255" s="11">
        <v>1</v>
      </c>
      <c r="D255" s="11" t="s">
        <v>451</v>
      </c>
      <c r="E255" s="11"/>
      <c r="F255" s="11"/>
      <c r="G255" s="11"/>
      <c r="H255" s="11">
        <v>32</v>
      </c>
      <c r="I255" s="11">
        <v>31</v>
      </c>
      <c r="J255" s="11">
        <v>26</v>
      </c>
      <c r="K255" s="11">
        <v>0</v>
      </c>
      <c r="L255" s="11">
        <v>1</v>
      </c>
      <c r="M255" s="11">
        <v>3</v>
      </c>
      <c r="N255" s="11" t="s">
        <v>187</v>
      </c>
      <c r="O255" s="11" t="s">
        <v>187</v>
      </c>
      <c r="P255" s="11" t="s">
        <v>187</v>
      </c>
      <c r="Q255" s="11" t="s">
        <v>187</v>
      </c>
      <c r="R255" s="11" t="s">
        <v>187</v>
      </c>
      <c r="S255" s="11" t="s">
        <v>187</v>
      </c>
    </row>
    <row r="256" spans="1:19" x14ac:dyDescent="0.3">
      <c r="A256" s="11" t="s">
        <v>531</v>
      </c>
      <c r="B256" s="11">
        <v>10921</v>
      </c>
      <c r="C256" s="11">
        <v>1</v>
      </c>
      <c r="D256" s="11" t="s">
        <v>452</v>
      </c>
      <c r="E256" s="11"/>
      <c r="F256" s="11"/>
      <c r="G256" s="11"/>
      <c r="H256" s="11">
        <v>77</v>
      </c>
      <c r="I256" s="11">
        <v>65</v>
      </c>
      <c r="J256" s="11">
        <v>76</v>
      </c>
      <c r="K256" s="11">
        <v>0</v>
      </c>
      <c r="L256" s="11">
        <v>5</v>
      </c>
      <c r="M256" s="11">
        <v>0</v>
      </c>
      <c r="N256" s="11" t="s">
        <v>192</v>
      </c>
      <c r="O256" s="11" t="s">
        <v>192</v>
      </c>
      <c r="P256" s="11" t="s">
        <v>192</v>
      </c>
      <c r="Q256" s="11" t="s">
        <v>192</v>
      </c>
      <c r="R256" s="11" t="s">
        <v>192</v>
      </c>
      <c r="S256" s="11" t="s">
        <v>192</v>
      </c>
    </row>
    <row r="257" spans="1:19" x14ac:dyDescent="0.3">
      <c r="A257" s="11" t="s">
        <v>531</v>
      </c>
      <c r="B257" s="11">
        <v>10922</v>
      </c>
      <c r="C257" s="11">
        <v>1</v>
      </c>
      <c r="D257" s="11" t="s">
        <v>453</v>
      </c>
      <c r="E257" s="11"/>
      <c r="F257" s="11"/>
      <c r="G257" s="11"/>
      <c r="H257" s="11">
        <v>81</v>
      </c>
      <c r="I257" s="11">
        <v>86</v>
      </c>
      <c r="J257" s="11">
        <v>76</v>
      </c>
      <c r="K257" s="11">
        <v>0</v>
      </c>
      <c r="L257" s="11">
        <v>1</v>
      </c>
      <c r="M257" s="11">
        <v>0</v>
      </c>
      <c r="N257" s="11" t="s">
        <v>187</v>
      </c>
      <c r="O257" s="11" t="s">
        <v>187</v>
      </c>
      <c r="P257" s="11" t="s">
        <v>187</v>
      </c>
      <c r="Q257" s="11" t="s">
        <v>187</v>
      </c>
      <c r="R257" s="11" t="s">
        <v>187</v>
      </c>
      <c r="S257" s="11" t="s">
        <v>187</v>
      </c>
    </row>
    <row r="258" spans="1:19" x14ac:dyDescent="0.3">
      <c r="A258" s="11" t="s">
        <v>531</v>
      </c>
      <c r="B258" s="11">
        <v>10923</v>
      </c>
      <c r="C258" s="11">
        <v>1</v>
      </c>
      <c r="D258" s="11" t="s">
        <v>454</v>
      </c>
      <c r="E258" s="11"/>
      <c r="F258" s="11"/>
      <c r="G258" s="11"/>
      <c r="H258" s="11">
        <v>23</v>
      </c>
      <c r="I258" s="11">
        <v>23</v>
      </c>
      <c r="J258" s="11">
        <v>45</v>
      </c>
      <c r="K258" s="11">
        <v>0</v>
      </c>
      <c r="L258" s="11">
        <v>3</v>
      </c>
      <c r="M258" s="11">
        <v>3</v>
      </c>
      <c r="N258" s="11" t="s">
        <v>187</v>
      </c>
      <c r="O258" s="11" t="s">
        <v>191</v>
      </c>
      <c r="P258" s="11" t="s">
        <v>191</v>
      </c>
      <c r="Q258" s="11" t="s">
        <v>191</v>
      </c>
      <c r="R258" s="11" t="s">
        <v>187</v>
      </c>
      <c r="S258" s="11" t="s">
        <v>192</v>
      </c>
    </row>
    <row r="259" spans="1:19" x14ac:dyDescent="0.3">
      <c r="A259" s="11" t="s">
        <v>531</v>
      </c>
      <c r="B259" s="11">
        <v>10924</v>
      </c>
      <c r="C259" s="11">
        <v>1</v>
      </c>
      <c r="D259" s="11" t="s">
        <v>455</v>
      </c>
      <c r="E259" s="11"/>
      <c r="F259" s="11"/>
      <c r="G259" s="11"/>
      <c r="H259" s="11">
        <v>32</v>
      </c>
      <c r="I259" s="11">
        <v>31</v>
      </c>
      <c r="J259" s="11">
        <v>26</v>
      </c>
      <c r="K259" s="11">
        <v>0</v>
      </c>
      <c r="L259" s="11">
        <v>1</v>
      </c>
      <c r="M259" s="11">
        <v>3</v>
      </c>
      <c r="N259" s="11" t="s">
        <v>187</v>
      </c>
      <c r="O259" s="11" t="s">
        <v>187</v>
      </c>
      <c r="P259" s="11" t="s">
        <v>187</v>
      </c>
      <c r="Q259" s="11" t="s">
        <v>187</v>
      </c>
      <c r="R259" s="11" t="s">
        <v>187</v>
      </c>
      <c r="S259" s="11" t="s">
        <v>187</v>
      </c>
    </row>
    <row r="260" spans="1:19" x14ac:dyDescent="0.3">
      <c r="A260" s="11" t="s">
        <v>531</v>
      </c>
      <c r="B260" s="11">
        <v>10925</v>
      </c>
      <c r="C260" s="11">
        <v>1</v>
      </c>
      <c r="D260" s="11" t="s">
        <v>456</v>
      </c>
      <c r="E260" s="11"/>
      <c r="F260" s="11"/>
      <c r="G260" s="11"/>
      <c r="H260" s="11">
        <v>77</v>
      </c>
      <c r="I260" s="11">
        <v>65</v>
      </c>
      <c r="J260" s="11">
        <v>76</v>
      </c>
      <c r="K260" s="11">
        <v>0</v>
      </c>
      <c r="L260" s="11">
        <v>5</v>
      </c>
      <c r="M260" s="11">
        <v>0</v>
      </c>
      <c r="N260" s="11" t="s">
        <v>192</v>
      </c>
      <c r="O260" s="11" t="s">
        <v>192</v>
      </c>
      <c r="P260" s="11" t="s">
        <v>192</v>
      </c>
      <c r="Q260" s="11" t="s">
        <v>192</v>
      </c>
      <c r="R260" s="11" t="s">
        <v>192</v>
      </c>
      <c r="S260" s="11" t="s">
        <v>192</v>
      </c>
    </row>
    <row r="261" spans="1:19" x14ac:dyDescent="0.3">
      <c r="A261" s="11" t="s">
        <v>531</v>
      </c>
      <c r="B261" s="11">
        <v>10926</v>
      </c>
      <c r="C261" s="11">
        <v>1</v>
      </c>
      <c r="D261" s="11" t="s">
        <v>457</v>
      </c>
      <c r="E261" s="11"/>
      <c r="F261" s="11"/>
      <c r="G261" s="11"/>
      <c r="H261" s="11">
        <v>81</v>
      </c>
      <c r="I261" s="11">
        <v>86</v>
      </c>
      <c r="J261" s="11">
        <v>76</v>
      </c>
      <c r="K261" s="11">
        <v>0</v>
      </c>
      <c r="L261" s="11">
        <v>1</v>
      </c>
      <c r="M261" s="11">
        <v>0</v>
      </c>
      <c r="N261" s="11" t="s">
        <v>187</v>
      </c>
      <c r="O261" s="11" t="s">
        <v>187</v>
      </c>
      <c r="P261" s="11" t="s">
        <v>187</v>
      </c>
      <c r="Q261" s="11" t="s">
        <v>187</v>
      </c>
      <c r="R261" s="11" t="s">
        <v>187</v>
      </c>
      <c r="S261" s="11" t="s">
        <v>187</v>
      </c>
    </row>
    <row r="262" spans="1:19" x14ac:dyDescent="0.3">
      <c r="A262" s="11" t="s">
        <v>531</v>
      </c>
      <c r="B262" s="11">
        <v>10927</v>
      </c>
      <c r="C262" s="11">
        <v>1</v>
      </c>
      <c r="D262" s="11" t="s">
        <v>458</v>
      </c>
      <c r="E262" s="11"/>
      <c r="F262" s="11"/>
      <c r="G262" s="11"/>
      <c r="H262" s="11">
        <v>23</v>
      </c>
      <c r="I262" s="11">
        <v>23</v>
      </c>
      <c r="J262" s="11">
        <v>45</v>
      </c>
      <c r="K262" s="11">
        <v>0</v>
      </c>
      <c r="L262" s="11">
        <v>3</v>
      </c>
      <c r="M262" s="11">
        <v>3</v>
      </c>
      <c r="N262" s="11" t="s">
        <v>187</v>
      </c>
      <c r="O262" s="11" t="s">
        <v>191</v>
      </c>
      <c r="P262" s="11" t="s">
        <v>191</v>
      </c>
      <c r="Q262" s="11" t="s">
        <v>191</v>
      </c>
      <c r="R262" s="11" t="s">
        <v>187</v>
      </c>
      <c r="S262" s="11" t="s">
        <v>192</v>
      </c>
    </row>
    <row r="263" spans="1:19" x14ac:dyDescent="0.3">
      <c r="A263" s="11" t="s">
        <v>531</v>
      </c>
      <c r="B263" s="11">
        <v>10928</v>
      </c>
      <c r="C263" s="11">
        <v>1</v>
      </c>
      <c r="D263" s="11" t="s">
        <v>459</v>
      </c>
      <c r="E263" s="11"/>
      <c r="F263" s="11"/>
      <c r="G263" s="11"/>
      <c r="H263" s="11">
        <v>32</v>
      </c>
      <c r="I263" s="11">
        <v>31</v>
      </c>
      <c r="J263" s="11">
        <v>26</v>
      </c>
      <c r="K263" s="11">
        <v>0</v>
      </c>
      <c r="L263" s="11">
        <v>1</v>
      </c>
      <c r="M263" s="11">
        <v>3</v>
      </c>
      <c r="N263" s="11" t="s">
        <v>187</v>
      </c>
      <c r="O263" s="11" t="s">
        <v>187</v>
      </c>
      <c r="P263" s="11" t="s">
        <v>187</v>
      </c>
      <c r="Q263" s="11" t="s">
        <v>187</v>
      </c>
      <c r="R263" s="11" t="s">
        <v>187</v>
      </c>
      <c r="S263" s="11" t="s">
        <v>187</v>
      </c>
    </row>
    <row r="264" spans="1:19" x14ac:dyDescent="0.3">
      <c r="A264" s="11" t="s">
        <v>531</v>
      </c>
      <c r="B264" s="11">
        <v>10929</v>
      </c>
      <c r="C264" s="11">
        <v>1</v>
      </c>
      <c r="D264" s="11" t="s">
        <v>256</v>
      </c>
      <c r="E264" s="11"/>
      <c r="F264" s="11"/>
      <c r="G264" s="11"/>
      <c r="H264" s="11">
        <v>77</v>
      </c>
      <c r="I264" s="11">
        <v>65</v>
      </c>
      <c r="J264" s="11">
        <v>76</v>
      </c>
      <c r="K264" s="11">
        <v>0</v>
      </c>
      <c r="L264" s="11">
        <v>5</v>
      </c>
      <c r="M264" s="11">
        <v>0</v>
      </c>
      <c r="N264" s="11" t="s">
        <v>192</v>
      </c>
      <c r="O264" s="11" t="s">
        <v>192</v>
      </c>
      <c r="P264" s="11" t="s">
        <v>192</v>
      </c>
      <c r="Q264" s="11" t="s">
        <v>192</v>
      </c>
      <c r="R264" s="11" t="s">
        <v>192</v>
      </c>
      <c r="S264" s="11" t="s">
        <v>192</v>
      </c>
    </row>
    <row r="265" spans="1:19" x14ac:dyDescent="0.3">
      <c r="A265" s="11" t="s">
        <v>531</v>
      </c>
      <c r="B265" s="11">
        <v>10930</v>
      </c>
      <c r="C265" s="11">
        <v>1</v>
      </c>
      <c r="D265" s="11" t="s">
        <v>460</v>
      </c>
      <c r="E265" s="11"/>
      <c r="F265" s="11"/>
      <c r="G265" s="11"/>
      <c r="H265" s="11">
        <v>81</v>
      </c>
      <c r="I265" s="11">
        <v>86</v>
      </c>
      <c r="J265" s="11">
        <v>76</v>
      </c>
      <c r="K265" s="11">
        <v>0</v>
      </c>
      <c r="L265" s="11">
        <v>1</v>
      </c>
      <c r="M265" s="11">
        <v>0</v>
      </c>
      <c r="N265" s="11" t="s">
        <v>187</v>
      </c>
      <c r="O265" s="11" t="s">
        <v>187</v>
      </c>
      <c r="P265" s="11" t="s">
        <v>187</v>
      </c>
      <c r="Q265" s="11" t="s">
        <v>187</v>
      </c>
      <c r="R265" s="11" t="s">
        <v>187</v>
      </c>
      <c r="S265" s="11" t="s">
        <v>187</v>
      </c>
    </row>
    <row r="266" spans="1:19" x14ac:dyDescent="0.3">
      <c r="A266" s="11" t="s">
        <v>531</v>
      </c>
      <c r="B266" s="11">
        <v>10931</v>
      </c>
      <c r="C266" s="11">
        <v>2</v>
      </c>
      <c r="D266" s="11" t="s">
        <v>461</v>
      </c>
      <c r="E266" s="11"/>
      <c r="F266" s="11"/>
      <c r="G266" s="11"/>
      <c r="H266" s="11">
        <v>23</v>
      </c>
      <c r="I266" s="11">
        <v>23</v>
      </c>
      <c r="J266" s="11">
        <v>45</v>
      </c>
      <c r="K266" s="11">
        <v>0</v>
      </c>
      <c r="L266" s="11">
        <v>3</v>
      </c>
      <c r="M266" s="11">
        <v>3</v>
      </c>
      <c r="N266" s="11" t="s">
        <v>187</v>
      </c>
      <c r="O266" s="11" t="s">
        <v>191</v>
      </c>
      <c r="P266" s="11" t="s">
        <v>191</v>
      </c>
      <c r="Q266" s="11" t="s">
        <v>191</v>
      </c>
      <c r="R266" s="11" t="s">
        <v>187</v>
      </c>
      <c r="S266" s="11" t="s">
        <v>192</v>
      </c>
    </row>
    <row r="267" spans="1:19" x14ac:dyDescent="0.3">
      <c r="A267" s="11" t="s">
        <v>531</v>
      </c>
      <c r="B267" s="11">
        <v>11001</v>
      </c>
      <c r="C267" s="11">
        <v>2</v>
      </c>
      <c r="D267" s="11" t="s">
        <v>462</v>
      </c>
      <c r="E267" s="11"/>
      <c r="F267" s="11"/>
      <c r="G267" s="11"/>
      <c r="H267" s="11">
        <v>32</v>
      </c>
      <c r="I267" s="11">
        <v>31</v>
      </c>
      <c r="J267" s="11">
        <v>26</v>
      </c>
      <c r="K267" s="11">
        <v>0</v>
      </c>
      <c r="L267" s="11">
        <v>1</v>
      </c>
      <c r="M267" s="11">
        <v>3</v>
      </c>
      <c r="N267" s="11" t="s">
        <v>187</v>
      </c>
      <c r="O267" s="11" t="s">
        <v>187</v>
      </c>
      <c r="P267" s="11" t="s">
        <v>187</v>
      </c>
      <c r="Q267" s="11" t="s">
        <v>187</v>
      </c>
      <c r="R267" s="11" t="s">
        <v>187</v>
      </c>
      <c r="S267" s="11" t="s">
        <v>187</v>
      </c>
    </row>
    <row r="268" spans="1:19" x14ac:dyDescent="0.3">
      <c r="A268" s="11" t="s">
        <v>531</v>
      </c>
      <c r="B268" s="11">
        <v>11002</v>
      </c>
      <c r="C268" s="11">
        <v>2</v>
      </c>
      <c r="D268" s="11" t="s">
        <v>463</v>
      </c>
      <c r="E268" s="11"/>
      <c r="F268" s="11"/>
      <c r="G268" s="11"/>
      <c r="H268" s="11">
        <v>77</v>
      </c>
      <c r="I268" s="11">
        <v>65</v>
      </c>
      <c r="J268" s="11">
        <v>76</v>
      </c>
      <c r="K268" s="11">
        <v>0</v>
      </c>
      <c r="L268" s="11">
        <v>5</v>
      </c>
      <c r="M268" s="11">
        <v>0</v>
      </c>
      <c r="N268" s="11" t="s">
        <v>192</v>
      </c>
      <c r="O268" s="11" t="s">
        <v>192</v>
      </c>
      <c r="P268" s="11" t="s">
        <v>192</v>
      </c>
      <c r="Q268" s="11" t="s">
        <v>192</v>
      </c>
      <c r="R268" s="11" t="s">
        <v>192</v>
      </c>
      <c r="S268" s="11" t="s">
        <v>192</v>
      </c>
    </row>
    <row r="269" spans="1:19" x14ac:dyDescent="0.3">
      <c r="A269" s="11" t="s">
        <v>531</v>
      </c>
      <c r="B269" s="11">
        <v>11003</v>
      </c>
      <c r="C269" s="11">
        <v>2</v>
      </c>
      <c r="D269" s="11" t="s">
        <v>464</v>
      </c>
      <c r="E269" s="11"/>
      <c r="F269" s="11"/>
      <c r="G269" s="11"/>
      <c r="H269" s="11">
        <v>81</v>
      </c>
      <c r="I269" s="11">
        <v>86</v>
      </c>
      <c r="J269" s="11">
        <v>76</v>
      </c>
      <c r="K269" s="11">
        <v>0</v>
      </c>
      <c r="L269" s="11">
        <v>1</v>
      </c>
      <c r="M269" s="11">
        <v>0</v>
      </c>
      <c r="N269" s="11" t="s">
        <v>187</v>
      </c>
      <c r="O269" s="11" t="s">
        <v>187</v>
      </c>
      <c r="P269" s="11" t="s">
        <v>187</v>
      </c>
      <c r="Q269" s="11" t="s">
        <v>187</v>
      </c>
      <c r="R269" s="11" t="s">
        <v>187</v>
      </c>
      <c r="S269" s="11" t="s">
        <v>187</v>
      </c>
    </row>
    <row r="270" spans="1:19" x14ac:dyDescent="0.3">
      <c r="A270" s="11" t="s">
        <v>531</v>
      </c>
      <c r="B270" s="11">
        <v>11004</v>
      </c>
      <c r="C270" s="11">
        <v>2</v>
      </c>
      <c r="D270" s="11" t="s">
        <v>465</v>
      </c>
      <c r="E270" s="11"/>
      <c r="F270" s="11"/>
      <c r="G270" s="11"/>
      <c r="H270" s="11">
        <v>23</v>
      </c>
      <c r="I270" s="11">
        <v>23</v>
      </c>
      <c r="J270" s="11">
        <v>45</v>
      </c>
      <c r="K270" s="11">
        <v>0</v>
      </c>
      <c r="L270" s="11">
        <v>3</v>
      </c>
      <c r="M270" s="11">
        <v>3</v>
      </c>
      <c r="N270" s="11" t="s">
        <v>187</v>
      </c>
      <c r="O270" s="11" t="s">
        <v>191</v>
      </c>
      <c r="P270" s="11" t="s">
        <v>191</v>
      </c>
      <c r="Q270" s="11" t="s">
        <v>191</v>
      </c>
      <c r="R270" s="11" t="s">
        <v>187</v>
      </c>
      <c r="S270" s="11" t="s">
        <v>192</v>
      </c>
    </row>
    <row r="271" spans="1:19" x14ac:dyDescent="0.3">
      <c r="A271" s="11" t="s">
        <v>531</v>
      </c>
      <c r="B271" s="11">
        <v>11005</v>
      </c>
      <c r="C271" s="11">
        <v>2</v>
      </c>
      <c r="D271" s="11" t="s">
        <v>466</v>
      </c>
      <c r="E271" s="11"/>
      <c r="F271" s="11"/>
      <c r="G271" s="11"/>
      <c r="H271" s="11">
        <v>32</v>
      </c>
      <c r="I271" s="11">
        <v>31</v>
      </c>
      <c r="J271" s="11">
        <v>26</v>
      </c>
      <c r="K271" s="11">
        <v>0</v>
      </c>
      <c r="L271" s="11">
        <v>1</v>
      </c>
      <c r="M271" s="11">
        <v>3</v>
      </c>
      <c r="N271" s="11" t="s">
        <v>187</v>
      </c>
      <c r="O271" s="11" t="s">
        <v>187</v>
      </c>
      <c r="P271" s="11" t="s">
        <v>187</v>
      </c>
      <c r="Q271" s="11" t="s">
        <v>187</v>
      </c>
      <c r="R271" s="11" t="s">
        <v>187</v>
      </c>
      <c r="S271" s="11" t="s">
        <v>187</v>
      </c>
    </row>
    <row r="272" spans="1:19" x14ac:dyDescent="0.3">
      <c r="A272" s="11" t="s">
        <v>531</v>
      </c>
      <c r="B272" s="11">
        <v>11006</v>
      </c>
      <c r="C272" s="11">
        <v>2</v>
      </c>
      <c r="D272" s="11" t="s">
        <v>467</v>
      </c>
      <c r="E272" s="11"/>
      <c r="F272" s="11"/>
      <c r="G272" s="11"/>
      <c r="H272" s="11">
        <v>77</v>
      </c>
      <c r="I272" s="11">
        <v>65</v>
      </c>
      <c r="J272" s="11">
        <v>76</v>
      </c>
      <c r="K272" s="11">
        <v>0</v>
      </c>
      <c r="L272" s="11">
        <v>5</v>
      </c>
      <c r="M272" s="11">
        <v>0</v>
      </c>
      <c r="N272" s="11" t="s">
        <v>192</v>
      </c>
      <c r="O272" s="11" t="s">
        <v>192</v>
      </c>
      <c r="P272" s="11" t="s">
        <v>192</v>
      </c>
      <c r="Q272" s="11" t="s">
        <v>192</v>
      </c>
      <c r="R272" s="11" t="s">
        <v>192</v>
      </c>
      <c r="S272" s="11" t="s">
        <v>192</v>
      </c>
    </row>
    <row r="273" spans="1:19" x14ac:dyDescent="0.3">
      <c r="A273" s="11" t="s">
        <v>531</v>
      </c>
      <c r="B273" s="11">
        <v>11007</v>
      </c>
      <c r="C273" s="11">
        <v>2</v>
      </c>
      <c r="D273" s="11" t="s">
        <v>468</v>
      </c>
      <c r="E273" s="11"/>
      <c r="F273" s="11"/>
      <c r="G273" s="11"/>
      <c r="H273" s="11">
        <v>81</v>
      </c>
      <c r="I273" s="11">
        <v>86</v>
      </c>
      <c r="J273" s="11">
        <v>76</v>
      </c>
      <c r="K273" s="11">
        <v>0</v>
      </c>
      <c r="L273" s="11">
        <v>1</v>
      </c>
      <c r="M273" s="11">
        <v>0</v>
      </c>
      <c r="N273" s="11" t="s">
        <v>187</v>
      </c>
      <c r="O273" s="11" t="s">
        <v>187</v>
      </c>
      <c r="P273" s="11" t="s">
        <v>187</v>
      </c>
      <c r="Q273" s="11" t="s">
        <v>187</v>
      </c>
      <c r="R273" s="11" t="s">
        <v>187</v>
      </c>
      <c r="S273" s="11" t="s">
        <v>187</v>
      </c>
    </row>
    <row r="274" spans="1:19" x14ac:dyDescent="0.3">
      <c r="A274" s="11" t="s">
        <v>531</v>
      </c>
      <c r="B274" s="11">
        <v>11008</v>
      </c>
      <c r="C274" s="11">
        <v>2</v>
      </c>
      <c r="D274" s="11" t="s">
        <v>327</v>
      </c>
      <c r="E274" s="11"/>
      <c r="F274" s="11"/>
      <c r="G274" s="11"/>
      <c r="H274" s="11">
        <v>23</v>
      </c>
      <c r="I274" s="11">
        <v>23</v>
      </c>
      <c r="J274" s="11">
        <v>45</v>
      </c>
      <c r="K274" s="11">
        <v>0</v>
      </c>
      <c r="L274" s="11">
        <v>3</v>
      </c>
      <c r="M274" s="11">
        <v>3</v>
      </c>
      <c r="N274" s="11" t="s">
        <v>187</v>
      </c>
      <c r="O274" s="11" t="s">
        <v>191</v>
      </c>
      <c r="P274" s="11" t="s">
        <v>191</v>
      </c>
      <c r="Q274" s="11" t="s">
        <v>191</v>
      </c>
      <c r="R274" s="11" t="s">
        <v>187</v>
      </c>
      <c r="S274" s="11" t="s">
        <v>192</v>
      </c>
    </row>
    <row r="275" spans="1:19" x14ac:dyDescent="0.3">
      <c r="A275" s="11" t="s">
        <v>531</v>
      </c>
      <c r="B275" s="11">
        <v>11009</v>
      </c>
      <c r="C275" s="11">
        <v>2</v>
      </c>
      <c r="D275" s="11" t="s">
        <v>469</v>
      </c>
      <c r="E275" s="11"/>
      <c r="F275" s="11"/>
      <c r="G275" s="11"/>
      <c r="H275" s="11">
        <v>32</v>
      </c>
      <c r="I275" s="11">
        <v>31</v>
      </c>
      <c r="J275" s="11">
        <v>26</v>
      </c>
      <c r="K275" s="11">
        <v>0</v>
      </c>
      <c r="L275" s="11">
        <v>1</v>
      </c>
      <c r="M275" s="11">
        <v>3</v>
      </c>
      <c r="N275" s="11" t="s">
        <v>187</v>
      </c>
      <c r="O275" s="11" t="s">
        <v>187</v>
      </c>
      <c r="P275" s="11" t="s">
        <v>187</v>
      </c>
      <c r="Q275" s="11" t="s">
        <v>187</v>
      </c>
      <c r="R275" s="11" t="s">
        <v>187</v>
      </c>
      <c r="S275" s="11" t="s">
        <v>187</v>
      </c>
    </row>
    <row r="276" spans="1:19" x14ac:dyDescent="0.3">
      <c r="A276" s="11" t="s">
        <v>531</v>
      </c>
      <c r="B276" s="11">
        <v>11010</v>
      </c>
      <c r="C276" s="11">
        <v>2</v>
      </c>
      <c r="D276" s="11" t="s">
        <v>470</v>
      </c>
      <c r="E276" s="11"/>
      <c r="F276" s="11"/>
      <c r="G276" s="11"/>
      <c r="H276" s="11">
        <v>77</v>
      </c>
      <c r="I276" s="11">
        <v>65</v>
      </c>
      <c r="J276" s="11">
        <v>76</v>
      </c>
      <c r="K276" s="11">
        <v>0</v>
      </c>
      <c r="L276" s="11">
        <v>5</v>
      </c>
      <c r="M276" s="11">
        <v>0</v>
      </c>
      <c r="N276" s="11" t="s">
        <v>192</v>
      </c>
      <c r="O276" s="11" t="s">
        <v>192</v>
      </c>
      <c r="P276" s="11" t="s">
        <v>192</v>
      </c>
      <c r="Q276" s="11" t="s">
        <v>192</v>
      </c>
      <c r="R276" s="11" t="s">
        <v>192</v>
      </c>
      <c r="S276" s="11" t="s">
        <v>192</v>
      </c>
    </row>
    <row r="277" spans="1:19" x14ac:dyDescent="0.3">
      <c r="A277" s="11" t="s">
        <v>531</v>
      </c>
      <c r="B277" s="11">
        <v>11011</v>
      </c>
      <c r="C277" s="11">
        <v>2</v>
      </c>
      <c r="D277" s="11" t="s">
        <v>471</v>
      </c>
      <c r="E277" s="11"/>
      <c r="F277" s="11"/>
      <c r="G277" s="11"/>
      <c r="H277" s="11">
        <v>81</v>
      </c>
      <c r="I277" s="11">
        <v>86</v>
      </c>
      <c r="J277" s="11">
        <v>76</v>
      </c>
      <c r="K277" s="11">
        <v>0</v>
      </c>
      <c r="L277" s="11">
        <v>1</v>
      </c>
      <c r="M277" s="11">
        <v>0</v>
      </c>
      <c r="N277" s="11" t="s">
        <v>187</v>
      </c>
      <c r="O277" s="11" t="s">
        <v>187</v>
      </c>
      <c r="P277" s="11" t="s">
        <v>187</v>
      </c>
      <c r="Q277" s="11" t="s">
        <v>187</v>
      </c>
      <c r="R277" s="11" t="s">
        <v>187</v>
      </c>
      <c r="S277" s="11" t="s">
        <v>187</v>
      </c>
    </row>
    <row r="278" spans="1:19" x14ac:dyDescent="0.3">
      <c r="A278" s="11" t="s">
        <v>531</v>
      </c>
      <c r="B278" s="11">
        <v>11012</v>
      </c>
      <c r="C278" s="11">
        <v>2</v>
      </c>
      <c r="D278" s="11" t="s">
        <v>472</v>
      </c>
      <c r="E278" s="11"/>
      <c r="F278" s="11"/>
      <c r="G278" s="11"/>
      <c r="H278" s="11">
        <v>23</v>
      </c>
      <c r="I278" s="11">
        <v>23</v>
      </c>
      <c r="J278" s="11">
        <v>45</v>
      </c>
      <c r="K278" s="11">
        <v>0</v>
      </c>
      <c r="L278" s="11">
        <v>3</v>
      </c>
      <c r="M278" s="11">
        <v>3</v>
      </c>
      <c r="N278" s="11" t="s">
        <v>187</v>
      </c>
      <c r="O278" s="11" t="s">
        <v>191</v>
      </c>
      <c r="P278" s="11" t="s">
        <v>191</v>
      </c>
      <c r="Q278" s="11" t="s">
        <v>191</v>
      </c>
      <c r="R278" s="11" t="s">
        <v>187</v>
      </c>
      <c r="S278" s="11" t="s">
        <v>192</v>
      </c>
    </row>
    <row r="279" spans="1:19" x14ac:dyDescent="0.3">
      <c r="A279" s="11" t="s">
        <v>531</v>
      </c>
      <c r="B279" s="11">
        <v>11014</v>
      </c>
      <c r="C279" s="11">
        <v>2</v>
      </c>
      <c r="D279" s="11" t="s">
        <v>473</v>
      </c>
      <c r="E279" s="11"/>
      <c r="F279" s="11"/>
      <c r="G279" s="11"/>
      <c r="H279" s="11">
        <v>32</v>
      </c>
      <c r="I279" s="11">
        <v>31</v>
      </c>
      <c r="J279" s="11">
        <v>26</v>
      </c>
      <c r="K279" s="11">
        <v>0</v>
      </c>
      <c r="L279" s="11">
        <v>1</v>
      </c>
      <c r="M279" s="11">
        <v>3</v>
      </c>
      <c r="N279" s="11" t="s">
        <v>187</v>
      </c>
      <c r="O279" s="11" t="s">
        <v>187</v>
      </c>
      <c r="P279" s="11" t="s">
        <v>187</v>
      </c>
      <c r="Q279" s="11" t="s">
        <v>187</v>
      </c>
      <c r="R279" s="11" t="s">
        <v>187</v>
      </c>
      <c r="S279" s="11" t="s">
        <v>187</v>
      </c>
    </row>
    <row r="280" spans="1:19" x14ac:dyDescent="0.3">
      <c r="A280" s="11" t="s">
        <v>531</v>
      </c>
      <c r="B280" s="11">
        <v>11015</v>
      </c>
      <c r="C280" s="11">
        <v>1</v>
      </c>
      <c r="D280" s="11" t="s">
        <v>474</v>
      </c>
      <c r="E280" s="11"/>
      <c r="F280" s="11"/>
      <c r="G280" s="11"/>
      <c r="H280" s="11">
        <v>77</v>
      </c>
      <c r="I280" s="11">
        <v>65</v>
      </c>
      <c r="J280" s="11">
        <v>76</v>
      </c>
      <c r="K280" s="11">
        <v>0</v>
      </c>
      <c r="L280" s="11">
        <v>5</v>
      </c>
      <c r="M280" s="11">
        <v>0</v>
      </c>
      <c r="N280" s="11" t="s">
        <v>192</v>
      </c>
      <c r="O280" s="11" t="s">
        <v>192</v>
      </c>
      <c r="P280" s="11" t="s">
        <v>192</v>
      </c>
      <c r="Q280" s="11" t="s">
        <v>192</v>
      </c>
      <c r="R280" s="11" t="s">
        <v>192</v>
      </c>
      <c r="S280" s="11" t="s">
        <v>192</v>
      </c>
    </row>
    <row r="281" spans="1:19" x14ac:dyDescent="0.3">
      <c r="A281" s="11" t="s">
        <v>531</v>
      </c>
      <c r="B281" s="11">
        <v>11016</v>
      </c>
      <c r="C281" s="11">
        <v>1</v>
      </c>
      <c r="D281" s="11" t="s">
        <v>475</v>
      </c>
      <c r="E281" s="11"/>
      <c r="F281" s="11"/>
      <c r="G281" s="11"/>
      <c r="H281" s="11">
        <v>81</v>
      </c>
      <c r="I281" s="11">
        <v>86</v>
      </c>
      <c r="J281" s="11">
        <v>76</v>
      </c>
      <c r="K281" s="11">
        <v>0</v>
      </c>
      <c r="L281" s="11">
        <v>1</v>
      </c>
      <c r="M281" s="11">
        <v>0</v>
      </c>
      <c r="N281" s="11" t="s">
        <v>187</v>
      </c>
      <c r="O281" s="11" t="s">
        <v>187</v>
      </c>
      <c r="P281" s="11" t="s">
        <v>187</v>
      </c>
      <c r="Q281" s="11" t="s">
        <v>187</v>
      </c>
      <c r="R281" s="11" t="s">
        <v>187</v>
      </c>
      <c r="S281" s="11" t="s">
        <v>187</v>
      </c>
    </row>
    <row r="282" spans="1:19" x14ac:dyDescent="0.3">
      <c r="A282" s="11" t="s">
        <v>531</v>
      </c>
      <c r="B282" s="11">
        <v>11017</v>
      </c>
      <c r="C282" s="11">
        <v>1</v>
      </c>
      <c r="D282" s="11" t="s">
        <v>476</v>
      </c>
      <c r="E282" s="11"/>
      <c r="F282" s="11"/>
      <c r="G282" s="11"/>
      <c r="H282" s="11">
        <v>23</v>
      </c>
      <c r="I282" s="11">
        <v>23</v>
      </c>
      <c r="J282" s="11">
        <v>45</v>
      </c>
      <c r="K282" s="11">
        <v>0</v>
      </c>
      <c r="L282" s="11">
        <v>3</v>
      </c>
      <c r="M282" s="11">
        <v>3</v>
      </c>
      <c r="N282" s="11" t="s">
        <v>187</v>
      </c>
      <c r="O282" s="11" t="s">
        <v>191</v>
      </c>
      <c r="P282" s="11" t="s">
        <v>191</v>
      </c>
      <c r="Q282" s="11" t="s">
        <v>191</v>
      </c>
      <c r="R282" s="11" t="s">
        <v>187</v>
      </c>
      <c r="S282" s="11" t="s">
        <v>192</v>
      </c>
    </row>
    <row r="283" spans="1:19" x14ac:dyDescent="0.3">
      <c r="A283" s="11" t="s">
        <v>531</v>
      </c>
      <c r="B283" s="11">
        <v>11019</v>
      </c>
      <c r="C283" s="11">
        <v>1</v>
      </c>
      <c r="D283" s="11" t="s">
        <v>477</v>
      </c>
      <c r="E283" s="11"/>
      <c r="F283" s="11"/>
      <c r="G283" s="11"/>
      <c r="H283" s="11">
        <v>32</v>
      </c>
      <c r="I283" s="11">
        <v>31</v>
      </c>
      <c r="J283" s="11">
        <v>26</v>
      </c>
      <c r="K283" s="11">
        <v>0</v>
      </c>
      <c r="L283" s="11">
        <v>1</v>
      </c>
      <c r="M283" s="11">
        <v>3</v>
      </c>
      <c r="N283" s="11" t="s">
        <v>187</v>
      </c>
      <c r="O283" s="11" t="s">
        <v>187</v>
      </c>
      <c r="P283" s="11" t="s">
        <v>187</v>
      </c>
      <c r="Q283" s="11" t="s">
        <v>187</v>
      </c>
      <c r="R283" s="11" t="s">
        <v>187</v>
      </c>
      <c r="S283" s="11" t="s">
        <v>187</v>
      </c>
    </row>
    <row r="284" spans="1:19" x14ac:dyDescent="0.3">
      <c r="A284" s="11" t="s">
        <v>531</v>
      </c>
      <c r="B284" s="11">
        <v>11020</v>
      </c>
      <c r="C284" s="11">
        <v>1</v>
      </c>
      <c r="D284" s="11" t="s">
        <v>478</v>
      </c>
      <c r="E284" s="11"/>
      <c r="F284" s="11"/>
      <c r="G284" s="11"/>
      <c r="H284" s="11">
        <v>77</v>
      </c>
      <c r="I284" s="11">
        <v>65</v>
      </c>
      <c r="J284" s="11">
        <v>76</v>
      </c>
      <c r="K284" s="11">
        <v>0</v>
      </c>
      <c r="L284" s="11">
        <v>5</v>
      </c>
      <c r="M284" s="11">
        <v>0</v>
      </c>
      <c r="N284" s="11" t="s">
        <v>192</v>
      </c>
      <c r="O284" s="11" t="s">
        <v>192</v>
      </c>
      <c r="P284" s="11" t="s">
        <v>192</v>
      </c>
      <c r="Q284" s="11" t="s">
        <v>192</v>
      </c>
      <c r="R284" s="11" t="s">
        <v>192</v>
      </c>
      <c r="S284" s="11" t="s">
        <v>192</v>
      </c>
    </row>
    <row r="285" spans="1:19" x14ac:dyDescent="0.3">
      <c r="A285" s="11" t="s">
        <v>531</v>
      </c>
      <c r="B285" s="11">
        <v>11021</v>
      </c>
      <c r="C285" s="11">
        <v>1</v>
      </c>
      <c r="D285" s="11" t="s">
        <v>479</v>
      </c>
      <c r="E285" s="11"/>
      <c r="F285" s="11"/>
      <c r="G285" s="11"/>
      <c r="H285" s="11">
        <v>81</v>
      </c>
      <c r="I285" s="11">
        <v>86</v>
      </c>
      <c r="J285" s="11">
        <v>76</v>
      </c>
      <c r="K285" s="11">
        <v>0</v>
      </c>
      <c r="L285" s="11">
        <v>1</v>
      </c>
      <c r="M285" s="11">
        <v>0</v>
      </c>
      <c r="N285" s="11" t="s">
        <v>187</v>
      </c>
      <c r="O285" s="11" t="s">
        <v>187</v>
      </c>
      <c r="P285" s="11" t="s">
        <v>187</v>
      </c>
      <c r="Q285" s="11" t="s">
        <v>187</v>
      </c>
      <c r="R285" s="11" t="s">
        <v>187</v>
      </c>
      <c r="S285" s="11" t="s">
        <v>187</v>
      </c>
    </row>
    <row r="286" spans="1:19" x14ac:dyDescent="0.3">
      <c r="A286" s="11" t="s">
        <v>531</v>
      </c>
      <c r="B286" s="11">
        <v>11022</v>
      </c>
      <c r="C286" s="11">
        <v>1</v>
      </c>
      <c r="D286" s="11" t="s">
        <v>480</v>
      </c>
      <c r="E286" s="11"/>
      <c r="F286" s="11"/>
      <c r="G286" s="11"/>
      <c r="H286" s="11">
        <v>23</v>
      </c>
      <c r="I286" s="11">
        <v>23</v>
      </c>
      <c r="J286" s="11">
        <v>45</v>
      </c>
      <c r="K286" s="11">
        <v>0</v>
      </c>
      <c r="L286" s="11">
        <v>3</v>
      </c>
      <c r="M286" s="11">
        <v>3</v>
      </c>
      <c r="N286" s="11" t="s">
        <v>187</v>
      </c>
      <c r="O286" s="11" t="s">
        <v>191</v>
      </c>
      <c r="P286" s="11" t="s">
        <v>191</v>
      </c>
      <c r="Q286" s="11" t="s">
        <v>191</v>
      </c>
      <c r="R286" s="11" t="s">
        <v>187</v>
      </c>
      <c r="S286" s="11" t="s">
        <v>192</v>
      </c>
    </row>
    <row r="287" spans="1:19" x14ac:dyDescent="0.3">
      <c r="A287" s="11" t="s">
        <v>531</v>
      </c>
      <c r="B287" s="11">
        <v>11023</v>
      </c>
      <c r="C287" s="11">
        <v>1</v>
      </c>
      <c r="D287" s="11" t="s">
        <v>481</v>
      </c>
      <c r="E287" s="11"/>
      <c r="F287" s="11"/>
      <c r="G287" s="11"/>
      <c r="H287" s="11">
        <v>32</v>
      </c>
      <c r="I287" s="11">
        <v>31</v>
      </c>
      <c r="J287" s="11">
        <v>26</v>
      </c>
      <c r="K287" s="11">
        <v>0</v>
      </c>
      <c r="L287" s="11">
        <v>1</v>
      </c>
      <c r="M287" s="11">
        <v>3</v>
      </c>
      <c r="N287" s="11" t="s">
        <v>187</v>
      </c>
      <c r="O287" s="11" t="s">
        <v>187</v>
      </c>
      <c r="P287" s="11" t="s">
        <v>187</v>
      </c>
      <c r="Q287" s="11" t="s">
        <v>187</v>
      </c>
      <c r="R287" s="11" t="s">
        <v>187</v>
      </c>
      <c r="S287" s="11" t="s">
        <v>187</v>
      </c>
    </row>
    <row r="288" spans="1:19" x14ac:dyDescent="0.3">
      <c r="A288" s="11" t="s">
        <v>531</v>
      </c>
      <c r="B288" s="11">
        <v>11024</v>
      </c>
      <c r="C288" s="11">
        <v>1</v>
      </c>
      <c r="D288" s="11" t="s">
        <v>482</v>
      </c>
      <c r="E288" s="11"/>
      <c r="F288" s="11"/>
      <c r="G288" s="11"/>
      <c r="H288" s="11">
        <v>77</v>
      </c>
      <c r="I288" s="11">
        <v>65</v>
      </c>
      <c r="J288" s="11">
        <v>76</v>
      </c>
      <c r="K288" s="11">
        <v>0</v>
      </c>
      <c r="L288" s="11">
        <v>5</v>
      </c>
      <c r="M288" s="11">
        <v>0</v>
      </c>
      <c r="N288" s="11" t="s">
        <v>192</v>
      </c>
      <c r="O288" s="11" t="s">
        <v>192</v>
      </c>
      <c r="P288" s="11" t="s">
        <v>192</v>
      </c>
      <c r="Q288" s="11" t="s">
        <v>192</v>
      </c>
      <c r="R288" s="11" t="s">
        <v>192</v>
      </c>
      <c r="S288" s="11" t="s">
        <v>192</v>
      </c>
    </row>
    <row r="289" spans="1:19" x14ac:dyDescent="0.3">
      <c r="A289" s="11" t="s">
        <v>531</v>
      </c>
      <c r="B289" s="11">
        <v>11025</v>
      </c>
      <c r="C289" s="11">
        <v>1</v>
      </c>
      <c r="D289" s="11" t="s">
        <v>483</v>
      </c>
      <c r="E289" s="11"/>
      <c r="F289" s="11"/>
      <c r="G289" s="11"/>
      <c r="H289" s="11">
        <v>81</v>
      </c>
      <c r="I289" s="11">
        <v>86</v>
      </c>
      <c r="J289" s="11">
        <v>76</v>
      </c>
      <c r="K289" s="11">
        <v>0</v>
      </c>
      <c r="L289" s="11">
        <v>1</v>
      </c>
      <c r="M289" s="11">
        <v>0</v>
      </c>
      <c r="N289" s="11" t="s">
        <v>187</v>
      </c>
      <c r="O289" s="11" t="s">
        <v>187</v>
      </c>
      <c r="P289" s="11" t="s">
        <v>187</v>
      </c>
      <c r="Q289" s="11" t="s">
        <v>187</v>
      </c>
      <c r="R289" s="11" t="s">
        <v>187</v>
      </c>
      <c r="S289" s="11" t="s">
        <v>187</v>
      </c>
    </row>
    <row r="290" spans="1:19" x14ac:dyDescent="0.3">
      <c r="A290" s="11" t="s">
        <v>531</v>
      </c>
      <c r="B290" s="11">
        <v>11026</v>
      </c>
      <c r="C290" s="11">
        <v>1</v>
      </c>
      <c r="D290" s="11" t="s">
        <v>484</v>
      </c>
      <c r="E290" s="11"/>
      <c r="F290" s="11"/>
      <c r="G290" s="11"/>
      <c r="H290" s="11">
        <v>23</v>
      </c>
      <c r="I290" s="11">
        <v>23</v>
      </c>
      <c r="J290" s="11">
        <v>45</v>
      </c>
      <c r="K290" s="11">
        <v>0</v>
      </c>
      <c r="L290" s="11">
        <v>3</v>
      </c>
      <c r="M290" s="11">
        <v>3</v>
      </c>
      <c r="N290" s="11" t="s">
        <v>187</v>
      </c>
      <c r="O290" s="11" t="s">
        <v>191</v>
      </c>
      <c r="P290" s="11" t="s">
        <v>191</v>
      </c>
      <c r="Q290" s="11" t="s">
        <v>191</v>
      </c>
      <c r="R290" s="11" t="s">
        <v>187</v>
      </c>
      <c r="S290" s="11" t="s">
        <v>192</v>
      </c>
    </row>
    <row r="291" spans="1:19" x14ac:dyDescent="0.3">
      <c r="A291" s="11" t="s">
        <v>531</v>
      </c>
      <c r="B291" s="11">
        <v>11027</v>
      </c>
      <c r="C291" s="11">
        <v>1</v>
      </c>
      <c r="D291" s="11" t="s">
        <v>485</v>
      </c>
      <c r="E291" s="11"/>
      <c r="F291" s="11"/>
      <c r="G291" s="11"/>
      <c r="H291" s="11">
        <v>32</v>
      </c>
      <c r="I291" s="11">
        <v>31</v>
      </c>
      <c r="J291" s="11">
        <v>26</v>
      </c>
      <c r="K291" s="11">
        <v>0</v>
      </c>
      <c r="L291" s="11">
        <v>1</v>
      </c>
      <c r="M291" s="11">
        <v>3</v>
      </c>
      <c r="N291" s="11" t="s">
        <v>187</v>
      </c>
      <c r="O291" s="11" t="s">
        <v>187</v>
      </c>
      <c r="P291" s="11" t="s">
        <v>187</v>
      </c>
      <c r="Q291" s="11" t="s">
        <v>187</v>
      </c>
      <c r="R291" s="11" t="s">
        <v>187</v>
      </c>
      <c r="S291" s="11" t="s">
        <v>187</v>
      </c>
    </row>
    <row r="292" spans="1:19" x14ac:dyDescent="0.3">
      <c r="A292" s="11" t="s">
        <v>531</v>
      </c>
      <c r="B292" s="11">
        <v>11028</v>
      </c>
      <c r="C292" s="11">
        <v>1</v>
      </c>
      <c r="D292" s="11" t="s">
        <v>486</v>
      </c>
      <c r="E292" s="11"/>
      <c r="F292" s="11"/>
      <c r="G292" s="11"/>
      <c r="H292" s="11">
        <v>77</v>
      </c>
      <c r="I292" s="11">
        <v>65</v>
      </c>
      <c r="J292" s="11">
        <v>76</v>
      </c>
      <c r="K292" s="11">
        <v>0</v>
      </c>
      <c r="L292" s="11">
        <v>5</v>
      </c>
      <c r="M292" s="11">
        <v>0</v>
      </c>
      <c r="N292" s="11" t="s">
        <v>192</v>
      </c>
      <c r="O292" s="11" t="s">
        <v>192</v>
      </c>
      <c r="P292" s="11" t="s">
        <v>192</v>
      </c>
      <c r="Q292" s="11" t="s">
        <v>192</v>
      </c>
      <c r="R292" s="11" t="s">
        <v>192</v>
      </c>
      <c r="S292" s="11" t="s">
        <v>192</v>
      </c>
    </row>
    <row r="293" spans="1:19" x14ac:dyDescent="0.3">
      <c r="A293" s="11" t="s">
        <v>531</v>
      </c>
      <c r="B293" s="11">
        <v>11029</v>
      </c>
      <c r="C293" s="11">
        <v>1</v>
      </c>
      <c r="D293" s="11" t="s">
        <v>487</v>
      </c>
      <c r="E293" s="11"/>
      <c r="F293" s="11"/>
      <c r="G293" s="11"/>
      <c r="H293" s="11">
        <v>81</v>
      </c>
      <c r="I293" s="11">
        <v>86</v>
      </c>
      <c r="J293" s="11">
        <v>76</v>
      </c>
      <c r="K293" s="11">
        <v>0</v>
      </c>
      <c r="L293" s="11">
        <v>1</v>
      </c>
      <c r="M293" s="11">
        <v>0</v>
      </c>
      <c r="N293" s="11" t="s">
        <v>187</v>
      </c>
      <c r="O293" s="11" t="s">
        <v>187</v>
      </c>
      <c r="P293" s="11" t="s">
        <v>187</v>
      </c>
      <c r="Q293" s="11" t="s">
        <v>187</v>
      </c>
      <c r="R293" s="11" t="s">
        <v>187</v>
      </c>
      <c r="S293" s="11" t="s">
        <v>187</v>
      </c>
    </row>
    <row r="294" spans="1:19" x14ac:dyDescent="0.3">
      <c r="A294" s="11" t="s">
        <v>531</v>
      </c>
      <c r="B294" s="11">
        <v>11030</v>
      </c>
      <c r="C294" s="11">
        <v>1</v>
      </c>
      <c r="D294" s="11" t="s">
        <v>488</v>
      </c>
      <c r="E294" s="11"/>
      <c r="F294" s="11"/>
      <c r="G294" s="11"/>
      <c r="H294" s="11">
        <v>81</v>
      </c>
      <c r="I294" s="11">
        <v>86</v>
      </c>
      <c r="J294" s="11">
        <v>76</v>
      </c>
      <c r="K294" s="11">
        <v>0</v>
      </c>
      <c r="L294" s="11">
        <v>1</v>
      </c>
      <c r="M294" s="11">
        <v>0</v>
      </c>
      <c r="N294" s="11" t="s">
        <v>187</v>
      </c>
      <c r="O294" s="11" t="s">
        <v>187</v>
      </c>
      <c r="P294" s="11" t="s">
        <v>187</v>
      </c>
      <c r="Q294" s="11" t="s">
        <v>187</v>
      </c>
      <c r="R294" s="11" t="s">
        <v>187</v>
      </c>
      <c r="S294" s="11" t="s">
        <v>187</v>
      </c>
    </row>
    <row r="295" spans="1:19" x14ac:dyDescent="0.3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</row>
    <row r="296" spans="1:19" x14ac:dyDescent="0.3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</row>
    <row r="297" spans="1:19" x14ac:dyDescent="0.3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</row>
    <row r="298" spans="1:19" x14ac:dyDescent="0.3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</row>
    <row r="299" spans="1:19" x14ac:dyDescent="0.3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</row>
    <row r="300" spans="1:19" x14ac:dyDescent="0.3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</row>
    <row r="301" spans="1:19" x14ac:dyDescent="0.3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</row>
    <row r="302" spans="1:19" x14ac:dyDescent="0.3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</row>
    <row r="303" spans="1:19" x14ac:dyDescent="0.3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</row>
    <row r="304" spans="1:19" x14ac:dyDescent="0.3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</row>
    <row r="305" spans="1:19" x14ac:dyDescent="0.3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</row>
    <row r="306" spans="1:19" x14ac:dyDescent="0.3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</row>
    <row r="307" spans="1:19" x14ac:dyDescent="0.3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</row>
    <row r="308" spans="1:19" x14ac:dyDescent="0.3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</row>
    <row r="309" spans="1:19" x14ac:dyDescent="0.3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</row>
    <row r="310" spans="1:19" x14ac:dyDescent="0.3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</row>
    <row r="311" spans="1:19" x14ac:dyDescent="0.3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</row>
    <row r="312" spans="1:19" x14ac:dyDescent="0.3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</row>
    <row r="313" spans="1:19" x14ac:dyDescent="0.3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</row>
    <row r="314" spans="1:19" x14ac:dyDescent="0.3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</row>
    <row r="315" spans="1:19" x14ac:dyDescent="0.3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</row>
    <row r="316" spans="1:19" x14ac:dyDescent="0.3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</row>
    <row r="317" spans="1:19" x14ac:dyDescent="0.3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</row>
    <row r="318" spans="1:19" x14ac:dyDescent="0.3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</row>
    <row r="319" spans="1:19" x14ac:dyDescent="0.3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</row>
    <row r="320" spans="1:19" x14ac:dyDescent="0.3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</row>
    <row r="321" spans="1:19" x14ac:dyDescent="0.3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</row>
    <row r="322" spans="1:19" x14ac:dyDescent="0.3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</row>
    <row r="323" spans="1:19" x14ac:dyDescent="0.3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</row>
    <row r="324" spans="1:19" x14ac:dyDescent="0.3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</row>
    <row r="325" spans="1:19" x14ac:dyDescent="0.3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</row>
    <row r="326" spans="1:19" x14ac:dyDescent="0.3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</row>
    <row r="327" spans="1:19" x14ac:dyDescent="0.3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</row>
    <row r="328" spans="1:19" x14ac:dyDescent="0.3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</row>
    <row r="329" spans="1:19" x14ac:dyDescent="0.3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</row>
    <row r="330" spans="1:19" x14ac:dyDescent="0.3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</row>
    <row r="331" spans="1:19" x14ac:dyDescent="0.3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</row>
    <row r="332" spans="1:19" x14ac:dyDescent="0.3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</row>
    <row r="333" spans="1:19" x14ac:dyDescent="0.3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</row>
    <row r="334" spans="1:19" x14ac:dyDescent="0.3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</row>
    <row r="335" spans="1:19" x14ac:dyDescent="0.3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</row>
    <row r="336" spans="1:19" x14ac:dyDescent="0.3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</row>
    <row r="337" spans="1:19" x14ac:dyDescent="0.3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</row>
    <row r="338" spans="1:19" x14ac:dyDescent="0.3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</row>
    <row r="339" spans="1:19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</row>
    <row r="340" spans="1:19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</row>
    <row r="341" spans="1:19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</row>
    <row r="342" spans="1:19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</row>
    <row r="343" spans="1:19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</row>
    <row r="344" spans="1:19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</row>
    <row r="345" spans="1:19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</row>
    <row r="346" spans="1:19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</row>
    <row r="347" spans="1:19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</row>
    <row r="348" spans="1:19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</row>
    <row r="349" spans="1:19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</row>
    <row r="350" spans="1:19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</row>
    <row r="351" spans="1:19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</row>
    <row r="352" spans="1:19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</row>
    <row r="353" spans="1:19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</row>
    <row r="354" spans="1:19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</row>
    <row r="355" spans="1:19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</row>
    <row r="356" spans="1:19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</row>
    <row r="357" spans="1:19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</row>
    <row r="358" spans="1:19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</row>
    <row r="359" spans="1:19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</row>
    <row r="360" spans="1:19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</row>
    <row r="361" spans="1:19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</row>
    <row r="362" spans="1:19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</row>
    <row r="363" spans="1:19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</row>
    <row r="364" spans="1:19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</row>
    <row r="365" spans="1:19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</row>
    <row r="366" spans="1:19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</row>
    <row r="367" spans="1:19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</row>
    <row r="368" spans="1:19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</row>
    <row r="369" spans="1:19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</row>
    <row r="370" spans="1:19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</row>
    <row r="371" spans="1:19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</row>
    <row r="372" spans="1:19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</row>
    <row r="373" spans="1:19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</row>
    <row r="374" spans="1:19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</row>
    <row r="375" spans="1:19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</row>
    <row r="376" spans="1:19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</row>
    <row r="377" spans="1:19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</row>
    <row r="378" spans="1:19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</row>
    <row r="379" spans="1:19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</row>
    <row r="380" spans="1:19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</row>
    <row r="381" spans="1:19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</row>
    <row r="382" spans="1:19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</row>
    <row r="383" spans="1:19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</row>
    <row r="384" spans="1:19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</row>
    <row r="385" spans="1:19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</row>
    <row r="386" spans="1:19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</row>
    <row r="387" spans="1:19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</row>
    <row r="388" spans="1:19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</row>
    <row r="389" spans="1:19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</row>
    <row r="390" spans="1:19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</row>
    <row r="391" spans="1:19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</row>
    <row r="392" spans="1:19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</row>
    <row r="393" spans="1:19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</row>
    <row r="394" spans="1:19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</row>
    <row r="395" spans="1:19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</row>
    <row r="396" spans="1:19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</row>
    <row r="397" spans="1:19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</row>
    <row r="398" spans="1:19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</row>
    <row r="399" spans="1:19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</row>
    <row r="400" spans="1:19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</row>
    <row r="401" spans="1:19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</row>
    <row r="402" spans="1:19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</row>
    <row r="403" spans="1:19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</row>
    <row r="404" spans="1:19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</row>
    <row r="405" spans="1:19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</row>
    <row r="406" spans="1:19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</row>
    <row r="407" spans="1:19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</row>
    <row r="408" spans="1:19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</row>
    <row r="409" spans="1:19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</row>
    <row r="410" spans="1:19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</row>
    <row r="411" spans="1:19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</row>
    <row r="412" spans="1:19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</row>
    <row r="413" spans="1:19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</row>
    <row r="414" spans="1:19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</row>
    <row r="415" spans="1:19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</row>
    <row r="416" spans="1:19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</row>
    <row r="417" spans="1:19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</row>
    <row r="418" spans="1:19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</row>
    <row r="419" spans="1:19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</row>
    <row r="420" spans="1:19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</row>
    <row r="421" spans="1:19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</row>
    <row r="422" spans="1:19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</row>
    <row r="423" spans="1:19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</row>
    <row r="424" spans="1:19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</row>
    <row r="425" spans="1:19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</row>
    <row r="426" spans="1:19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</row>
    <row r="427" spans="1:19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</row>
    <row r="428" spans="1:19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</row>
    <row r="429" spans="1:19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</row>
    <row r="430" spans="1:19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</row>
    <row r="431" spans="1:19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</row>
    <row r="432" spans="1:19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</row>
    <row r="433" spans="1:19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</row>
    <row r="434" spans="1:19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</row>
    <row r="435" spans="1:19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</row>
    <row r="436" spans="1:19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</row>
    <row r="437" spans="1:19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</row>
    <row r="438" spans="1:19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</row>
    <row r="439" spans="1:19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</row>
    <row r="440" spans="1:19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</row>
    <row r="441" spans="1:19" x14ac:dyDescent="0.3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</row>
    <row r="442" spans="1:19" x14ac:dyDescent="0.3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</row>
    <row r="443" spans="1:19" x14ac:dyDescent="0.3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</row>
    <row r="444" spans="1:19" x14ac:dyDescent="0.3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</row>
    <row r="445" spans="1:19" x14ac:dyDescent="0.3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</row>
    <row r="446" spans="1:19" x14ac:dyDescent="0.3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</row>
    <row r="447" spans="1:19" x14ac:dyDescent="0.3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</row>
    <row r="448" spans="1:19" x14ac:dyDescent="0.3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</row>
    <row r="449" spans="1:19" x14ac:dyDescent="0.3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</row>
    <row r="450" spans="1:19" x14ac:dyDescent="0.3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</row>
    <row r="451" spans="1:19" x14ac:dyDescent="0.3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</row>
    <row r="452" spans="1:19" x14ac:dyDescent="0.3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</row>
    <row r="453" spans="1:19" x14ac:dyDescent="0.3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</row>
    <row r="454" spans="1:19" x14ac:dyDescent="0.3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</row>
    <row r="455" spans="1:19" x14ac:dyDescent="0.3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</row>
    <row r="456" spans="1:19" x14ac:dyDescent="0.3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</row>
    <row r="457" spans="1:19" x14ac:dyDescent="0.3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</row>
    <row r="458" spans="1:19" x14ac:dyDescent="0.3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</row>
    <row r="459" spans="1:19" x14ac:dyDescent="0.3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</row>
    <row r="460" spans="1:19" x14ac:dyDescent="0.3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</row>
    <row r="461" spans="1:19" x14ac:dyDescent="0.3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</row>
    <row r="462" spans="1:19" x14ac:dyDescent="0.3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</row>
    <row r="463" spans="1:19" x14ac:dyDescent="0.3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</row>
    <row r="464" spans="1:19" x14ac:dyDescent="0.3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</row>
    <row r="465" spans="1:19" x14ac:dyDescent="0.3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</row>
    <row r="466" spans="1:19" x14ac:dyDescent="0.3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</row>
    <row r="467" spans="1:19" x14ac:dyDescent="0.3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</row>
    <row r="468" spans="1:19" x14ac:dyDescent="0.3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</row>
    <row r="469" spans="1:19" x14ac:dyDescent="0.3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</row>
    <row r="470" spans="1:19" x14ac:dyDescent="0.3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</row>
    <row r="471" spans="1:19" x14ac:dyDescent="0.3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</row>
    <row r="472" spans="1:19" x14ac:dyDescent="0.3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</row>
    <row r="473" spans="1:19" x14ac:dyDescent="0.3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</row>
    <row r="474" spans="1:19" x14ac:dyDescent="0.3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</row>
    <row r="475" spans="1:19" x14ac:dyDescent="0.3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</row>
    <row r="476" spans="1:19" x14ac:dyDescent="0.3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</row>
    <row r="477" spans="1:19" x14ac:dyDescent="0.3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</row>
    <row r="478" spans="1:19" x14ac:dyDescent="0.3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</row>
    <row r="479" spans="1:19" x14ac:dyDescent="0.3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</row>
    <row r="480" spans="1:19" x14ac:dyDescent="0.3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</row>
    <row r="481" spans="1:19" x14ac:dyDescent="0.3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</row>
    <row r="482" spans="1:19" x14ac:dyDescent="0.3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</row>
    <row r="483" spans="1:19" x14ac:dyDescent="0.3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</row>
    <row r="484" spans="1:19" x14ac:dyDescent="0.3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</row>
    <row r="485" spans="1:19" x14ac:dyDescent="0.3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</row>
    <row r="486" spans="1:19" x14ac:dyDescent="0.3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</row>
    <row r="487" spans="1:19" x14ac:dyDescent="0.3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</row>
    <row r="488" spans="1:19" x14ac:dyDescent="0.3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</row>
    <row r="489" spans="1:19" x14ac:dyDescent="0.3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</row>
    <row r="490" spans="1:19" x14ac:dyDescent="0.3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</row>
    <row r="491" spans="1:19" x14ac:dyDescent="0.3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</row>
    <row r="492" spans="1:19" x14ac:dyDescent="0.3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</row>
    <row r="493" spans="1:19" x14ac:dyDescent="0.3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</row>
    <row r="494" spans="1:19" x14ac:dyDescent="0.3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</row>
    <row r="495" spans="1:19" x14ac:dyDescent="0.3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</row>
    <row r="496" spans="1:19" x14ac:dyDescent="0.3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</row>
    <row r="497" spans="1:19" x14ac:dyDescent="0.3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</row>
    <row r="498" spans="1:19" x14ac:dyDescent="0.3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</row>
    <row r="499" spans="1:19" x14ac:dyDescent="0.3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</row>
  </sheetData>
  <phoneticPr fontId="3" type="noConversion"/>
  <pageMargins left="0.75" right="0.75" top="1" bottom="1" header="0.5" footer="0.5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Y524"/>
  <sheetViews>
    <sheetView zoomScale="70" zoomScaleNormal="70" workbookViewId="0">
      <pane xSplit="21" ySplit="23" topLeftCell="V24" activePane="bottomRight" state="frozen"/>
      <selection activeCell="K20" sqref="K20"/>
      <selection pane="topRight" activeCell="K20" sqref="K20"/>
      <selection pane="bottomLeft" activeCell="K20" sqref="K20"/>
      <selection pane="bottomRight" activeCell="T26" sqref="T26"/>
    </sheetView>
  </sheetViews>
  <sheetFormatPr defaultRowHeight="16.5" x14ac:dyDescent="0.3"/>
  <cols>
    <col min="1" max="2" width="11" bestFit="1" customWidth="1"/>
    <col min="3" max="3" width="5.25" customWidth="1"/>
    <col min="4" max="4" width="9.25" bestFit="1" customWidth="1"/>
    <col min="5" max="5" width="8.625" customWidth="1"/>
    <col min="6" max="6" width="9.375" customWidth="1"/>
    <col min="7" max="7" width="8.5" customWidth="1"/>
    <col min="8" max="8" width="7.625" customWidth="1"/>
    <col min="9" max="12" width="9" customWidth="1"/>
    <col min="13" max="13" width="15.125" customWidth="1"/>
    <col min="14" max="16" width="9" customWidth="1"/>
    <col min="17" max="18" width="9.125" customWidth="1"/>
    <col min="19" max="20" width="11" customWidth="1"/>
    <col min="21" max="21" width="9.25" bestFit="1" customWidth="1"/>
  </cols>
  <sheetData>
    <row r="1" spans="1:15" ht="17.25" thickBot="1" x14ac:dyDescent="0.35">
      <c r="A1" s="72" t="s">
        <v>22</v>
      </c>
      <c r="B1" s="73" t="s">
        <v>6</v>
      </c>
      <c r="C1" s="73" t="s">
        <v>7</v>
      </c>
      <c r="D1" s="73" t="s">
        <v>23</v>
      </c>
      <c r="E1" s="73" t="s">
        <v>24</v>
      </c>
      <c r="F1" s="73" t="s">
        <v>153</v>
      </c>
      <c r="G1" s="73" t="s">
        <v>154</v>
      </c>
      <c r="H1" s="73" t="s">
        <v>155</v>
      </c>
      <c r="I1" s="73" t="s">
        <v>156</v>
      </c>
      <c r="J1" s="73" t="s">
        <v>157</v>
      </c>
      <c r="K1" s="73" t="s">
        <v>158</v>
      </c>
      <c r="L1" s="73" t="s">
        <v>152</v>
      </c>
      <c r="M1" s="112" t="s">
        <v>159</v>
      </c>
    </row>
    <row r="2" spans="1:15" x14ac:dyDescent="0.3">
      <c r="A2" s="69" t="str">
        <f>IF(COUNTIF($F$26:$F$555,1)=0,"",1)</f>
        <v/>
      </c>
      <c r="B2" s="70" t="str">
        <f>IF(A2="","",COUNTIFS($F$26:$F$524,A2,$C$26:$C$524,1))</f>
        <v/>
      </c>
      <c r="C2" s="70" t="str">
        <f>IF(A2="","",COUNTIFS($F$26:$F$524,A2,$C$26:$C$524,2))</f>
        <v/>
      </c>
      <c r="D2" s="117" t="str">
        <f>IF(A2="","",IF(OR(B2=0,C2=0),"",ROUND(B2/C2,1)))</f>
        <v/>
      </c>
      <c r="E2" s="117" t="str">
        <f>IF(B2="","",IF(AND(B2=0,C2=0),"",SUM(B2:C2)))</f>
        <v/>
      </c>
      <c r="F2" s="118" t="str">
        <f>IF(A2="","",IF(AND(B2=0,C2=0),"",ROUND(COUNTIFS($F$26:$F$524,A2,$N$26:$N$524,"높음"),0)))</f>
        <v/>
      </c>
      <c r="G2" s="119" t="str">
        <f>IF(A2="","",IF(AND(B2=0,C2=0),"",ROUND(COUNTIFS($F$26:$F$524,A2,$O$26:$O$524,"높음"),0)))</f>
        <v/>
      </c>
      <c r="H2" s="117" t="str">
        <f>IF(A2="","",IF(AND(B2=0,C2=0),"",ROUND(COUNTIFS($F$26:$F$524,A2,$P$26:$P$524,"높음"),0)))</f>
        <v/>
      </c>
      <c r="I2" s="120" t="str">
        <f>IF(A2="","",IF(AND(B2=0,C2=0),"",ROUND(COUNTIFS($F$26:$F$524,A2,$Q$26:$Q$524,"높음"),0)))</f>
        <v/>
      </c>
      <c r="J2" s="120" t="str">
        <f>IF(A2="","",IF(AND(B2=0,C2=0),"",ROUND(COUNTIFS($F$26:$F$524,A2,$R$26:$R$524,"높음"),0)))</f>
        <v/>
      </c>
      <c r="K2" s="120" t="str">
        <f>IF(A2="","",IF(AND(B2=0,C2=0),"",ROUND(COUNTIFS($F$26:$F$524,A2,$S$26:$S$524,"높음"),0)))</f>
        <v/>
      </c>
      <c r="L2" s="120" t="str">
        <f>IF(A2="","",IF(AND(B2=0,C2=0),"",ROUND(AVERAGEIF($F$26:$F$524,A2,$T$26:$T$524),2)))</f>
        <v/>
      </c>
      <c r="M2" s="121" t="str">
        <f>IF(A2="","",IF(AND(B2=0,C2=0),"",ROUND(COUNTIFS($F$26:$F$524,A2,$U$26:$U$524,"&gt;0"),0)))</f>
        <v/>
      </c>
    </row>
    <row r="3" spans="1:15" x14ac:dyDescent="0.3">
      <c r="A3" s="69" t="str">
        <f>IF(COUNTIF($F$26:$F$555,2)=0,"",2)</f>
        <v/>
      </c>
      <c r="B3" s="70" t="str">
        <f t="shared" ref="B3:B21" si="0">IF(A3="","",COUNTIFS($F$26:$F$524,A3,$C$26:$C$524,1))</f>
        <v/>
      </c>
      <c r="C3" s="68" t="str">
        <f t="shared" ref="C3:C21" si="1">IF(A3="","",COUNTIFS($F$26:$F$524,A3,$C$26:$C$524,2))</f>
        <v/>
      </c>
      <c r="D3" s="117" t="str">
        <f t="shared" ref="D3:D21" si="2">IF(A3="","",IF(OR(B3=0,C3=0),"",ROUND(B3/C3,1)))</f>
        <v/>
      </c>
      <c r="E3" s="122" t="str">
        <f t="shared" ref="E3:E21" si="3">IF(B3="","",IF(AND(B3=0,C3=0),"",SUM(B3:C3)))</f>
        <v/>
      </c>
      <c r="F3" s="123" t="str">
        <f t="shared" ref="F3:F21" si="4">IF(A3="","",IF(AND(B3=0,C3=0),"",ROUND(COUNTIFS($F$26:$F$524,A3,$N$26:$N$524,"높음"),0)))</f>
        <v/>
      </c>
      <c r="G3" s="124" t="str">
        <f t="shared" ref="G3:G21" si="5">IF(A3="","",IF(AND(B3=0,C3=0),"",ROUND(COUNTIFS($F$26:$F$524,A3,$O$26:$O$524,"높음"),0)))</f>
        <v/>
      </c>
      <c r="H3" s="122" t="str">
        <f t="shared" ref="H3:H21" si="6">IF(A3="","",IF(AND(B3=0,C3=0),"",ROUND(COUNTIFS($F$26:$F$524,A3,$P$26:$P$524,"높음"),0)))</f>
        <v/>
      </c>
      <c r="I3" s="122" t="str">
        <f t="shared" ref="I3:I21" si="7">IF(A3="","",IF(AND(B3=0,C3=0),"",ROUND(COUNTIFS($F$26:$F$524,A3,$Q$26:$Q$524,"높음"),0)))</f>
        <v/>
      </c>
      <c r="J3" s="122" t="str">
        <f t="shared" ref="J3:J21" si="8">IF(A3="","",IF(AND(B3=0,C3=0),"",ROUND(COUNTIFS($F$26:$F$524,A3,$R$26:$R$524,"높음"),0)))</f>
        <v/>
      </c>
      <c r="K3" s="122" t="str">
        <f t="shared" ref="K3:K21" si="9">IF(A3="","",IF(AND(B3=0,C3=0),"",ROUND(COUNTIFS($F$26:$F$524,A3,$S$26:$S$524,"높음"),0)))</f>
        <v/>
      </c>
      <c r="L3" s="122" t="str">
        <f t="shared" ref="L3:L21" si="10">IF(A3="","",IF(AND(B3=0,C3=0),"",ROUND(AVERAGEIF($F$26:$F$524,A3,$T$26:$T$524),2)))</f>
        <v/>
      </c>
      <c r="M3" s="125" t="str">
        <f t="shared" ref="M3:M21" si="11">IF(A3="","",IF(AND(B3=0,C3=0),"",ROUND(COUNTIFS($F$26:$F$524,A3,$U$26:$U$524,"&gt;0"),0)))</f>
        <v/>
      </c>
    </row>
    <row r="4" spans="1:15" ht="17.25" x14ac:dyDescent="0.3">
      <c r="A4" s="67" t="str">
        <f>IF(COUNTIF($F$26:$F$555,3)=0,"",3)</f>
        <v/>
      </c>
      <c r="B4" s="68" t="str">
        <f t="shared" si="0"/>
        <v/>
      </c>
      <c r="C4" s="68" t="str">
        <f t="shared" ref="C4:C12" si="12">IF(A4="","",COUNTIFS($F$26:$F$524,A4,$C$26:$C$524,2))</f>
        <v/>
      </c>
      <c r="D4" s="117" t="str">
        <f t="shared" si="2"/>
        <v/>
      </c>
      <c r="E4" s="122" t="str">
        <f t="shared" si="3"/>
        <v/>
      </c>
      <c r="F4" s="123" t="str">
        <f t="shared" si="4"/>
        <v/>
      </c>
      <c r="G4" s="124" t="str">
        <f t="shared" si="5"/>
        <v/>
      </c>
      <c r="H4" s="122" t="str">
        <f t="shared" si="6"/>
        <v/>
      </c>
      <c r="I4" s="122" t="str">
        <f t="shared" si="7"/>
        <v/>
      </c>
      <c r="J4" s="122" t="str">
        <f t="shared" si="8"/>
        <v/>
      </c>
      <c r="K4" s="122" t="str">
        <f t="shared" si="9"/>
        <v/>
      </c>
      <c r="L4" s="122" t="str">
        <f t="shared" si="10"/>
        <v/>
      </c>
      <c r="M4" s="125" t="str">
        <f t="shared" si="11"/>
        <v/>
      </c>
      <c r="O4" s="80" t="s">
        <v>77</v>
      </c>
    </row>
    <row r="5" spans="1:15" ht="17.25" x14ac:dyDescent="0.3">
      <c r="A5" s="67" t="str">
        <f>IF(COUNTIF($F$26:$F$555,4)=0,"",4)</f>
        <v/>
      </c>
      <c r="B5" s="68" t="str">
        <f t="shared" si="0"/>
        <v/>
      </c>
      <c r="C5" s="68" t="str">
        <f t="shared" si="12"/>
        <v/>
      </c>
      <c r="D5" s="117" t="str">
        <f t="shared" si="2"/>
        <v/>
      </c>
      <c r="E5" s="122" t="str">
        <f t="shared" si="3"/>
        <v/>
      </c>
      <c r="F5" s="123" t="str">
        <f t="shared" si="4"/>
        <v/>
      </c>
      <c r="G5" s="124" t="str">
        <f t="shared" si="5"/>
        <v/>
      </c>
      <c r="H5" s="122" t="str">
        <f t="shared" si="6"/>
        <v/>
      </c>
      <c r="I5" s="122" t="str">
        <f t="shared" si="7"/>
        <v/>
      </c>
      <c r="J5" s="122" t="str">
        <f t="shared" si="8"/>
        <v/>
      </c>
      <c r="K5" s="122" t="str">
        <f t="shared" si="9"/>
        <v/>
      </c>
      <c r="L5" s="122" t="str">
        <f t="shared" si="10"/>
        <v/>
      </c>
      <c r="M5" s="125" t="str">
        <f t="shared" si="11"/>
        <v/>
      </c>
      <c r="O5" s="80" t="s">
        <v>78</v>
      </c>
    </row>
    <row r="6" spans="1:15" x14ac:dyDescent="0.3">
      <c r="A6" s="67" t="str">
        <f>IF(COUNTIF($F$26:$F$555,5)=0,"",5)</f>
        <v/>
      </c>
      <c r="B6" s="68" t="str">
        <f>IF(A6="","",COUNTIFS($F$26:$F$524,A6,$C$26:$C$524,1))</f>
        <v/>
      </c>
      <c r="C6" s="68" t="str">
        <f t="shared" si="12"/>
        <v/>
      </c>
      <c r="D6" s="117" t="str">
        <f t="shared" si="2"/>
        <v/>
      </c>
      <c r="E6" s="122" t="str">
        <f t="shared" si="3"/>
        <v/>
      </c>
      <c r="F6" s="123" t="str">
        <f t="shared" si="4"/>
        <v/>
      </c>
      <c r="G6" s="124" t="str">
        <f t="shared" si="5"/>
        <v/>
      </c>
      <c r="H6" s="122" t="str">
        <f t="shared" si="6"/>
        <v/>
      </c>
      <c r="I6" s="122" t="str">
        <f t="shared" si="7"/>
        <v/>
      </c>
      <c r="J6" s="122" t="str">
        <f t="shared" si="8"/>
        <v/>
      </c>
      <c r="K6" s="122" t="str">
        <f t="shared" si="9"/>
        <v/>
      </c>
      <c r="L6" s="122" t="str">
        <f t="shared" si="10"/>
        <v/>
      </c>
      <c r="M6" s="125" t="str">
        <f t="shared" si="11"/>
        <v/>
      </c>
    </row>
    <row r="7" spans="1:15" ht="17.25" x14ac:dyDescent="0.3">
      <c r="A7" s="67" t="str">
        <f>IF(COUNTIF($F$26:$F$555,6)=0,"",6)</f>
        <v/>
      </c>
      <c r="B7" s="68" t="str">
        <f t="shared" si="0"/>
        <v/>
      </c>
      <c r="C7" s="68" t="str">
        <f t="shared" si="12"/>
        <v/>
      </c>
      <c r="D7" s="117" t="str">
        <f t="shared" si="2"/>
        <v/>
      </c>
      <c r="E7" s="122" t="str">
        <f t="shared" si="3"/>
        <v/>
      </c>
      <c r="F7" s="123" t="str">
        <f t="shared" si="4"/>
        <v/>
      </c>
      <c r="G7" s="124" t="str">
        <f t="shared" si="5"/>
        <v/>
      </c>
      <c r="H7" s="122" t="str">
        <f t="shared" si="6"/>
        <v/>
      </c>
      <c r="I7" s="122" t="str">
        <f t="shared" si="7"/>
        <v/>
      </c>
      <c r="J7" s="122" t="str">
        <f t="shared" si="8"/>
        <v/>
      </c>
      <c r="K7" s="122" t="str">
        <f t="shared" si="9"/>
        <v/>
      </c>
      <c r="L7" s="122" t="str">
        <f t="shared" si="10"/>
        <v/>
      </c>
      <c r="M7" s="125" t="str">
        <f t="shared" si="11"/>
        <v/>
      </c>
      <c r="O7" s="80" t="s">
        <v>79</v>
      </c>
    </row>
    <row r="8" spans="1:15" x14ac:dyDescent="0.3">
      <c r="A8" s="67" t="str">
        <f>IF(COUNTIF($F$26:$F$555,7)=0,"",7)</f>
        <v/>
      </c>
      <c r="B8" s="68" t="str">
        <f>IF(A8="","",COUNTIFS($F$26:$F$524,A8,$C$26:$C$524,1))</f>
        <v/>
      </c>
      <c r="C8" s="68" t="str">
        <f t="shared" si="12"/>
        <v/>
      </c>
      <c r="D8" s="117" t="str">
        <f t="shared" si="2"/>
        <v/>
      </c>
      <c r="E8" s="122" t="str">
        <f t="shared" si="3"/>
        <v/>
      </c>
      <c r="F8" s="123" t="str">
        <f t="shared" si="4"/>
        <v/>
      </c>
      <c r="G8" s="124" t="str">
        <f t="shared" si="5"/>
        <v/>
      </c>
      <c r="H8" s="122" t="str">
        <f t="shared" si="6"/>
        <v/>
      </c>
      <c r="I8" s="122" t="str">
        <f t="shared" si="7"/>
        <v/>
      </c>
      <c r="J8" s="122" t="str">
        <f t="shared" si="8"/>
        <v/>
      </c>
      <c r="K8" s="122" t="str">
        <f t="shared" si="9"/>
        <v/>
      </c>
      <c r="L8" s="122" t="str">
        <f t="shared" si="10"/>
        <v/>
      </c>
      <c r="M8" s="125" t="str">
        <f t="shared" si="11"/>
        <v/>
      </c>
    </row>
    <row r="9" spans="1:15" x14ac:dyDescent="0.3">
      <c r="A9" s="67" t="str">
        <f>IF(COUNTIF($F$26:$F$555,8)=0,"",8)</f>
        <v/>
      </c>
      <c r="B9" s="68" t="str">
        <f t="shared" si="0"/>
        <v/>
      </c>
      <c r="C9" s="68" t="str">
        <f t="shared" si="12"/>
        <v/>
      </c>
      <c r="D9" s="117" t="str">
        <f t="shared" si="2"/>
        <v/>
      </c>
      <c r="E9" s="122" t="str">
        <f t="shared" si="3"/>
        <v/>
      </c>
      <c r="F9" s="123" t="str">
        <f t="shared" si="4"/>
        <v/>
      </c>
      <c r="G9" s="124" t="str">
        <f t="shared" si="5"/>
        <v/>
      </c>
      <c r="H9" s="122" t="str">
        <f t="shared" si="6"/>
        <v/>
      </c>
      <c r="I9" s="122" t="str">
        <f t="shared" si="7"/>
        <v/>
      </c>
      <c r="J9" s="122" t="str">
        <f t="shared" si="8"/>
        <v/>
      </c>
      <c r="K9" s="122" t="str">
        <f t="shared" si="9"/>
        <v/>
      </c>
      <c r="L9" s="122" t="str">
        <f t="shared" si="10"/>
        <v/>
      </c>
      <c r="M9" s="125" t="str">
        <f t="shared" si="11"/>
        <v/>
      </c>
    </row>
    <row r="10" spans="1:15" x14ac:dyDescent="0.3">
      <c r="A10" s="67" t="str">
        <f>IF(COUNTIF($F$26:$F$555,9)=0,"",9)</f>
        <v/>
      </c>
      <c r="B10" s="68" t="str">
        <f t="shared" si="0"/>
        <v/>
      </c>
      <c r="C10" s="68" t="str">
        <f t="shared" si="12"/>
        <v/>
      </c>
      <c r="D10" s="117" t="str">
        <f t="shared" si="2"/>
        <v/>
      </c>
      <c r="E10" s="122" t="str">
        <f t="shared" si="3"/>
        <v/>
      </c>
      <c r="F10" s="123" t="str">
        <f t="shared" si="4"/>
        <v/>
      </c>
      <c r="G10" s="124" t="str">
        <f t="shared" si="5"/>
        <v/>
      </c>
      <c r="H10" s="122" t="str">
        <f t="shared" si="6"/>
        <v/>
      </c>
      <c r="I10" s="122" t="str">
        <f t="shared" si="7"/>
        <v/>
      </c>
      <c r="J10" s="122" t="str">
        <f t="shared" si="8"/>
        <v/>
      </c>
      <c r="K10" s="122" t="str">
        <f t="shared" si="9"/>
        <v/>
      </c>
      <c r="L10" s="122" t="str">
        <f t="shared" si="10"/>
        <v/>
      </c>
      <c r="M10" s="125" t="str">
        <f t="shared" si="11"/>
        <v/>
      </c>
    </row>
    <row r="11" spans="1:15" x14ac:dyDescent="0.3">
      <c r="A11" s="67" t="str">
        <f>IF(COUNTIF($F$26:$F$555,10)=0,"",10)</f>
        <v/>
      </c>
      <c r="B11" s="68" t="str">
        <f t="shared" si="0"/>
        <v/>
      </c>
      <c r="C11" s="68" t="str">
        <f t="shared" si="12"/>
        <v/>
      </c>
      <c r="D11" s="117" t="str">
        <f t="shared" si="2"/>
        <v/>
      </c>
      <c r="E11" s="122" t="str">
        <f t="shared" si="3"/>
        <v/>
      </c>
      <c r="F11" s="123" t="str">
        <f t="shared" si="4"/>
        <v/>
      </c>
      <c r="G11" s="124" t="str">
        <f t="shared" si="5"/>
        <v/>
      </c>
      <c r="H11" s="122" t="str">
        <f t="shared" si="6"/>
        <v/>
      </c>
      <c r="I11" s="122" t="str">
        <f t="shared" si="7"/>
        <v/>
      </c>
      <c r="J11" s="122" t="str">
        <f t="shared" si="8"/>
        <v/>
      </c>
      <c r="K11" s="122" t="str">
        <f t="shared" si="9"/>
        <v/>
      </c>
      <c r="L11" s="122" t="str">
        <f t="shared" si="10"/>
        <v/>
      </c>
      <c r="M11" s="125" t="str">
        <f t="shared" si="11"/>
        <v/>
      </c>
    </row>
    <row r="12" spans="1:15" x14ac:dyDescent="0.3">
      <c r="A12" s="67" t="str">
        <f>IF(COUNTIF($F$26:$F$555,11)=0,"",11)</f>
        <v/>
      </c>
      <c r="B12" s="68" t="str">
        <f t="shared" si="0"/>
        <v/>
      </c>
      <c r="C12" s="68" t="str">
        <f t="shared" si="12"/>
        <v/>
      </c>
      <c r="D12" s="117" t="str">
        <f t="shared" si="2"/>
        <v/>
      </c>
      <c r="E12" s="122" t="str">
        <f t="shared" si="3"/>
        <v/>
      </c>
      <c r="F12" s="123" t="str">
        <f t="shared" si="4"/>
        <v/>
      </c>
      <c r="G12" s="124" t="str">
        <f t="shared" si="5"/>
        <v/>
      </c>
      <c r="H12" s="122" t="str">
        <f t="shared" si="6"/>
        <v/>
      </c>
      <c r="I12" s="122" t="str">
        <f t="shared" si="7"/>
        <v/>
      </c>
      <c r="J12" s="122" t="str">
        <f t="shared" si="8"/>
        <v/>
      </c>
      <c r="K12" s="122" t="str">
        <f t="shared" si="9"/>
        <v/>
      </c>
      <c r="L12" s="122" t="str">
        <f t="shared" si="10"/>
        <v/>
      </c>
      <c r="M12" s="125" t="str">
        <f t="shared" si="11"/>
        <v/>
      </c>
    </row>
    <row r="13" spans="1:15" x14ac:dyDescent="0.3">
      <c r="A13" s="67" t="str">
        <f>IF(COUNTIF($F$26:$F$555,12)=0,"",12)</f>
        <v/>
      </c>
      <c r="B13" s="68" t="str">
        <f t="shared" si="0"/>
        <v/>
      </c>
      <c r="C13" s="68" t="str">
        <f t="shared" si="1"/>
        <v/>
      </c>
      <c r="D13" s="117" t="str">
        <f t="shared" si="2"/>
        <v/>
      </c>
      <c r="E13" s="122" t="str">
        <f t="shared" si="3"/>
        <v/>
      </c>
      <c r="F13" s="123" t="str">
        <f t="shared" si="4"/>
        <v/>
      </c>
      <c r="G13" s="124" t="str">
        <f t="shared" si="5"/>
        <v/>
      </c>
      <c r="H13" s="122" t="str">
        <f t="shared" si="6"/>
        <v/>
      </c>
      <c r="I13" s="122" t="str">
        <f t="shared" si="7"/>
        <v/>
      </c>
      <c r="J13" s="122" t="str">
        <f t="shared" si="8"/>
        <v/>
      </c>
      <c r="K13" s="122" t="str">
        <f t="shared" si="9"/>
        <v/>
      </c>
      <c r="L13" s="122" t="str">
        <f t="shared" si="10"/>
        <v/>
      </c>
      <c r="M13" s="125" t="str">
        <f t="shared" si="11"/>
        <v/>
      </c>
    </row>
    <row r="14" spans="1:15" x14ac:dyDescent="0.3">
      <c r="A14" s="67" t="str">
        <f>IF(COUNTIF($F$26:$F$555,13)=0,"",13)</f>
        <v/>
      </c>
      <c r="B14" s="68" t="str">
        <f t="shared" si="0"/>
        <v/>
      </c>
      <c r="C14" s="68" t="str">
        <f t="shared" si="1"/>
        <v/>
      </c>
      <c r="D14" s="117" t="str">
        <f t="shared" si="2"/>
        <v/>
      </c>
      <c r="E14" s="122" t="str">
        <f t="shared" si="3"/>
        <v/>
      </c>
      <c r="F14" s="123" t="str">
        <f t="shared" si="4"/>
        <v/>
      </c>
      <c r="G14" s="124" t="str">
        <f t="shared" si="5"/>
        <v/>
      </c>
      <c r="H14" s="122" t="str">
        <f t="shared" si="6"/>
        <v/>
      </c>
      <c r="I14" s="122" t="str">
        <f t="shared" si="7"/>
        <v/>
      </c>
      <c r="J14" s="122" t="str">
        <f t="shared" si="8"/>
        <v/>
      </c>
      <c r="K14" s="122" t="str">
        <f t="shared" si="9"/>
        <v/>
      </c>
      <c r="L14" s="122" t="str">
        <f t="shared" si="10"/>
        <v/>
      </c>
      <c r="M14" s="125" t="str">
        <f t="shared" si="11"/>
        <v/>
      </c>
    </row>
    <row r="15" spans="1:15" x14ac:dyDescent="0.3">
      <c r="A15" s="67" t="str">
        <f>IF(COUNTIF($F$26:$F$555,14)=0,"",14)</f>
        <v/>
      </c>
      <c r="B15" s="68" t="str">
        <f t="shared" si="0"/>
        <v/>
      </c>
      <c r="C15" s="68" t="str">
        <f t="shared" si="1"/>
        <v/>
      </c>
      <c r="D15" s="117" t="str">
        <f t="shared" si="2"/>
        <v/>
      </c>
      <c r="E15" s="122" t="str">
        <f t="shared" si="3"/>
        <v/>
      </c>
      <c r="F15" s="123" t="str">
        <f t="shared" si="4"/>
        <v/>
      </c>
      <c r="G15" s="124" t="str">
        <f t="shared" si="5"/>
        <v/>
      </c>
      <c r="H15" s="122" t="str">
        <f t="shared" si="6"/>
        <v/>
      </c>
      <c r="I15" s="122" t="str">
        <f t="shared" si="7"/>
        <v/>
      </c>
      <c r="J15" s="122" t="str">
        <f t="shared" si="8"/>
        <v/>
      </c>
      <c r="K15" s="122" t="str">
        <f t="shared" si="9"/>
        <v/>
      </c>
      <c r="L15" s="122" t="str">
        <f t="shared" si="10"/>
        <v/>
      </c>
      <c r="M15" s="125" t="str">
        <f t="shared" si="11"/>
        <v/>
      </c>
    </row>
    <row r="16" spans="1:15" x14ac:dyDescent="0.3">
      <c r="A16" s="67" t="str">
        <f>IF(COUNTIF($F$26:$F$555,15)=0,"",15)</f>
        <v/>
      </c>
      <c r="B16" s="68" t="str">
        <f t="shared" si="0"/>
        <v/>
      </c>
      <c r="C16" s="68" t="str">
        <f t="shared" si="1"/>
        <v/>
      </c>
      <c r="D16" s="117" t="str">
        <f t="shared" si="2"/>
        <v/>
      </c>
      <c r="E16" s="122" t="str">
        <f t="shared" si="3"/>
        <v/>
      </c>
      <c r="F16" s="123" t="str">
        <f t="shared" si="4"/>
        <v/>
      </c>
      <c r="G16" s="124" t="str">
        <f t="shared" si="5"/>
        <v/>
      </c>
      <c r="H16" s="122" t="str">
        <f t="shared" si="6"/>
        <v/>
      </c>
      <c r="I16" s="122" t="str">
        <f t="shared" si="7"/>
        <v/>
      </c>
      <c r="J16" s="122" t="str">
        <f t="shared" si="8"/>
        <v/>
      </c>
      <c r="K16" s="122" t="str">
        <f t="shared" si="9"/>
        <v/>
      </c>
      <c r="L16" s="122" t="str">
        <f t="shared" si="10"/>
        <v/>
      </c>
      <c r="M16" s="125" t="str">
        <f t="shared" si="11"/>
        <v/>
      </c>
    </row>
    <row r="17" spans="1:25" x14ac:dyDescent="0.3">
      <c r="A17" s="67" t="str">
        <f>IF(COUNTIF($F$26:$F$555,16)=0,"",16)</f>
        <v/>
      </c>
      <c r="B17" s="68" t="str">
        <f t="shared" si="0"/>
        <v/>
      </c>
      <c r="C17" s="68" t="str">
        <f t="shared" si="1"/>
        <v/>
      </c>
      <c r="D17" s="117" t="str">
        <f t="shared" si="2"/>
        <v/>
      </c>
      <c r="E17" s="122" t="str">
        <f t="shared" si="3"/>
        <v/>
      </c>
      <c r="F17" s="123" t="str">
        <f t="shared" si="4"/>
        <v/>
      </c>
      <c r="G17" s="124" t="str">
        <f t="shared" si="5"/>
        <v/>
      </c>
      <c r="H17" s="122" t="str">
        <f t="shared" si="6"/>
        <v/>
      </c>
      <c r="I17" s="122" t="str">
        <f t="shared" si="7"/>
        <v/>
      </c>
      <c r="J17" s="122" t="str">
        <f t="shared" si="8"/>
        <v/>
      </c>
      <c r="K17" s="122" t="str">
        <f t="shared" si="9"/>
        <v/>
      </c>
      <c r="L17" s="122" t="str">
        <f t="shared" si="10"/>
        <v/>
      </c>
      <c r="M17" s="125" t="str">
        <f t="shared" si="11"/>
        <v/>
      </c>
    </row>
    <row r="18" spans="1:25" x14ac:dyDescent="0.3">
      <c r="A18" s="67" t="str">
        <f>IF(COUNTIF($F$26:$F$555,17)=0,"",17)</f>
        <v/>
      </c>
      <c r="B18" s="68" t="str">
        <f t="shared" si="0"/>
        <v/>
      </c>
      <c r="C18" s="68" t="str">
        <f t="shared" si="1"/>
        <v/>
      </c>
      <c r="D18" s="117" t="str">
        <f t="shared" si="2"/>
        <v/>
      </c>
      <c r="E18" s="122" t="str">
        <f t="shared" si="3"/>
        <v/>
      </c>
      <c r="F18" s="123" t="str">
        <f t="shared" si="4"/>
        <v/>
      </c>
      <c r="G18" s="124" t="str">
        <f t="shared" si="5"/>
        <v/>
      </c>
      <c r="H18" s="122" t="str">
        <f t="shared" si="6"/>
        <v/>
      </c>
      <c r="I18" s="122" t="str">
        <f t="shared" si="7"/>
        <v/>
      </c>
      <c r="J18" s="122" t="str">
        <f t="shared" si="8"/>
        <v/>
      </c>
      <c r="K18" s="122" t="str">
        <f t="shared" si="9"/>
        <v/>
      </c>
      <c r="L18" s="122" t="str">
        <f t="shared" si="10"/>
        <v/>
      </c>
      <c r="M18" s="125" t="str">
        <f t="shared" si="11"/>
        <v/>
      </c>
    </row>
    <row r="19" spans="1:25" x14ac:dyDescent="0.3">
      <c r="A19" s="67" t="str">
        <f>IF(COUNTIF($F$26:$F$555,18)=0,"",18)</f>
        <v/>
      </c>
      <c r="B19" s="68" t="str">
        <f t="shared" si="0"/>
        <v/>
      </c>
      <c r="C19" s="68" t="str">
        <f t="shared" si="1"/>
        <v/>
      </c>
      <c r="D19" s="117" t="str">
        <f t="shared" si="2"/>
        <v/>
      </c>
      <c r="E19" s="122" t="str">
        <f t="shared" si="3"/>
        <v/>
      </c>
      <c r="F19" s="123" t="str">
        <f t="shared" si="4"/>
        <v/>
      </c>
      <c r="G19" s="124" t="str">
        <f t="shared" si="5"/>
        <v/>
      </c>
      <c r="H19" s="122" t="str">
        <f t="shared" si="6"/>
        <v/>
      </c>
      <c r="I19" s="122" t="str">
        <f t="shared" si="7"/>
        <v/>
      </c>
      <c r="J19" s="122" t="str">
        <f t="shared" si="8"/>
        <v/>
      </c>
      <c r="K19" s="122" t="str">
        <f t="shared" si="9"/>
        <v/>
      </c>
      <c r="L19" s="122" t="str">
        <f t="shared" si="10"/>
        <v/>
      </c>
      <c r="M19" s="125" t="str">
        <f t="shared" si="11"/>
        <v/>
      </c>
    </row>
    <row r="20" spans="1:25" x14ac:dyDescent="0.3">
      <c r="A20" s="67" t="str">
        <f>IF(COUNTIF($F$26:$F$555,19)=0,"",19)</f>
        <v/>
      </c>
      <c r="B20" s="68" t="str">
        <f t="shared" si="0"/>
        <v/>
      </c>
      <c r="C20" s="68" t="str">
        <f t="shared" si="1"/>
        <v/>
      </c>
      <c r="D20" s="117" t="str">
        <f t="shared" si="2"/>
        <v/>
      </c>
      <c r="E20" s="122" t="str">
        <f t="shared" si="3"/>
        <v/>
      </c>
      <c r="F20" s="123" t="str">
        <f t="shared" si="4"/>
        <v/>
      </c>
      <c r="G20" s="124" t="str">
        <f t="shared" si="5"/>
        <v/>
      </c>
      <c r="H20" s="122" t="str">
        <f t="shared" si="6"/>
        <v/>
      </c>
      <c r="I20" s="122" t="str">
        <f t="shared" si="7"/>
        <v/>
      </c>
      <c r="J20" s="122" t="str">
        <f t="shared" si="8"/>
        <v/>
      </c>
      <c r="K20" s="122" t="str">
        <f t="shared" si="9"/>
        <v/>
      </c>
      <c r="L20" s="122" t="str">
        <f t="shared" si="10"/>
        <v/>
      </c>
      <c r="M20" s="125" t="str">
        <f t="shared" si="11"/>
        <v/>
      </c>
    </row>
    <row r="21" spans="1:25" x14ac:dyDescent="0.3">
      <c r="A21" s="71" t="str">
        <f>IF(COUNTIF($F$26:$F$555,20)=0,"",20)</f>
        <v/>
      </c>
      <c r="B21" s="87" t="str">
        <f t="shared" si="0"/>
        <v/>
      </c>
      <c r="C21" s="87" t="str">
        <f t="shared" si="1"/>
        <v/>
      </c>
      <c r="D21" s="126" t="str">
        <f t="shared" si="2"/>
        <v/>
      </c>
      <c r="E21" s="126" t="str">
        <f t="shared" si="3"/>
        <v/>
      </c>
      <c r="F21" s="127" t="str">
        <f t="shared" si="4"/>
        <v/>
      </c>
      <c r="G21" s="128" t="str">
        <f t="shared" si="5"/>
        <v/>
      </c>
      <c r="H21" s="126" t="str">
        <f t="shared" si="6"/>
        <v/>
      </c>
      <c r="I21" s="126" t="str">
        <f t="shared" si="7"/>
        <v/>
      </c>
      <c r="J21" s="126" t="str">
        <f t="shared" si="8"/>
        <v/>
      </c>
      <c r="K21" s="126" t="str">
        <f t="shared" si="9"/>
        <v/>
      </c>
      <c r="L21" s="126" t="str">
        <f t="shared" si="10"/>
        <v/>
      </c>
      <c r="M21" s="129" t="str">
        <f t="shared" si="11"/>
        <v/>
      </c>
    </row>
    <row r="22" spans="1:25" s="19" customFormat="1" x14ac:dyDescent="0.3">
      <c r="A22" s="74"/>
      <c r="B22" s="75"/>
      <c r="C22" s="75"/>
      <c r="D22" s="88" t="s">
        <v>71</v>
      </c>
      <c r="E22" s="89" t="str">
        <f>IF(SUM(E2:E21)=0,"",SUM(E2:E21))</f>
        <v/>
      </c>
      <c r="F22" s="89" t="str">
        <f>IF(SUM(F2:F21)=0,"",SUM(F2:F21))</f>
        <v/>
      </c>
      <c r="G22" s="89" t="str">
        <f t="shared" ref="G22:J22" si="13">IF(SUM(G2:G21)=0,"",SUM(G2:G21))</f>
        <v/>
      </c>
      <c r="H22" s="89" t="str">
        <f t="shared" si="13"/>
        <v/>
      </c>
      <c r="I22" s="89" t="str">
        <f t="shared" si="13"/>
        <v/>
      </c>
      <c r="J22" s="89" t="str">
        <f t="shared" si="13"/>
        <v/>
      </c>
      <c r="K22" s="89" t="str">
        <f>IF(SUM(K2:K21)=0,"",SUM(K2:K21))</f>
        <v/>
      </c>
      <c r="L22" s="113" t="str">
        <f>IF(SUM(L2:L21)=0,"",SUM($T$26:$T$524))</f>
        <v/>
      </c>
      <c r="M22" s="114" t="str">
        <f>IF(SUM(M2:M21)=0,"",SUM(M2:M21))</f>
        <v/>
      </c>
    </row>
    <row r="23" spans="1:25" s="19" customFormat="1" ht="17.25" thickBot="1" x14ac:dyDescent="0.35">
      <c r="A23" s="76"/>
      <c r="B23" s="77"/>
      <c r="C23" s="77"/>
      <c r="D23" s="78" t="s">
        <v>72</v>
      </c>
      <c r="E23" s="79" t="str">
        <f t="shared" ref="E23:K23" si="14">IFERROR(ROUND(AVERAGE(E2:E21),2),"")</f>
        <v/>
      </c>
      <c r="F23" s="79" t="str">
        <f t="shared" si="14"/>
        <v/>
      </c>
      <c r="G23" s="79" t="str">
        <f t="shared" si="14"/>
        <v/>
      </c>
      <c r="H23" s="115" t="str">
        <f t="shared" si="14"/>
        <v/>
      </c>
      <c r="I23" s="115" t="str">
        <f t="shared" si="14"/>
        <v/>
      </c>
      <c r="J23" s="115" t="str">
        <f t="shared" si="14"/>
        <v/>
      </c>
      <c r="K23" s="115" t="str">
        <f t="shared" si="14"/>
        <v/>
      </c>
      <c r="L23" s="115" t="str">
        <f>IF(L22="","",IFERROR(ROUND(AVERAGE($T$26:$T$524),2),""))</f>
        <v/>
      </c>
      <c r="M23" s="116" t="str">
        <f>IFERROR(ROUND(AVERAGE(M2:M21),2),"")</f>
        <v/>
      </c>
    </row>
    <row r="24" spans="1:25" s="19" customFormat="1" x14ac:dyDescent="0.3">
      <c r="E24" s="24"/>
      <c r="G24" s="24"/>
      <c r="H24" s="24"/>
      <c r="U24" s="47" t="s">
        <v>160</v>
      </c>
    </row>
    <row r="25" spans="1:25" s="19" customFormat="1" ht="49.5" x14ac:dyDescent="0.3">
      <c r="A25" s="25" t="s">
        <v>11</v>
      </c>
      <c r="B25" s="16" t="s">
        <v>0</v>
      </c>
      <c r="C25" s="16" t="s">
        <v>12</v>
      </c>
      <c r="D25" s="16" t="s">
        <v>3</v>
      </c>
      <c r="E25" s="25" t="s">
        <v>18</v>
      </c>
      <c r="F25" s="25" t="s">
        <v>19</v>
      </c>
      <c r="G25" s="16" t="s">
        <v>20</v>
      </c>
      <c r="H25" s="26" t="s">
        <v>141</v>
      </c>
      <c r="I25" s="26" t="s">
        <v>142</v>
      </c>
      <c r="J25" s="26" t="s">
        <v>143</v>
      </c>
      <c r="K25" s="28" t="s">
        <v>25</v>
      </c>
      <c r="L25" s="28" t="s">
        <v>144</v>
      </c>
      <c r="M25" s="28" t="s">
        <v>145</v>
      </c>
      <c r="N25" s="29" t="s">
        <v>146</v>
      </c>
      <c r="O25" s="29" t="s">
        <v>147</v>
      </c>
      <c r="P25" s="29" t="s">
        <v>148</v>
      </c>
      <c r="Q25" s="29" t="s">
        <v>149</v>
      </c>
      <c r="R25" s="29" t="s">
        <v>150</v>
      </c>
      <c r="S25" s="107" t="s">
        <v>151</v>
      </c>
      <c r="T25" s="27" t="s">
        <v>152</v>
      </c>
      <c r="U25" s="30" t="s">
        <v>17</v>
      </c>
      <c r="V25" s="22"/>
    </row>
    <row r="26" spans="1:25" s="19" customFormat="1" x14ac:dyDescent="0.3">
      <c r="A26" s="2" t="s">
        <v>531</v>
      </c>
      <c r="B26" s="2">
        <v>10118</v>
      </c>
      <c r="C26" s="2">
        <v>1</v>
      </c>
      <c r="D26" s="2" t="s">
        <v>220</v>
      </c>
      <c r="E26" s="11" t="str">
        <f>IF(AND(U26&gt;0,VLOOKUP(B26,'이름 일치'!$B$3:$N$500,13,FALSE)&lt;&gt;""),"1상담"&amp;"/"&amp;VLOOKUP(B26,'이름 일치'!$B$3:$N$500,13,FALSE),IF(U26&gt;0,"1상담",IF(VLOOKUP(B26,'이름 일치'!$B$3:$N$500,13,FALSE)&lt;&gt;"",VLOOKUP(B26,'이름 일치'!$B$3:$N$500,13,FALSE),"")))</f>
        <v/>
      </c>
      <c r="F26" s="11"/>
      <c r="G26" s="2"/>
      <c r="H26" s="13">
        <v>32</v>
      </c>
      <c r="I26" s="13">
        <v>31</v>
      </c>
      <c r="J26" s="13">
        <v>26</v>
      </c>
      <c r="K26" s="6">
        <v>0</v>
      </c>
      <c r="L26" s="6">
        <v>1</v>
      </c>
      <c r="M26" s="6">
        <v>3</v>
      </c>
      <c r="N26" s="6" t="s">
        <v>187</v>
      </c>
      <c r="O26" s="6" t="s">
        <v>187</v>
      </c>
      <c r="P26" s="6" t="s">
        <v>187</v>
      </c>
      <c r="Q26" s="6" t="s">
        <v>187</v>
      </c>
      <c r="R26" s="6" t="s">
        <v>187</v>
      </c>
      <c r="S26" s="108" t="s">
        <v>187</v>
      </c>
      <c r="T26" s="111">
        <f>VALUE(SUM(H26:J26))</f>
        <v>89</v>
      </c>
      <c r="U26" s="12">
        <f>IF(COUNTIF(N26:S26,"높음")&gt;=1,1,0)</f>
        <v>0</v>
      </c>
      <c r="V26"/>
      <c r="W26"/>
      <c r="X26"/>
      <c r="Y26"/>
    </row>
    <row r="27" spans="1:25" x14ac:dyDescent="0.3">
      <c r="A27" s="11" t="s">
        <v>531</v>
      </c>
      <c r="B27" s="2">
        <v>10122</v>
      </c>
      <c r="C27" s="2">
        <v>1</v>
      </c>
      <c r="D27" s="2" t="s">
        <v>224</v>
      </c>
      <c r="E27" s="11" t="str">
        <f>IF(AND(U27&gt;0,VLOOKUP(B27,'이름 일치'!$B$3:$N$500,13,FALSE)&lt;&gt;""),"1상담"&amp;"/"&amp;VLOOKUP(B27,'이름 일치'!$B$3:$N$500,13,FALSE),IF(U27&gt;0,"1상담",IF(VLOOKUP(B27,'이름 일치'!$B$3:$N$500,13,FALSE)&lt;&gt;"",VLOOKUP(B27,'이름 일치'!$B$3:$N$500,13,FALSE),"")))</f>
        <v/>
      </c>
      <c r="F27" s="11"/>
      <c r="G27" s="2"/>
      <c r="H27" s="13">
        <v>32</v>
      </c>
      <c r="I27" s="13">
        <v>31</v>
      </c>
      <c r="J27" s="13">
        <v>26</v>
      </c>
      <c r="K27" s="6">
        <v>0</v>
      </c>
      <c r="L27" s="6">
        <v>1</v>
      </c>
      <c r="M27" s="6">
        <v>3</v>
      </c>
      <c r="N27" s="6" t="s">
        <v>187</v>
      </c>
      <c r="O27" s="6" t="s">
        <v>187</v>
      </c>
      <c r="P27" s="6" t="s">
        <v>187</v>
      </c>
      <c r="Q27" s="6" t="s">
        <v>187</v>
      </c>
      <c r="R27" s="6" t="s">
        <v>187</v>
      </c>
      <c r="S27" s="108" t="s">
        <v>187</v>
      </c>
      <c r="T27" s="111">
        <f>VALUE(SUM(H27:J27))</f>
        <v>89</v>
      </c>
      <c r="U27" s="12">
        <f>IF(COUNTIF(N27:S27,"높음")&gt;=1,1,0)</f>
        <v>0</v>
      </c>
    </row>
    <row r="28" spans="1:25" x14ac:dyDescent="0.3">
      <c r="A28" s="2" t="s">
        <v>531</v>
      </c>
      <c r="B28" s="2">
        <v>10126</v>
      </c>
      <c r="C28" s="2">
        <v>1</v>
      </c>
      <c r="D28" s="2" t="s">
        <v>228</v>
      </c>
      <c r="E28" s="11" t="str">
        <f>IF(AND(U28&gt;0,VLOOKUP(B28,'이름 일치'!$B$3:$N$500,13,FALSE)&lt;&gt;""),"1상담"&amp;"/"&amp;VLOOKUP(B28,'이름 일치'!$B$3:$N$500,13,FALSE),IF(U28&gt;0,"1상담",IF(VLOOKUP(B28,'이름 일치'!$B$3:$N$500,13,FALSE)&lt;&gt;"",VLOOKUP(B28,'이름 일치'!$B$3:$N$500,13,FALSE),"")))</f>
        <v/>
      </c>
      <c r="F28" s="11"/>
      <c r="G28" s="2"/>
      <c r="H28" s="13">
        <v>32</v>
      </c>
      <c r="I28" s="13">
        <v>31</v>
      </c>
      <c r="J28" s="13">
        <v>26</v>
      </c>
      <c r="K28" s="6">
        <v>0</v>
      </c>
      <c r="L28" s="6">
        <v>1</v>
      </c>
      <c r="M28" s="6">
        <v>3</v>
      </c>
      <c r="N28" s="6" t="s">
        <v>187</v>
      </c>
      <c r="O28" s="6" t="s">
        <v>187</v>
      </c>
      <c r="P28" s="6" t="s">
        <v>187</v>
      </c>
      <c r="Q28" s="6" t="s">
        <v>187</v>
      </c>
      <c r="R28" s="6" t="s">
        <v>187</v>
      </c>
      <c r="S28" s="108" t="s">
        <v>187</v>
      </c>
      <c r="T28" s="111">
        <f>VALUE(SUM(H28:J28))</f>
        <v>89</v>
      </c>
      <c r="U28" s="12">
        <f>IF(COUNTIF(N28:S28,"높음")&gt;=1,1,0)</f>
        <v>0</v>
      </c>
    </row>
    <row r="29" spans="1:25" x14ac:dyDescent="0.3">
      <c r="A29" s="2" t="s">
        <v>531</v>
      </c>
      <c r="B29" s="2">
        <v>10217</v>
      </c>
      <c r="C29" s="2">
        <v>1</v>
      </c>
      <c r="D29" s="2" t="s">
        <v>248</v>
      </c>
      <c r="E29" s="11" t="str">
        <f>IF(AND(U29&gt;0,VLOOKUP(B29,'이름 일치'!$B$3:$N$500,13,FALSE)&lt;&gt;""),"1상담"&amp;"/"&amp;VLOOKUP(B29,'이름 일치'!$B$3:$N$500,13,FALSE),IF(U29&gt;0,"1상담",IF(VLOOKUP(B29,'이름 일치'!$B$3:$N$500,13,FALSE)&lt;&gt;"",VLOOKUP(B29,'이름 일치'!$B$3:$N$500,13,FALSE),"")))</f>
        <v/>
      </c>
      <c r="F29" s="11"/>
      <c r="G29" s="2"/>
      <c r="H29" s="13">
        <v>32</v>
      </c>
      <c r="I29" s="13">
        <v>31</v>
      </c>
      <c r="J29" s="13">
        <v>26</v>
      </c>
      <c r="K29" s="6">
        <v>0</v>
      </c>
      <c r="L29" s="6">
        <v>1</v>
      </c>
      <c r="M29" s="6">
        <v>3</v>
      </c>
      <c r="N29" s="6" t="s">
        <v>187</v>
      </c>
      <c r="O29" s="6" t="s">
        <v>187</v>
      </c>
      <c r="P29" s="6" t="s">
        <v>187</v>
      </c>
      <c r="Q29" s="6" t="s">
        <v>187</v>
      </c>
      <c r="R29" s="6" t="s">
        <v>187</v>
      </c>
      <c r="S29" s="108" t="s">
        <v>187</v>
      </c>
      <c r="T29" s="111">
        <f>VALUE(SUM(H29:J29))</f>
        <v>89</v>
      </c>
      <c r="U29" s="12">
        <f>IF(COUNTIF(N29:S29,"높음")&gt;=1,1,0)</f>
        <v>0</v>
      </c>
    </row>
    <row r="30" spans="1:25" x14ac:dyDescent="0.3">
      <c r="A30" s="2" t="s">
        <v>531</v>
      </c>
      <c r="B30" s="2">
        <v>10221</v>
      </c>
      <c r="C30" s="2">
        <v>1</v>
      </c>
      <c r="D30" s="2" t="s">
        <v>252</v>
      </c>
      <c r="E30" s="11" t="str">
        <f>IF(AND(U30&gt;0,VLOOKUP(B30,'이름 일치'!$B$3:$N$500,13,FALSE)&lt;&gt;""),"1상담"&amp;"/"&amp;VLOOKUP(B30,'이름 일치'!$B$3:$N$500,13,FALSE),IF(U30&gt;0,"1상담",IF(VLOOKUP(B30,'이름 일치'!$B$3:$N$500,13,FALSE)&lt;&gt;"",VLOOKUP(B30,'이름 일치'!$B$3:$N$500,13,FALSE),"")))</f>
        <v/>
      </c>
      <c r="F30" s="11"/>
      <c r="G30" s="2"/>
      <c r="H30" s="13">
        <v>32</v>
      </c>
      <c r="I30" s="13">
        <v>31</v>
      </c>
      <c r="J30" s="13">
        <v>26</v>
      </c>
      <c r="K30" s="6">
        <v>0</v>
      </c>
      <c r="L30" s="6">
        <v>1</v>
      </c>
      <c r="M30" s="6">
        <v>3</v>
      </c>
      <c r="N30" s="6" t="s">
        <v>187</v>
      </c>
      <c r="O30" s="6" t="s">
        <v>187</v>
      </c>
      <c r="P30" s="6" t="s">
        <v>187</v>
      </c>
      <c r="Q30" s="6" t="s">
        <v>187</v>
      </c>
      <c r="R30" s="6" t="s">
        <v>187</v>
      </c>
      <c r="S30" s="108" t="s">
        <v>187</v>
      </c>
      <c r="T30" s="111">
        <f>VALUE(SUM(H30:J30))</f>
        <v>89</v>
      </c>
      <c r="U30" s="12">
        <f>IF(COUNTIF(N30:S30,"높음")&gt;=1,1,0)</f>
        <v>0</v>
      </c>
    </row>
    <row r="31" spans="1:25" x14ac:dyDescent="0.3">
      <c r="A31" s="2" t="s">
        <v>531</v>
      </c>
      <c r="B31" s="2">
        <v>10230</v>
      </c>
      <c r="C31" s="2">
        <v>1</v>
      </c>
      <c r="D31" s="2" t="s">
        <v>260</v>
      </c>
      <c r="E31" s="11" t="str">
        <f>IF(AND(U31&gt;0,VLOOKUP(B31,'이름 일치'!$B$3:$N$500,13,FALSE)&lt;&gt;""),"1상담"&amp;"/"&amp;VLOOKUP(B31,'이름 일치'!$B$3:$N$500,13,FALSE),IF(U31&gt;0,"1상담",IF(VLOOKUP(B31,'이름 일치'!$B$3:$N$500,13,FALSE)&lt;&gt;"",VLOOKUP(B31,'이름 일치'!$B$3:$N$500,13,FALSE),"")))</f>
        <v/>
      </c>
      <c r="F31" s="11"/>
      <c r="G31" s="2"/>
      <c r="H31" s="13">
        <v>32</v>
      </c>
      <c r="I31" s="13">
        <v>31</v>
      </c>
      <c r="J31" s="13">
        <v>26</v>
      </c>
      <c r="K31" s="6">
        <v>0</v>
      </c>
      <c r="L31" s="6">
        <v>1</v>
      </c>
      <c r="M31" s="6">
        <v>3</v>
      </c>
      <c r="N31" s="6" t="s">
        <v>187</v>
      </c>
      <c r="O31" s="6" t="s">
        <v>187</v>
      </c>
      <c r="P31" s="6" t="s">
        <v>187</v>
      </c>
      <c r="Q31" s="6" t="s">
        <v>187</v>
      </c>
      <c r="R31" s="6" t="s">
        <v>187</v>
      </c>
      <c r="S31" s="108" t="s">
        <v>187</v>
      </c>
      <c r="T31" s="111">
        <f>VALUE(SUM(H31:J31))</f>
        <v>89</v>
      </c>
      <c r="U31" s="12">
        <f>IF(COUNTIF(N31:S31,"높음")&gt;=1,1,0)</f>
        <v>0</v>
      </c>
    </row>
    <row r="32" spans="1:25" x14ac:dyDescent="0.3">
      <c r="A32" s="2" t="s">
        <v>531</v>
      </c>
      <c r="B32" s="2">
        <v>10319</v>
      </c>
      <c r="C32" s="2">
        <v>1</v>
      </c>
      <c r="D32" s="2" t="s">
        <v>280</v>
      </c>
      <c r="E32" s="11" t="str">
        <f>IF(AND(U32&gt;0,VLOOKUP(B32,'이름 일치'!$B$3:$N$500,13,FALSE)&lt;&gt;""),"1상담"&amp;"/"&amp;VLOOKUP(B32,'이름 일치'!$B$3:$N$500,13,FALSE),IF(U32&gt;0,"1상담",IF(VLOOKUP(B32,'이름 일치'!$B$3:$N$500,13,FALSE)&lt;&gt;"",VLOOKUP(B32,'이름 일치'!$B$3:$N$500,13,FALSE),"")))</f>
        <v/>
      </c>
      <c r="F32" s="11"/>
      <c r="G32" s="2"/>
      <c r="H32" s="13">
        <v>32</v>
      </c>
      <c r="I32" s="13">
        <v>31</v>
      </c>
      <c r="J32" s="13">
        <v>26</v>
      </c>
      <c r="K32" s="6">
        <v>0</v>
      </c>
      <c r="L32" s="6">
        <v>1</v>
      </c>
      <c r="M32" s="6">
        <v>3</v>
      </c>
      <c r="N32" s="6" t="s">
        <v>187</v>
      </c>
      <c r="O32" s="6" t="s">
        <v>187</v>
      </c>
      <c r="P32" s="6" t="s">
        <v>187</v>
      </c>
      <c r="Q32" s="6" t="s">
        <v>187</v>
      </c>
      <c r="R32" s="6" t="s">
        <v>187</v>
      </c>
      <c r="S32" s="108" t="s">
        <v>187</v>
      </c>
      <c r="T32" s="111">
        <f>VALUE(SUM(H32:J32))</f>
        <v>89</v>
      </c>
      <c r="U32" s="12">
        <f>IF(COUNTIF(N32:S32,"높음")&gt;=1,1,0)</f>
        <v>0</v>
      </c>
    </row>
    <row r="33" spans="1:21" x14ac:dyDescent="0.3">
      <c r="A33" s="2" t="s">
        <v>531</v>
      </c>
      <c r="B33" s="2">
        <v>10323</v>
      </c>
      <c r="C33" s="2">
        <v>1</v>
      </c>
      <c r="D33" s="2" t="s">
        <v>284</v>
      </c>
      <c r="E33" s="11" t="str">
        <f>IF(AND(U33&gt;0,VLOOKUP(B33,'이름 일치'!$B$3:$N$500,13,FALSE)&lt;&gt;""),"1상담"&amp;"/"&amp;VLOOKUP(B33,'이름 일치'!$B$3:$N$500,13,FALSE),IF(U33&gt;0,"1상담",IF(VLOOKUP(B33,'이름 일치'!$B$3:$N$500,13,FALSE)&lt;&gt;"",VLOOKUP(B33,'이름 일치'!$B$3:$N$500,13,FALSE),"")))</f>
        <v/>
      </c>
      <c r="F33" s="11"/>
      <c r="G33" s="2"/>
      <c r="H33" s="13">
        <v>32</v>
      </c>
      <c r="I33" s="13">
        <v>31</v>
      </c>
      <c r="J33" s="13">
        <v>26</v>
      </c>
      <c r="K33" s="6">
        <v>0</v>
      </c>
      <c r="L33" s="6">
        <v>1</v>
      </c>
      <c r="M33" s="6">
        <v>3</v>
      </c>
      <c r="N33" s="6" t="s">
        <v>187</v>
      </c>
      <c r="O33" s="6" t="s">
        <v>187</v>
      </c>
      <c r="P33" s="6" t="s">
        <v>187</v>
      </c>
      <c r="Q33" s="6" t="s">
        <v>187</v>
      </c>
      <c r="R33" s="6" t="s">
        <v>187</v>
      </c>
      <c r="S33" s="108" t="s">
        <v>187</v>
      </c>
      <c r="T33" s="111">
        <f>VALUE(SUM(H33:J33))</f>
        <v>89</v>
      </c>
      <c r="U33" s="12">
        <f>IF(COUNTIF(N33:S33,"높음")&gt;=1,1,0)</f>
        <v>0</v>
      </c>
    </row>
    <row r="34" spans="1:21" x14ac:dyDescent="0.3">
      <c r="A34" s="11" t="s">
        <v>531</v>
      </c>
      <c r="B34" s="2">
        <v>10327</v>
      </c>
      <c r="C34" s="2">
        <v>1</v>
      </c>
      <c r="D34" s="2" t="s">
        <v>288</v>
      </c>
      <c r="E34" s="11" t="str">
        <f>IF(AND(U34&gt;0,VLOOKUP(B34,'이름 일치'!$B$3:$N$500,13,FALSE)&lt;&gt;""),"1상담"&amp;"/"&amp;VLOOKUP(B34,'이름 일치'!$B$3:$N$500,13,FALSE),IF(U34&gt;0,"1상담",IF(VLOOKUP(B34,'이름 일치'!$B$3:$N$500,13,FALSE)&lt;&gt;"",VLOOKUP(B34,'이름 일치'!$B$3:$N$500,13,FALSE),"")))</f>
        <v/>
      </c>
      <c r="F34" s="11"/>
      <c r="G34" s="2"/>
      <c r="H34" s="13">
        <v>32</v>
      </c>
      <c r="I34" s="13">
        <v>31</v>
      </c>
      <c r="J34" s="13">
        <v>26</v>
      </c>
      <c r="K34" s="6">
        <v>0</v>
      </c>
      <c r="L34" s="6">
        <v>1</v>
      </c>
      <c r="M34" s="6">
        <v>3</v>
      </c>
      <c r="N34" s="6" t="s">
        <v>187</v>
      </c>
      <c r="O34" s="6" t="s">
        <v>187</v>
      </c>
      <c r="P34" s="6" t="s">
        <v>187</v>
      </c>
      <c r="Q34" s="6" t="s">
        <v>187</v>
      </c>
      <c r="R34" s="6" t="s">
        <v>187</v>
      </c>
      <c r="S34" s="108" t="s">
        <v>187</v>
      </c>
      <c r="T34" s="111">
        <f>VALUE(SUM(H34:J34))</f>
        <v>89</v>
      </c>
      <c r="U34" s="12">
        <f>IF(COUNTIF(N34:S34,"높음")&gt;=1,1,0)</f>
        <v>0</v>
      </c>
    </row>
    <row r="35" spans="1:21" x14ac:dyDescent="0.3">
      <c r="A35" s="11" t="s">
        <v>531</v>
      </c>
      <c r="B35" s="2">
        <v>10418</v>
      </c>
      <c r="C35" s="2">
        <v>1</v>
      </c>
      <c r="D35" s="2" t="s">
        <v>308</v>
      </c>
      <c r="E35" s="11" t="str">
        <f>IF(AND(U35&gt;0,VLOOKUP(B35,'이름 일치'!$B$3:$N$500,13,FALSE)&lt;&gt;""),"1상담"&amp;"/"&amp;VLOOKUP(B35,'이름 일치'!$B$3:$N$500,13,FALSE),IF(U35&gt;0,"1상담",IF(VLOOKUP(B35,'이름 일치'!$B$3:$N$500,13,FALSE)&lt;&gt;"",VLOOKUP(B35,'이름 일치'!$B$3:$N$500,13,FALSE),"")))</f>
        <v/>
      </c>
      <c r="F35" s="11"/>
      <c r="G35" s="2"/>
      <c r="H35" s="13">
        <v>32</v>
      </c>
      <c r="I35" s="13">
        <v>31</v>
      </c>
      <c r="J35" s="13">
        <v>26</v>
      </c>
      <c r="K35" s="6">
        <v>0</v>
      </c>
      <c r="L35" s="6">
        <v>1</v>
      </c>
      <c r="M35" s="6">
        <v>3</v>
      </c>
      <c r="N35" s="6" t="s">
        <v>187</v>
      </c>
      <c r="O35" s="6" t="s">
        <v>187</v>
      </c>
      <c r="P35" s="6" t="s">
        <v>187</v>
      </c>
      <c r="Q35" s="6" t="s">
        <v>187</v>
      </c>
      <c r="R35" s="6" t="s">
        <v>187</v>
      </c>
      <c r="S35" s="108" t="s">
        <v>187</v>
      </c>
      <c r="T35" s="111">
        <f>VALUE(SUM(H35:J35))</f>
        <v>89</v>
      </c>
      <c r="U35" s="12">
        <f>IF(COUNTIF(N35:S35,"높음")&gt;=1,1,0)</f>
        <v>0</v>
      </c>
    </row>
    <row r="36" spans="1:21" x14ac:dyDescent="0.3">
      <c r="A36" s="11" t="s">
        <v>531</v>
      </c>
      <c r="B36" s="2">
        <v>10422</v>
      </c>
      <c r="C36" s="2">
        <v>1</v>
      </c>
      <c r="D36" s="2" t="s">
        <v>312</v>
      </c>
      <c r="E36" s="11" t="str">
        <f>IF(AND(U36&gt;0,VLOOKUP(B36,'이름 일치'!$B$3:$N$500,13,FALSE)&lt;&gt;""),"1상담"&amp;"/"&amp;VLOOKUP(B36,'이름 일치'!$B$3:$N$500,13,FALSE),IF(U36&gt;0,"1상담",IF(VLOOKUP(B36,'이름 일치'!$B$3:$N$500,13,FALSE)&lt;&gt;"",VLOOKUP(B36,'이름 일치'!$B$3:$N$500,13,FALSE),"")))</f>
        <v/>
      </c>
      <c r="F36" s="11"/>
      <c r="G36" s="2"/>
      <c r="H36" s="13">
        <v>32</v>
      </c>
      <c r="I36" s="13">
        <v>31</v>
      </c>
      <c r="J36" s="13">
        <v>26</v>
      </c>
      <c r="K36" s="6">
        <v>0</v>
      </c>
      <c r="L36" s="6">
        <v>1</v>
      </c>
      <c r="M36" s="6">
        <v>3</v>
      </c>
      <c r="N36" s="6" t="s">
        <v>187</v>
      </c>
      <c r="O36" s="6" t="s">
        <v>187</v>
      </c>
      <c r="P36" s="6" t="s">
        <v>187</v>
      </c>
      <c r="Q36" s="6" t="s">
        <v>187</v>
      </c>
      <c r="R36" s="6" t="s">
        <v>187</v>
      </c>
      <c r="S36" s="108" t="s">
        <v>187</v>
      </c>
      <c r="T36" s="111">
        <f>VALUE(SUM(H36:J36))</f>
        <v>89</v>
      </c>
      <c r="U36" s="12">
        <f>IF(COUNTIF(N36:S36,"높음")&gt;=1,1,0)</f>
        <v>0</v>
      </c>
    </row>
    <row r="37" spans="1:21" x14ac:dyDescent="0.3">
      <c r="A37" s="2" t="s">
        <v>531</v>
      </c>
      <c r="B37" s="2">
        <v>10426</v>
      </c>
      <c r="C37" s="2">
        <v>1</v>
      </c>
      <c r="D37" s="2" t="s">
        <v>316</v>
      </c>
      <c r="E37" s="11" t="str">
        <f>IF(AND(U37&gt;0,VLOOKUP(B37,'이름 일치'!$B$3:$N$500,13,FALSE)&lt;&gt;""),"1상담"&amp;"/"&amp;VLOOKUP(B37,'이름 일치'!$B$3:$N$500,13,FALSE),IF(U37&gt;0,"1상담",IF(VLOOKUP(B37,'이름 일치'!$B$3:$N$500,13,FALSE)&lt;&gt;"",VLOOKUP(B37,'이름 일치'!$B$3:$N$500,13,FALSE),"")))</f>
        <v/>
      </c>
      <c r="F37" s="11"/>
      <c r="G37" s="2"/>
      <c r="H37" s="13">
        <v>32</v>
      </c>
      <c r="I37" s="13">
        <v>31</v>
      </c>
      <c r="J37" s="13">
        <v>26</v>
      </c>
      <c r="K37" s="6">
        <v>0</v>
      </c>
      <c r="L37" s="6">
        <v>1</v>
      </c>
      <c r="M37" s="6">
        <v>3</v>
      </c>
      <c r="N37" s="6" t="s">
        <v>187</v>
      </c>
      <c r="O37" s="6" t="s">
        <v>187</v>
      </c>
      <c r="P37" s="6" t="s">
        <v>187</v>
      </c>
      <c r="Q37" s="6" t="s">
        <v>187</v>
      </c>
      <c r="R37" s="6" t="s">
        <v>187</v>
      </c>
      <c r="S37" s="108" t="s">
        <v>187</v>
      </c>
      <c r="T37" s="111">
        <f>VALUE(SUM(H37:J37))</f>
        <v>89</v>
      </c>
      <c r="U37" s="12">
        <f>IF(COUNTIF(N37:S37,"높음")&gt;=1,1,0)</f>
        <v>0</v>
      </c>
    </row>
    <row r="38" spans="1:21" x14ac:dyDescent="0.3">
      <c r="A38" s="2" t="s">
        <v>531</v>
      </c>
      <c r="B38" s="2">
        <v>10517</v>
      </c>
      <c r="C38" s="2">
        <v>1</v>
      </c>
      <c r="D38" s="2" t="s">
        <v>335</v>
      </c>
      <c r="E38" s="11" t="str">
        <f>IF(AND(U38&gt;0,VLOOKUP(B38,'이름 일치'!$B$3:$N$500,13,FALSE)&lt;&gt;""),"1상담"&amp;"/"&amp;VLOOKUP(B38,'이름 일치'!$B$3:$N$500,13,FALSE),IF(U38&gt;0,"1상담",IF(VLOOKUP(B38,'이름 일치'!$B$3:$N$500,13,FALSE)&lt;&gt;"",VLOOKUP(B38,'이름 일치'!$B$3:$N$500,13,FALSE),"")))</f>
        <v/>
      </c>
      <c r="F38" s="11"/>
      <c r="G38" s="2"/>
      <c r="H38" s="13">
        <v>32</v>
      </c>
      <c r="I38" s="13">
        <v>31</v>
      </c>
      <c r="J38" s="13">
        <v>26</v>
      </c>
      <c r="K38" s="6">
        <v>0</v>
      </c>
      <c r="L38" s="6">
        <v>1</v>
      </c>
      <c r="M38" s="6">
        <v>3</v>
      </c>
      <c r="N38" s="6" t="s">
        <v>187</v>
      </c>
      <c r="O38" s="6" t="s">
        <v>187</v>
      </c>
      <c r="P38" s="6" t="s">
        <v>187</v>
      </c>
      <c r="Q38" s="6" t="s">
        <v>187</v>
      </c>
      <c r="R38" s="6" t="s">
        <v>187</v>
      </c>
      <c r="S38" s="108" t="s">
        <v>187</v>
      </c>
      <c r="T38" s="111">
        <f>VALUE(SUM(H38:J38))</f>
        <v>89</v>
      </c>
      <c r="U38" s="12">
        <f>IF(COUNTIF(N38:S38,"높음")&gt;=1,1,0)</f>
        <v>0</v>
      </c>
    </row>
    <row r="39" spans="1:21" x14ac:dyDescent="0.3">
      <c r="A39" s="2" t="s">
        <v>531</v>
      </c>
      <c r="B39" s="2">
        <v>10521</v>
      </c>
      <c r="C39" s="2">
        <v>1</v>
      </c>
      <c r="D39" s="2" t="s">
        <v>339</v>
      </c>
      <c r="E39" s="11" t="str">
        <f>IF(AND(U39&gt;0,VLOOKUP(B39,'이름 일치'!$B$3:$N$500,13,FALSE)&lt;&gt;""),"1상담"&amp;"/"&amp;VLOOKUP(B39,'이름 일치'!$B$3:$N$500,13,FALSE),IF(U39&gt;0,"1상담",IF(VLOOKUP(B39,'이름 일치'!$B$3:$N$500,13,FALSE)&lt;&gt;"",VLOOKUP(B39,'이름 일치'!$B$3:$N$500,13,FALSE),"")))</f>
        <v/>
      </c>
      <c r="F39" s="11"/>
      <c r="G39" s="2"/>
      <c r="H39" s="13">
        <v>32</v>
      </c>
      <c r="I39" s="13">
        <v>31</v>
      </c>
      <c r="J39" s="13">
        <v>26</v>
      </c>
      <c r="K39" s="6">
        <v>0</v>
      </c>
      <c r="L39" s="6">
        <v>1</v>
      </c>
      <c r="M39" s="6">
        <v>3</v>
      </c>
      <c r="N39" s="6" t="s">
        <v>187</v>
      </c>
      <c r="O39" s="6" t="s">
        <v>187</v>
      </c>
      <c r="P39" s="6" t="s">
        <v>187</v>
      </c>
      <c r="Q39" s="6" t="s">
        <v>187</v>
      </c>
      <c r="R39" s="6" t="s">
        <v>187</v>
      </c>
      <c r="S39" s="108" t="s">
        <v>187</v>
      </c>
      <c r="T39" s="111">
        <f>VALUE(SUM(H39:J39))</f>
        <v>89</v>
      </c>
      <c r="U39" s="12">
        <f>IF(COUNTIF(N39:S39,"높음")&gt;=1,1,0)</f>
        <v>0</v>
      </c>
    </row>
    <row r="40" spans="1:21" x14ac:dyDescent="0.3">
      <c r="A40" s="11" t="s">
        <v>531</v>
      </c>
      <c r="B40" s="2">
        <v>10525</v>
      </c>
      <c r="C40" s="2">
        <v>1</v>
      </c>
      <c r="D40" s="2" t="s">
        <v>343</v>
      </c>
      <c r="E40" s="11" t="str">
        <f>IF(AND(U40&gt;0,VLOOKUP(B40,'이름 일치'!$B$3:$N$500,13,FALSE)&lt;&gt;""),"1상담"&amp;"/"&amp;VLOOKUP(B40,'이름 일치'!$B$3:$N$500,13,FALSE),IF(U40&gt;0,"1상담",IF(VLOOKUP(B40,'이름 일치'!$B$3:$N$500,13,FALSE)&lt;&gt;"",VLOOKUP(B40,'이름 일치'!$B$3:$N$500,13,FALSE),"")))</f>
        <v/>
      </c>
      <c r="F40" s="11"/>
      <c r="G40" s="2"/>
      <c r="H40" s="13">
        <v>32</v>
      </c>
      <c r="I40" s="13">
        <v>31</v>
      </c>
      <c r="J40" s="13">
        <v>26</v>
      </c>
      <c r="K40" s="6">
        <v>0</v>
      </c>
      <c r="L40" s="6">
        <v>1</v>
      </c>
      <c r="M40" s="6">
        <v>3</v>
      </c>
      <c r="N40" s="6" t="s">
        <v>187</v>
      </c>
      <c r="O40" s="6" t="s">
        <v>187</v>
      </c>
      <c r="P40" s="6" t="s">
        <v>187</v>
      </c>
      <c r="Q40" s="6" t="s">
        <v>187</v>
      </c>
      <c r="R40" s="6" t="s">
        <v>187</v>
      </c>
      <c r="S40" s="108" t="s">
        <v>187</v>
      </c>
      <c r="T40" s="111">
        <f>VALUE(SUM(H40:J40))</f>
        <v>89</v>
      </c>
      <c r="U40" s="12">
        <f>IF(COUNTIF(N40:S40,"높음")&gt;=1,1,0)</f>
        <v>0</v>
      </c>
    </row>
    <row r="41" spans="1:21" x14ac:dyDescent="0.3">
      <c r="A41" s="2" t="s">
        <v>531</v>
      </c>
      <c r="B41" s="2">
        <v>10529</v>
      </c>
      <c r="C41" s="2">
        <v>1</v>
      </c>
      <c r="D41" s="2" t="s">
        <v>347</v>
      </c>
      <c r="E41" s="11" t="str">
        <f>IF(AND(U41&gt;0,VLOOKUP(B41,'이름 일치'!$B$3:$N$500,13,FALSE)&lt;&gt;""),"1상담"&amp;"/"&amp;VLOOKUP(B41,'이름 일치'!$B$3:$N$500,13,FALSE),IF(U41&gt;0,"1상담",IF(VLOOKUP(B41,'이름 일치'!$B$3:$N$500,13,FALSE)&lt;&gt;"",VLOOKUP(B41,'이름 일치'!$B$3:$N$500,13,FALSE),"")))</f>
        <v/>
      </c>
      <c r="F41" s="11"/>
      <c r="G41" s="2"/>
      <c r="H41" s="13">
        <v>32</v>
      </c>
      <c r="I41" s="13">
        <v>31</v>
      </c>
      <c r="J41" s="13">
        <v>26</v>
      </c>
      <c r="K41" s="6">
        <v>0</v>
      </c>
      <c r="L41" s="6">
        <v>1</v>
      </c>
      <c r="M41" s="6">
        <v>3</v>
      </c>
      <c r="N41" s="6" t="s">
        <v>187</v>
      </c>
      <c r="O41" s="6" t="s">
        <v>187</v>
      </c>
      <c r="P41" s="6" t="s">
        <v>187</v>
      </c>
      <c r="Q41" s="6" t="s">
        <v>187</v>
      </c>
      <c r="R41" s="6" t="s">
        <v>187</v>
      </c>
      <c r="S41" s="108" t="s">
        <v>187</v>
      </c>
      <c r="T41" s="111">
        <f>VALUE(SUM(H41:J41))</f>
        <v>89</v>
      </c>
      <c r="U41" s="12">
        <f>IF(COUNTIF(N41:S41,"높음")&gt;=1,1,0)</f>
        <v>0</v>
      </c>
    </row>
    <row r="42" spans="1:21" x14ac:dyDescent="0.3">
      <c r="A42" s="2" t="s">
        <v>531</v>
      </c>
      <c r="B42" s="2">
        <v>10615</v>
      </c>
      <c r="C42" s="2">
        <v>1</v>
      </c>
      <c r="D42" s="2" t="s">
        <v>361</v>
      </c>
      <c r="E42" s="11" t="str">
        <f>IF(AND(U42&gt;0,VLOOKUP(B42,'이름 일치'!$B$3:$N$500,13,FALSE)&lt;&gt;""),"1상담"&amp;"/"&amp;VLOOKUP(B42,'이름 일치'!$B$3:$N$500,13,FALSE),IF(U42&gt;0,"1상담",IF(VLOOKUP(B42,'이름 일치'!$B$3:$N$500,13,FALSE)&lt;&gt;"",VLOOKUP(B42,'이름 일치'!$B$3:$N$500,13,FALSE),"")))</f>
        <v/>
      </c>
      <c r="F42" s="11"/>
      <c r="G42" s="2"/>
      <c r="H42" s="13">
        <v>32</v>
      </c>
      <c r="I42" s="13">
        <v>31</v>
      </c>
      <c r="J42" s="13">
        <v>26</v>
      </c>
      <c r="K42" s="6">
        <v>0</v>
      </c>
      <c r="L42" s="6">
        <v>1</v>
      </c>
      <c r="M42" s="6">
        <v>3</v>
      </c>
      <c r="N42" s="6" t="s">
        <v>187</v>
      </c>
      <c r="O42" s="6" t="s">
        <v>187</v>
      </c>
      <c r="P42" s="6" t="s">
        <v>187</v>
      </c>
      <c r="Q42" s="6" t="s">
        <v>187</v>
      </c>
      <c r="R42" s="6" t="s">
        <v>187</v>
      </c>
      <c r="S42" s="108" t="s">
        <v>187</v>
      </c>
      <c r="T42" s="111">
        <f>VALUE(SUM(H42:J42))</f>
        <v>89</v>
      </c>
      <c r="U42" s="12">
        <f>IF(COUNTIF(N42:S42,"높음")&gt;=1,1,0)</f>
        <v>0</v>
      </c>
    </row>
    <row r="43" spans="1:21" x14ac:dyDescent="0.3">
      <c r="A43" s="2" t="s">
        <v>531</v>
      </c>
      <c r="B43" s="2">
        <v>10619</v>
      </c>
      <c r="C43" s="2">
        <v>1</v>
      </c>
      <c r="D43" s="2" t="s">
        <v>365</v>
      </c>
      <c r="E43" s="11" t="str">
        <f>IF(AND(U43&gt;0,VLOOKUP(B43,'이름 일치'!$B$3:$N$500,13,FALSE)&lt;&gt;""),"1상담"&amp;"/"&amp;VLOOKUP(B43,'이름 일치'!$B$3:$N$500,13,FALSE),IF(U43&gt;0,"1상담",IF(VLOOKUP(B43,'이름 일치'!$B$3:$N$500,13,FALSE)&lt;&gt;"",VLOOKUP(B43,'이름 일치'!$B$3:$N$500,13,FALSE),"")))</f>
        <v/>
      </c>
      <c r="F43" s="11"/>
      <c r="G43" s="2"/>
      <c r="H43" s="13">
        <v>32</v>
      </c>
      <c r="I43" s="13">
        <v>31</v>
      </c>
      <c r="J43" s="13">
        <v>26</v>
      </c>
      <c r="K43" s="6">
        <v>0</v>
      </c>
      <c r="L43" s="6">
        <v>1</v>
      </c>
      <c r="M43" s="6">
        <v>3</v>
      </c>
      <c r="N43" s="6" t="s">
        <v>187</v>
      </c>
      <c r="O43" s="6" t="s">
        <v>187</v>
      </c>
      <c r="P43" s="6" t="s">
        <v>187</v>
      </c>
      <c r="Q43" s="6" t="s">
        <v>187</v>
      </c>
      <c r="R43" s="6" t="s">
        <v>187</v>
      </c>
      <c r="S43" s="108" t="s">
        <v>187</v>
      </c>
      <c r="T43" s="111">
        <f>VALUE(SUM(H43:J43))</f>
        <v>89</v>
      </c>
      <c r="U43" s="12">
        <f>IF(COUNTIF(N43:S43,"높음")&gt;=1,1,0)</f>
        <v>0</v>
      </c>
    </row>
    <row r="44" spans="1:21" x14ac:dyDescent="0.3">
      <c r="A44" s="2" t="s">
        <v>531</v>
      </c>
      <c r="B44" s="2">
        <v>10623</v>
      </c>
      <c r="C44" s="2">
        <v>1</v>
      </c>
      <c r="D44" s="2" t="s">
        <v>369</v>
      </c>
      <c r="E44" s="11" t="str">
        <f>IF(AND(U44&gt;0,VLOOKUP(B44,'이름 일치'!$B$3:$N$500,13,FALSE)&lt;&gt;""),"1상담"&amp;"/"&amp;VLOOKUP(B44,'이름 일치'!$B$3:$N$500,13,FALSE),IF(U44&gt;0,"1상담",IF(VLOOKUP(B44,'이름 일치'!$B$3:$N$500,13,FALSE)&lt;&gt;"",VLOOKUP(B44,'이름 일치'!$B$3:$N$500,13,FALSE),"")))</f>
        <v/>
      </c>
      <c r="F44" s="11"/>
      <c r="G44" s="2"/>
      <c r="H44" s="13">
        <v>32</v>
      </c>
      <c r="I44" s="13">
        <v>31</v>
      </c>
      <c r="J44" s="13">
        <v>26</v>
      </c>
      <c r="K44" s="6">
        <v>0</v>
      </c>
      <c r="L44" s="6">
        <v>1</v>
      </c>
      <c r="M44" s="6">
        <v>3</v>
      </c>
      <c r="N44" s="6" t="s">
        <v>187</v>
      </c>
      <c r="O44" s="6" t="s">
        <v>187</v>
      </c>
      <c r="P44" s="6" t="s">
        <v>187</v>
      </c>
      <c r="Q44" s="6" t="s">
        <v>187</v>
      </c>
      <c r="R44" s="6" t="s">
        <v>187</v>
      </c>
      <c r="S44" s="108" t="s">
        <v>187</v>
      </c>
      <c r="T44" s="111">
        <f>VALUE(SUM(H44:J44))</f>
        <v>89</v>
      </c>
      <c r="U44" s="12">
        <f>IF(COUNTIF(N44:S44,"높음")&gt;=1,1,0)</f>
        <v>0</v>
      </c>
    </row>
    <row r="45" spans="1:21" x14ac:dyDescent="0.3">
      <c r="A45" s="2" t="s">
        <v>531</v>
      </c>
      <c r="B45" s="2">
        <v>10627</v>
      </c>
      <c r="C45" s="2">
        <v>1</v>
      </c>
      <c r="D45" s="2" t="s">
        <v>373</v>
      </c>
      <c r="E45" s="11" t="str">
        <f>IF(AND(U45&gt;0,VLOOKUP(B45,'이름 일치'!$B$3:$N$500,13,FALSE)&lt;&gt;""),"1상담"&amp;"/"&amp;VLOOKUP(B45,'이름 일치'!$B$3:$N$500,13,FALSE),IF(U45&gt;0,"1상담",IF(VLOOKUP(B45,'이름 일치'!$B$3:$N$500,13,FALSE)&lt;&gt;"",VLOOKUP(B45,'이름 일치'!$B$3:$N$500,13,FALSE),"")))</f>
        <v/>
      </c>
      <c r="F45" s="11"/>
      <c r="G45" s="2"/>
      <c r="H45" s="13">
        <v>32</v>
      </c>
      <c r="I45" s="13">
        <v>31</v>
      </c>
      <c r="J45" s="13">
        <v>26</v>
      </c>
      <c r="K45" s="6">
        <v>0</v>
      </c>
      <c r="L45" s="6">
        <v>1</v>
      </c>
      <c r="M45" s="6">
        <v>3</v>
      </c>
      <c r="N45" s="6" t="s">
        <v>187</v>
      </c>
      <c r="O45" s="6" t="s">
        <v>187</v>
      </c>
      <c r="P45" s="6" t="s">
        <v>187</v>
      </c>
      <c r="Q45" s="6" t="s">
        <v>187</v>
      </c>
      <c r="R45" s="6" t="s">
        <v>187</v>
      </c>
      <c r="S45" s="108" t="s">
        <v>187</v>
      </c>
      <c r="T45" s="111">
        <f>VALUE(SUM(H45:J45))</f>
        <v>89</v>
      </c>
      <c r="U45" s="12">
        <f>IF(COUNTIF(N45:S45,"높음")&gt;=1,1,0)</f>
        <v>0</v>
      </c>
    </row>
    <row r="46" spans="1:21" x14ac:dyDescent="0.3">
      <c r="A46" s="2" t="s">
        <v>531</v>
      </c>
      <c r="B46" s="2">
        <v>10718</v>
      </c>
      <c r="C46" s="2">
        <v>1</v>
      </c>
      <c r="D46" s="2" t="s">
        <v>393</v>
      </c>
      <c r="E46" s="11" t="str">
        <f>IF(AND(U46&gt;0,VLOOKUP(B46,'이름 일치'!$B$3:$N$500,13,FALSE)&lt;&gt;""),"1상담"&amp;"/"&amp;VLOOKUP(B46,'이름 일치'!$B$3:$N$500,13,FALSE),IF(U46&gt;0,"1상담",IF(VLOOKUP(B46,'이름 일치'!$B$3:$N$500,13,FALSE)&lt;&gt;"",VLOOKUP(B46,'이름 일치'!$B$3:$N$500,13,FALSE),"")))</f>
        <v/>
      </c>
      <c r="F46" s="11"/>
      <c r="G46" s="2"/>
      <c r="H46" s="13">
        <v>32</v>
      </c>
      <c r="I46" s="13">
        <v>31</v>
      </c>
      <c r="J46" s="13">
        <v>26</v>
      </c>
      <c r="K46" s="6">
        <v>0</v>
      </c>
      <c r="L46" s="6">
        <v>1</v>
      </c>
      <c r="M46" s="6">
        <v>3</v>
      </c>
      <c r="N46" s="6" t="s">
        <v>187</v>
      </c>
      <c r="O46" s="6" t="s">
        <v>187</v>
      </c>
      <c r="P46" s="6" t="s">
        <v>187</v>
      </c>
      <c r="Q46" s="6" t="s">
        <v>187</v>
      </c>
      <c r="R46" s="6" t="s">
        <v>187</v>
      </c>
      <c r="S46" s="108" t="s">
        <v>187</v>
      </c>
      <c r="T46" s="111">
        <f>VALUE(SUM(H46:J46))</f>
        <v>89</v>
      </c>
      <c r="U46" s="12">
        <f>IF(COUNTIF(N46:S46,"높음")&gt;=1,1,0)</f>
        <v>0</v>
      </c>
    </row>
    <row r="47" spans="1:21" x14ac:dyDescent="0.3">
      <c r="A47" s="11" t="s">
        <v>531</v>
      </c>
      <c r="B47" s="2">
        <v>10722</v>
      </c>
      <c r="C47" s="2">
        <v>1</v>
      </c>
      <c r="D47" s="2" t="s">
        <v>397</v>
      </c>
      <c r="E47" s="11" t="str">
        <f>IF(AND(U47&gt;0,VLOOKUP(B47,'이름 일치'!$B$3:$N$500,13,FALSE)&lt;&gt;""),"1상담"&amp;"/"&amp;VLOOKUP(B47,'이름 일치'!$B$3:$N$500,13,FALSE),IF(U47&gt;0,"1상담",IF(VLOOKUP(B47,'이름 일치'!$B$3:$N$500,13,FALSE)&lt;&gt;"",VLOOKUP(B47,'이름 일치'!$B$3:$N$500,13,FALSE),"")))</f>
        <v/>
      </c>
      <c r="F47" s="11"/>
      <c r="G47" s="2"/>
      <c r="H47" s="13">
        <v>32</v>
      </c>
      <c r="I47" s="13">
        <v>31</v>
      </c>
      <c r="J47" s="13">
        <v>26</v>
      </c>
      <c r="K47" s="6">
        <v>0</v>
      </c>
      <c r="L47" s="6">
        <v>1</v>
      </c>
      <c r="M47" s="6">
        <v>3</v>
      </c>
      <c r="N47" s="6" t="s">
        <v>187</v>
      </c>
      <c r="O47" s="6" t="s">
        <v>187</v>
      </c>
      <c r="P47" s="6" t="s">
        <v>187</v>
      </c>
      <c r="Q47" s="6" t="s">
        <v>187</v>
      </c>
      <c r="R47" s="6" t="s">
        <v>187</v>
      </c>
      <c r="S47" s="108" t="s">
        <v>187</v>
      </c>
      <c r="T47" s="111">
        <f>VALUE(SUM(H47:J47))</f>
        <v>89</v>
      </c>
      <c r="U47" s="12">
        <f>IF(COUNTIF(N47:S47,"높음")&gt;=1,1,0)</f>
        <v>0</v>
      </c>
    </row>
    <row r="48" spans="1:21" x14ac:dyDescent="0.3">
      <c r="A48" s="2" t="s">
        <v>531</v>
      </c>
      <c r="B48" s="2">
        <v>10726</v>
      </c>
      <c r="C48" s="2">
        <v>1</v>
      </c>
      <c r="D48" s="2" t="s">
        <v>401</v>
      </c>
      <c r="E48" s="11" t="str">
        <f>IF(AND(U48&gt;0,VLOOKUP(B48,'이름 일치'!$B$3:$N$500,13,FALSE)&lt;&gt;""),"1상담"&amp;"/"&amp;VLOOKUP(B48,'이름 일치'!$B$3:$N$500,13,FALSE),IF(U48&gt;0,"1상담",IF(VLOOKUP(B48,'이름 일치'!$B$3:$N$500,13,FALSE)&lt;&gt;"",VLOOKUP(B48,'이름 일치'!$B$3:$N$500,13,FALSE),"")))</f>
        <v/>
      </c>
      <c r="F48" s="11"/>
      <c r="G48" s="2"/>
      <c r="H48" s="13">
        <v>32</v>
      </c>
      <c r="I48" s="13">
        <v>31</v>
      </c>
      <c r="J48" s="13">
        <v>26</v>
      </c>
      <c r="K48" s="6">
        <v>0</v>
      </c>
      <c r="L48" s="6">
        <v>1</v>
      </c>
      <c r="M48" s="6">
        <v>3</v>
      </c>
      <c r="N48" s="6" t="s">
        <v>187</v>
      </c>
      <c r="O48" s="6" t="s">
        <v>187</v>
      </c>
      <c r="P48" s="6" t="s">
        <v>187</v>
      </c>
      <c r="Q48" s="6" t="s">
        <v>187</v>
      </c>
      <c r="R48" s="6" t="s">
        <v>187</v>
      </c>
      <c r="S48" s="108" t="s">
        <v>187</v>
      </c>
      <c r="T48" s="111">
        <f>VALUE(SUM(H48:J48))</f>
        <v>89</v>
      </c>
      <c r="U48" s="12">
        <f>IF(COUNTIF(N48:S48,"높음")&gt;=1,1,0)</f>
        <v>0</v>
      </c>
    </row>
    <row r="49" spans="1:25" x14ac:dyDescent="0.3">
      <c r="A49" s="2" t="s">
        <v>531</v>
      </c>
      <c r="B49" s="2">
        <v>10730</v>
      </c>
      <c r="C49" s="2">
        <v>1</v>
      </c>
      <c r="D49" s="2" t="s">
        <v>405</v>
      </c>
      <c r="E49" s="11" t="str">
        <f>IF(AND(U49&gt;0,VLOOKUP(B49,'이름 일치'!$B$3:$N$500,13,FALSE)&lt;&gt;""),"1상담"&amp;"/"&amp;VLOOKUP(B49,'이름 일치'!$B$3:$N$500,13,FALSE),IF(U49&gt;0,"1상담",IF(VLOOKUP(B49,'이름 일치'!$B$3:$N$500,13,FALSE)&lt;&gt;"",VLOOKUP(B49,'이름 일치'!$B$3:$N$500,13,FALSE),"")))</f>
        <v/>
      </c>
      <c r="F49" s="11"/>
      <c r="G49" s="2"/>
      <c r="H49" s="13">
        <v>32</v>
      </c>
      <c r="I49" s="13">
        <v>31</v>
      </c>
      <c r="J49" s="13">
        <v>26</v>
      </c>
      <c r="K49" s="6">
        <v>0</v>
      </c>
      <c r="L49" s="6">
        <v>1</v>
      </c>
      <c r="M49" s="6">
        <v>3</v>
      </c>
      <c r="N49" s="6" t="s">
        <v>187</v>
      </c>
      <c r="O49" s="6" t="s">
        <v>187</v>
      </c>
      <c r="P49" s="6" t="s">
        <v>187</v>
      </c>
      <c r="Q49" s="6" t="s">
        <v>187</v>
      </c>
      <c r="R49" s="6" t="s">
        <v>187</v>
      </c>
      <c r="S49" s="108" t="s">
        <v>187</v>
      </c>
      <c r="T49" s="111">
        <f>VALUE(SUM(H49:J49))</f>
        <v>89</v>
      </c>
      <c r="U49" s="12">
        <f>IF(COUNTIF(N49:S49,"높음")&gt;=1,1,0)</f>
        <v>0</v>
      </c>
    </row>
    <row r="50" spans="1:25" x14ac:dyDescent="0.3">
      <c r="A50" s="2" t="s">
        <v>531</v>
      </c>
      <c r="B50" s="2">
        <v>10817</v>
      </c>
      <c r="C50" s="2">
        <v>1</v>
      </c>
      <c r="D50" s="2" t="s">
        <v>421</v>
      </c>
      <c r="E50" s="11" t="str">
        <f>IF(AND(U50&gt;0,VLOOKUP(B50,'이름 일치'!$B$3:$N$500,13,FALSE)&lt;&gt;""),"1상담"&amp;"/"&amp;VLOOKUP(B50,'이름 일치'!$B$3:$N$500,13,FALSE),IF(U50&gt;0,"1상담",IF(VLOOKUP(B50,'이름 일치'!$B$3:$N$500,13,FALSE)&lt;&gt;"",VLOOKUP(B50,'이름 일치'!$B$3:$N$500,13,FALSE),"")))</f>
        <v/>
      </c>
      <c r="F50" s="11"/>
      <c r="G50" s="2"/>
      <c r="H50" s="13">
        <v>32</v>
      </c>
      <c r="I50" s="13">
        <v>31</v>
      </c>
      <c r="J50" s="13">
        <v>26</v>
      </c>
      <c r="K50" s="6">
        <v>0</v>
      </c>
      <c r="L50" s="6">
        <v>1</v>
      </c>
      <c r="M50" s="6">
        <v>3</v>
      </c>
      <c r="N50" s="6" t="s">
        <v>187</v>
      </c>
      <c r="O50" s="6" t="s">
        <v>187</v>
      </c>
      <c r="P50" s="6" t="s">
        <v>187</v>
      </c>
      <c r="Q50" s="6" t="s">
        <v>187</v>
      </c>
      <c r="R50" s="6" t="s">
        <v>187</v>
      </c>
      <c r="S50" s="108" t="s">
        <v>187</v>
      </c>
      <c r="T50" s="111">
        <f>VALUE(SUM(H50:J50))</f>
        <v>89</v>
      </c>
      <c r="U50" s="12">
        <f>IF(COUNTIF(N50:S50,"높음")&gt;=1,1,0)</f>
        <v>0</v>
      </c>
    </row>
    <row r="51" spans="1:25" x14ac:dyDescent="0.3">
      <c r="A51" s="2" t="s">
        <v>531</v>
      </c>
      <c r="B51" s="2">
        <v>10821</v>
      </c>
      <c r="C51" s="2">
        <v>1</v>
      </c>
      <c r="D51" s="2" t="s">
        <v>425</v>
      </c>
      <c r="E51" s="11" t="str">
        <f>IF(AND(U51&gt;0,VLOOKUP(B51,'이름 일치'!$B$3:$N$500,13,FALSE)&lt;&gt;""),"1상담"&amp;"/"&amp;VLOOKUP(B51,'이름 일치'!$B$3:$N$500,13,FALSE),IF(U51&gt;0,"1상담",IF(VLOOKUP(B51,'이름 일치'!$B$3:$N$500,13,FALSE)&lt;&gt;"",VLOOKUP(B51,'이름 일치'!$B$3:$N$500,13,FALSE),"")))</f>
        <v/>
      </c>
      <c r="F51" s="11"/>
      <c r="G51" s="2"/>
      <c r="H51" s="13">
        <v>32</v>
      </c>
      <c r="I51" s="13">
        <v>31</v>
      </c>
      <c r="J51" s="13">
        <v>26</v>
      </c>
      <c r="K51" s="6">
        <v>0</v>
      </c>
      <c r="L51" s="6">
        <v>1</v>
      </c>
      <c r="M51" s="6">
        <v>3</v>
      </c>
      <c r="N51" s="6" t="s">
        <v>187</v>
      </c>
      <c r="O51" s="6" t="s">
        <v>187</v>
      </c>
      <c r="P51" s="6" t="s">
        <v>187</v>
      </c>
      <c r="Q51" s="6" t="s">
        <v>187</v>
      </c>
      <c r="R51" s="6" t="s">
        <v>187</v>
      </c>
      <c r="S51" s="108" t="s">
        <v>187</v>
      </c>
      <c r="T51" s="111">
        <f>VALUE(SUM(H51:J51))</f>
        <v>89</v>
      </c>
      <c r="U51" s="12">
        <f>IF(COUNTIF(N51:S51,"높음")&gt;=1,1,0)</f>
        <v>0</v>
      </c>
    </row>
    <row r="52" spans="1:25" x14ac:dyDescent="0.3">
      <c r="A52" s="2" t="s">
        <v>531</v>
      </c>
      <c r="B52" s="2">
        <v>10825</v>
      </c>
      <c r="C52" s="2">
        <v>1</v>
      </c>
      <c r="D52" s="2" t="s">
        <v>429</v>
      </c>
      <c r="E52" s="11" t="str">
        <f>IF(AND(U52&gt;0,VLOOKUP(B52,'이름 일치'!$B$3:$N$500,13,FALSE)&lt;&gt;""),"1상담"&amp;"/"&amp;VLOOKUP(B52,'이름 일치'!$B$3:$N$500,13,FALSE),IF(U52&gt;0,"1상담",IF(VLOOKUP(B52,'이름 일치'!$B$3:$N$500,13,FALSE)&lt;&gt;"",VLOOKUP(B52,'이름 일치'!$B$3:$N$500,13,FALSE),"")))</f>
        <v/>
      </c>
      <c r="F52" s="11"/>
      <c r="G52" s="2"/>
      <c r="H52" s="13">
        <v>32</v>
      </c>
      <c r="I52" s="13">
        <v>31</v>
      </c>
      <c r="J52" s="13">
        <v>26</v>
      </c>
      <c r="K52" s="6">
        <v>0</v>
      </c>
      <c r="L52" s="6">
        <v>1</v>
      </c>
      <c r="M52" s="6">
        <v>3</v>
      </c>
      <c r="N52" s="6" t="s">
        <v>187</v>
      </c>
      <c r="O52" s="6" t="s">
        <v>187</v>
      </c>
      <c r="P52" s="6" t="s">
        <v>187</v>
      </c>
      <c r="Q52" s="6" t="s">
        <v>187</v>
      </c>
      <c r="R52" s="6" t="s">
        <v>187</v>
      </c>
      <c r="S52" s="108" t="s">
        <v>187</v>
      </c>
      <c r="T52" s="111">
        <f>VALUE(SUM(H52:J52))</f>
        <v>89</v>
      </c>
      <c r="U52" s="12">
        <f>IF(COUNTIF(N52:S52,"높음")&gt;=1,1,0)</f>
        <v>0</v>
      </c>
    </row>
    <row r="53" spans="1:25" x14ac:dyDescent="0.3">
      <c r="A53" s="2" t="s">
        <v>531</v>
      </c>
      <c r="B53" s="2">
        <v>10920</v>
      </c>
      <c r="C53" s="2">
        <v>1</v>
      </c>
      <c r="D53" s="2" t="s">
        <v>451</v>
      </c>
      <c r="E53" s="11" t="str">
        <f>IF(AND(U53&gt;0,VLOOKUP(B53,'이름 일치'!$B$3:$N$500,13,FALSE)&lt;&gt;""),"1상담"&amp;"/"&amp;VLOOKUP(B53,'이름 일치'!$B$3:$N$500,13,FALSE),IF(U53&gt;0,"1상담",IF(VLOOKUP(B53,'이름 일치'!$B$3:$N$500,13,FALSE)&lt;&gt;"",VLOOKUP(B53,'이름 일치'!$B$3:$N$500,13,FALSE),"")))</f>
        <v/>
      </c>
      <c r="F53" s="11"/>
      <c r="G53" s="2"/>
      <c r="H53" s="13">
        <v>32</v>
      </c>
      <c r="I53" s="13">
        <v>31</v>
      </c>
      <c r="J53" s="13">
        <v>26</v>
      </c>
      <c r="K53" s="6">
        <v>0</v>
      </c>
      <c r="L53" s="6">
        <v>1</v>
      </c>
      <c r="M53" s="6">
        <v>3</v>
      </c>
      <c r="N53" s="6" t="s">
        <v>187</v>
      </c>
      <c r="O53" s="6" t="s">
        <v>187</v>
      </c>
      <c r="P53" s="6" t="s">
        <v>187</v>
      </c>
      <c r="Q53" s="6" t="s">
        <v>187</v>
      </c>
      <c r="R53" s="6" t="s">
        <v>187</v>
      </c>
      <c r="S53" s="108" t="s">
        <v>187</v>
      </c>
      <c r="T53" s="111">
        <f>VALUE(SUM(H53:J53))</f>
        <v>89</v>
      </c>
      <c r="U53" s="12">
        <f>IF(COUNTIF(N53:S53,"높음")&gt;=1,1,0)</f>
        <v>0</v>
      </c>
    </row>
    <row r="54" spans="1:25" x14ac:dyDescent="0.3">
      <c r="A54" s="2" t="s">
        <v>531</v>
      </c>
      <c r="B54" s="2">
        <v>10924</v>
      </c>
      <c r="C54" s="2">
        <v>1</v>
      </c>
      <c r="D54" s="2" t="s">
        <v>455</v>
      </c>
      <c r="E54" s="11" t="str">
        <f>IF(AND(U54&gt;0,VLOOKUP(B54,'이름 일치'!$B$3:$N$500,13,FALSE)&lt;&gt;""),"1상담"&amp;"/"&amp;VLOOKUP(B54,'이름 일치'!$B$3:$N$500,13,FALSE),IF(U54&gt;0,"1상담",IF(VLOOKUP(B54,'이름 일치'!$B$3:$N$500,13,FALSE)&lt;&gt;"",VLOOKUP(B54,'이름 일치'!$B$3:$N$500,13,FALSE),"")))</f>
        <v/>
      </c>
      <c r="F54" s="11"/>
      <c r="G54" s="2"/>
      <c r="H54" s="13">
        <v>32</v>
      </c>
      <c r="I54" s="13">
        <v>31</v>
      </c>
      <c r="J54" s="13">
        <v>26</v>
      </c>
      <c r="K54" s="6">
        <v>0</v>
      </c>
      <c r="L54" s="6">
        <v>1</v>
      </c>
      <c r="M54" s="6">
        <v>3</v>
      </c>
      <c r="N54" s="6" t="s">
        <v>187</v>
      </c>
      <c r="O54" s="6" t="s">
        <v>187</v>
      </c>
      <c r="P54" s="6" t="s">
        <v>187</v>
      </c>
      <c r="Q54" s="6" t="s">
        <v>187</v>
      </c>
      <c r="R54" s="6" t="s">
        <v>187</v>
      </c>
      <c r="S54" s="108" t="s">
        <v>187</v>
      </c>
      <c r="T54" s="111">
        <f>VALUE(SUM(H54:J54))</f>
        <v>89</v>
      </c>
      <c r="U54" s="12">
        <f>IF(COUNTIF(N54:S54,"높음")&gt;=1,1,0)</f>
        <v>0</v>
      </c>
    </row>
    <row r="55" spans="1:25" x14ac:dyDescent="0.3">
      <c r="A55" s="2" t="s">
        <v>531</v>
      </c>
      <c r="B55" s="2">
        <v>10928</v>
      </c>
      <c r="C55" s="2">
        <v>1</v>
      </c>
      <c r="D55" s="2" t="s">
        <v>459</v>
      </c>
      <c r="E55" s="11" t="str">
        <f>IF(AND(U55&gt;0,VLOOKUP(B55,'이름 일치'!$B$3:$N$500,13,FALSE)&lt;&gt;""),"1상담"&amp;"/"&amp;VLOOKUP(B55,'이름 일치'!$B$3:$N$500,13,FALSE),IF(U55&gt;0,"1상담",IF(VLOOKUP(B55,'이름 일치'!$B$3:$N$500,13,FALSE)&lt;&gt;"",VLOOKUP(B55,'이름 일치'!$B$3:$N$500,13,FALSE),"")))</f>
        <v/>
      </c>
      <c r="F55" s="11"/>
      <c r="G55" s="2"/>
      <c r="H55" s="13">
        <v>32</v>
      </c>
      <c r="I55" s="13">
        <v>31</v>
      </c>
      <c r="J55" s="13">
        <v>26</v>
      </c>
      <c r="K55" s="6">
        <v>0</v>
      </c>
      <c r="L55" s="6">
        <v>1</v>
      </c>
      <c r="M55" s="6">
        <v>3</v>
      </c>
      <c r="N55" s="6" t="s">
        <v>187</v>
      </c>
      <c r="O55" s="6" t="s">
        <v>187</v>
      </c>
      <c r="P55" s="6" t="s">
        <v>187</v>
      </c>
      <c r="Q55" s="6" t="s">
        <v>187</v>
      </c>
      <c r="R55" s="6" t="s">
        <v>187</v>
      </c>
      <c r="S55" s="108" t="s">
        <v>187</v>
      </c>
      <c r="T55" s="111">
        <f>VALUE(SUM(H55:J55))</f>
        <v>89</v>
      </c>
      <c r="U55" s="12">
        <f>IF(COUNTIF(N55:S55,"높음")&gt;=1,1,0)</f>
        <v>0</v>
      </c>
      <c r="X55" s="14"/>
      <c r="Y55" s="15"/>
    </row>
    <row r="56" spans="1:25" x14ac:dyDescent="0.3">
      <c r="A56" s="2" t="s">
        <v>531</v>
      </c>
      <c r="B56" s="2">
        <v>11019</v>
      </c>
      <c r="C56" s="2">
        <v>1</v>
      </c>
      <c r="D56" s="2" t="s">
        <v>477</v>
      </c>
      <c r="E56" s="11" t="str">
        <f>IF(AND(U56&gt;0,VLOOKUP(B56,'이름 일치'!$B$3:$N$500,13,FALSE)&lt;&gt;""),"1상담"&amp;"/"&amp;VLOOKUP(B56,'이름 일치'!$B$3:$N$500,13,FALSE),IF(U56&gt;0,"1상담",IF(VLOOKUP(B56,'이름 일치'!$B$3:$N$500,13,FALSE)&lt;&gt;"",VLOOKUP(B56,'이름 일치'!$B$3:$N$500,13,FALSE),"")))</f>
        <v/>
      </c>
      <c r="F56" s="11"/>
      <c r="G56" s="2"/>
      <c r="H56" s="13">
        <v>32</v>
      </c>
      <c r="I56" s="13">
        <v>31</v>
      </c>
      <c r="J56" s="13">
        <v>26</v>
      </c>
      <c r="K56" s="6">
        <v>0</v>
      </c>
      <c r="L56" s="6">
        <v>1</v>
      </c>
      <c r="M56" s="6">
        <v>3</v>
      </c>
      <c r="N56" s="6" t="s">
        <v>187</v>
      </c>
      <c r="O56" s="6" t="s">
        <v>187</v>
      </c>
      <c r="P56" s="6" t="s">
        <v>187</v>
      </c>
      <c r="Q56" s="6" t="s">
        <v>187</v>
      </c>
      <c r="R56" s="6" t="s">
        <v>187</v>
      </c>
      <c r="S56" s="108" t="s">
        <v>187</v>
      </c>
      <c r="T56" s="111">
        <f>VALUE(SUM(H56:J56))</f>
        <v>89</v>
      </c>
      <c r="U56" s="12">
        <f>IF(COUNTIF(N56:S56,"높음")&gt;=1,1,0)</f>
        <v>0</v>
      </c>
    </row>
    <row r="57" spans="1:25" x14ac:dyDescent="0.3">
      <c r="A57" s="2" t="s">
        <v>531</v>
      </c>
      <c r="B57" s="2">
        <v>11023</v>
      </c>
      <c r="C57" s="2">
        <v>1</v>
      </c>
      <c r="D57" s="2" t="s">
        <v>481</v>
      </c>
      <c r="E57" s="11" t="str">
        <f>IF(AND(U57&gt;0,VLOOKUP(B57,'이름 일치'!$B$3:$N$500,13,FALSE)&lt;&gt;""),"1상담"&amp;"/"&amp;VLOOKUP(B57,'이름 일치'!$B$3:$N$500,13,FALSE),IF(U57&gt;0,"1상담",IF(VLOOKUP(B57,'이름 일치'!$B$3:$N$500,13,FALSE)&lt;&gt;"",VLOOKUP(B57,'이름 일치'!$B$3:$N$500,13,FALSE),"")))</f>
        <v/>
      </c>
      <c r="F57" s="11"/>
      <c r="G57" s="2"/>
      <c r="H57" s="13">
        <v>32</v>
      </c>
      <c r="I57" s="13">
        <v>31</v>
      </c>
      <c r="J57" s="13">
        <v>26</v>
      </c>
      <c r="K57" s="6">
        <v>0</v>
      </c>
      <c r="L57" s="6">
        <v>1</v>
      </c>
      <c r="M57" s="6">
        <v>3</v>
      </c>
      <c r="N57" s="6" t="s">
        <v>187</v>
      </c>
      <c r="O57" s="6" t="s">
        <v>187</v>
      </c>
      <c r="P57" s="6" t="s">
        <v>187</v>
      </c>
      <c r="Q57" s="6" t="s">
        <v>187</v>
      </c>
      <c r="R57" s="6" t="s">
        <v>187</v>
      </c>
      <c r="S57" s="108" t="s">
        <v>187</v>
      </c>
      <c r="T57" s="111">
        <f>VALUE(SUM(H57:J57))</f>
        <v>89</v>
      </c>
      <c r="U57" s="12">
        <f>IF(COUNTIF(N57:S57,"높음")&gt;=1,1,0)</f>
        <v>0</v>
      </c>
    </row>
    <row r="58" spans="1:25" x14ac:dyDescent="0.3">
      <c r="A58" s="11" t="s">
        <v>531</v>
      </c>
      <c r="B58" s="2">
        <v>11027</v>
      </c>
      <c r="C58" s="2">
        <v>1</v>
      </c>
      <c r="D58" s="2" t="s">
        <v>485</v>
      </c>
      <c r="E58" s="11" t="str">
        <f>IF(AND(U58&gt;0,VLOOKUP(B58,'이름 일치'!$B$3:$N$500,13,FALSE)&lt;&gt;""),"1상담"&amp;"/"&amp;VLOOKUP(B58,'이름 일치'!$B$3:$N$500,13,FALSE),IF(U58&gt;0,"1상담",IF(VLOOKUP(B58,'이름 일치'!$B$3:$N$500,13,FALSE)&lt;&gt;"",VLOOKUP(B58,'이름 일치'!$B$3:$N$500,13,FALSE),"")))</f>
        <v/>
      </c>
      <c r="F58" s="11"/>
      <c r="G58" s="2"/>
      <c r="H58" s="13">
        <v>32</v>
      </c>
      <c r="I58" s="13">
        <v>31</v>
      </c>
      <c r="J58" s="13">
        <v>26</v>
      </c>
      <c r="K58" s="6">
        <v>0</v>
      </c>
      <c r="L58" s="6">
        <v>1</v>
      </c>
      <c r="M58" s="6">
        <v>3</v>
      </c>
      <c r="N58" s="6" t="s">
        <v>187</v>
      </c>
      <c r="O58" s="6" t="s">
        <v>187</v>
      </c>
      <c r="P58" s="6" t="s">
        <v>187</v>
      </c>
      <c r="Q58" s="6" t="s">
        <v>187</v>
      </c>
      <c r="R58" s="6" t="s">
        <v>187</v>
      </c>
      <c r="S58" s="108" t="s">
        <v>187</v>
      </c>
      <c r="T58" s="111">
        <f>VALUE(SUM(H58:J58))</f>
        <v>89</v>
      </c>
      <c r="U58" s="12">
        <f>IF(COUNTIF(N58:S58,"높음")&gt;=1,1,0)</f>
        <v>0</v>
      </c>
    </row>
    <row r="59" spans="1:25" x14ac:dyDescent="0.3">
      <c r="A59" s="2" t="s">
        <v>531</v>
      </c>
      <c r="B59" s="2">
        <v>10116</v>
      </c>
      <c r="C59" s="2">
        <v>1</v>
      </c>
      <c r="D59" s="2" t="s">
        <v>218</v>
      </c>
      <c r="E59" s="11" t="str">
        <f>IF(AND(U59&gt;0,VLOOKUP(B59,'이름 일치'!$B$3:$N$500,13,FALSE)&lt;&gt;""),"1상담"&amp;"/"&amp;VLOOKUP(B59,'이름 일치'!$B$3:$N$500,13,FALSE),IF(U59&gt;0,"1상담",IF(VLOOKUP(B59,'이름 일치'!$B$3:$N$500,13,FALSE)&lt;&gt;"",VLOOKUP(B59,'이름 일치'!$B$3:$N$500,13,FALSE),"")))</f>
        <v/>
      </c>
      <c r="F59" s="11"/>
      <c r="G59" s="2"/>
      <c r="H59" s="13">
        <v>81</v>
      </c>
      <c r="I59" s="13">
        <v>86</v>
      </c>
      <c r="J59" s="13">
        <v>76</v>
      </c>
      <c r="K59" s="6">
        <v>0</v>
      </c>
      <c r="L59" s="6">
        <v>1</v>
      </c>
      <c r="M59" s="6">
        <v>0</v>
      </c>
      <c r="N59" s="6" t="s">
        <v>187</v>
      </c>
      <c r="O59" s="6" t="s">
        <v>187</v>
      </c>
      <c r="P59" s="6" t="s">
        <v>187</v>
      </c>
      <c r="Q59" s="6" t="s">
        <v>187</v>
      </c>
      <c r="R59" s="6" t="s">
        <v>187</v>
      </c>
      <c r="S59" s="108" t="s">
        <v>187</v>
      </c>
      <c r="T59" s="111">
        <f>VALUE(SUM(H59:J59))</f>
        <v>243</v>
      </c>
      <c r="U59" s="12">
        <f>IF(COUNTIF(N59:S59,"높음")&gt;=1,1,0)</f>
        <v>0</v>
      </c>
    </row>
    <row r="60" spans="1:25" x14ac:dyDescent="0.3">
      <c r="A60" s="11" t="s">
        <v>531</v>
      </c>
      <c r="B60" s="2">
        <v>10120</v>
      </c>
      <c r="C60" s="2">
        <v>1</v>
      </c>
      <c r="D60" s="2" t="s">
        <v>222</v>
      </c>
      <c r="E60" s="11" t="str">
        <f>IF(AND(U60&gt;0,VLOOKUP(B60,'이름 일치'!$B$3:$N$500,13,FALSE)&lt;&gt;""),"1상담"&amp;"/"&amp;VLOOKUP(B60,'이름 일치'!$B$3:$N$500,13,FALSE),IF(U60&gt;0,"1상담",IF(VLOOKUP(B60,'이름 일치'!$B$3:$N$500,13,FALSE)&lt;&gt;"",VLOOKUP(B60,'이름 일치'!$B$3:$N$500,13,FALSE),"")))</f>
        <v/>
      </c>
      <c r="F60" s="11"/>
      <c r="G60" s="2"/>
      <c r="H60" s="13">
        <v>81</v>
      </c>
      <c r="I60" s="13">
        <v>86</v>
      </c>
      <c r="J60" s="13">
        <v>76</v>
      </c>
      <c r="K60" s="6">
        <v>0</v>
      </c>
      <c r="L60" s="6">
        <v>1</v>
      </c>
      <c r="M60" s="6">
        <v>0</v>
      </c>
      <c r="N60" s="6" t="s">
        <v>187</v>
      </c>
      <c r="O60" s="6" t="s">
        <v>187</v>
      </c>
      <c r="P60" s="6" t="s">
        <v>187</v>
      </c>
      <c r="Q60" s="6" t="s">
        <v>187</v>
      </c>
      <c r="R60" s="6" t="s">
        <v>187</v>
      </c>
      <c r="S60" s="108" t="s">
        <v>187</v>
      </c>
      <c r="T60" s="111">
        <f>VALUE(SUM(H60:J60))</f>
        <v>243</v>
      </c>
      <c r="U60" s="12">
        <f>IF(COUNTIF(N60:S60,"높음")&gt;=1,1,0)</f>
        <v>0</v>
      </c>
    </row>
    <row r="61" spans="1:25" x14ac:dyDescent="0.3">
      <c r="A61" s="2" t="s">
        <v>531</v>
      </c>
      <c r="B61" s="2">
        <v>10124</v>
      </c>
      <c r="C61" s="2">
        <v>1</v>
      </c>
      <c r="D61" s="2" t="s">
        <v>226</v>
      </c>
      <c r="E61" s="11" t="str">
        <f>IF(AND(U61&gt;0,VLOOKUP(B61,'이름 일치'!$B$3:$N$500,13,FALSE)&lt;&gt;""),"1상담"&amp;"/"&amp;VLOOKUP(B61,'이름 일치'!$B$3:$N$500,13,FALSE),IF(U61&gt;0,"1상담",IF(VLOOKUP(B61,'이름 일치'!$B$3:$N$500,13,FALSE)&lt;&gt;"",VLOOKUP(B61,'이름 일치'!$B$3:$N$500,13,FALSE),"")))</f>
        <v/>
      </c>
      <c r="F61" s="11"/>
      <c r="G61" s="2"/>
      <c r="H61" s="13">
        <v>81</v>
      </c>
      <c r="I61" s="13">
        <v>86</v>
      </c>
      <c r="J61" s="13">
        <v>76</v>
      </c>
      <c r="K61" s="6">
        <v>0</v>
      </c>
      <c r="L61" s="6">
        <v>1</v>
      </c>
      <c r="M61" s="6">
        <v>0</v>
      </c>
      <c r="N61" s="6" t="s">
        <v>187</v>
      </c>
      <c r="O61" s="6" t="s">
        <v>187</v>
      </c>
      <c r="P61" s="6" t="s">
        <v>187</v>
      </c>
      <c r="Q61" s="6" t="s">
        <v>187</v>
      </c>
      <c r="R61" s="6" t="s">
        <v>187</v>
      </c>
      <c r="S61" s="108" t="s">
        <v>187</v>
      </c>
      <c r="T61" s="111">
        <f>VALUE(SUM(H61:J61))</f>
        <v>243</v>
      </c>
      <c r="U61" s="12">
        <f>IF(COUNTIF(N61:S61,"높음")&gt;=1,1,0)</f>
        <v>0</v>
      </c>
    </row>
    <row r="62" spans="1:25" x14ac:dyDescent="0.3">
      <c r="A62" s="2" t="s">
        <v>531</v>
      </c>
      <c r="B62" s="2">
        <v>10128</v>
      </c>
      <c r="C62" s="2">
        <v>1</v>
      </c>
      <c r="D62" s="2" t="s">
        <v>230</v>
      </c>
      <c r="E62" s="11" t="str">
        <f>IF(AND(U62&gt;0,VLOOKUP(B62,'이름 일치'!$B$3:$N$500,13,FALSE)&lt;&gt;""),"1상담"&amp;"/"&amp;VLOOKUP(B62,'이름 일치'!$B$3:$N$500,13,FALSE),IF(U62&gt;0,"1상담",IF(VLOOKUP(B62,'이름 일치'!$B$3:$N$500,13,FALSE)&lt;&gt;"",VLOOKUP(B62,'이름 일치'!$B$3:$N$500,13,FALSE),"")))</f>
        <v/>
      </c>
      <c r="F62" s="11"/>
      <c r="G62" s="2"/>
      <c r="H62" s="13">
        <v>81</v>
      </c>
      <c r="I62" s="13">
        <v>86</v>
      </c>
      <c r="J62" s="13">
        <v>76</v>
      </c>
      <c r="K62" s="6">
        <v>0</v>
      </c>
      <c r="L62" s="6">
        <v>1</v>
      </c>
      <c r="M62" s="6">
        <v>0</v>
      </c>
      <c r="N62" s="6" t="s">
        <v>187</v>
      </c>
      <c r="O62" s="6" t="s">
        <v>187</v>
      </c>
      <c r="P62" s="6" t="s">
        <v>187</v>
      </c>
      <c r="Q62" s="6" t="s">
        <v>187</v>
      </c>
      <c r="R62" s="6" t="s">
        <v>187</v>
      </c>
      <c r="S62" s="108" t="s">
        <v>187</v>
      </c>
      <c r="T62" s="111">
        <f>VALUE(SUM(H62:J62))</f>
        <v>243</v>
      </c>
      <c r="U62" s="12">
        <f>IF(COUNTIF(N62:S62,"높음")&gt;=1,1,0)</f>
        <v>0</v>
      </c>
    </row>
    <row r="63" spans="1:25" x14ac:dyDescent="0.3">
      <c r="A63" s="11" t="s">
        <v>531</v>
      </c>
      <c r="B63" s="2">
        <v>10219</v>
      </c>
      <c r="C63" s="2">
        <v>1</v>
      </c>
      <c r="D63" s="2" t="s">
        <v>250</v>
      </c>
      <c r="E63" s="11" t="str">
        <f>IF(AND(U63&gt;0,VLOOKUP(B63,'이름 일치'!$B$3:$N$500,13,FALSE)&lt;&gt;""),"1상담"&amp;"/"&amp;VLOOKUP(B63,'이름 일치'!$B$3:$N$500,13,FALSE),IF(U63&gt;0,"1상담",IF(VLOOKUP(B63,'이름 일치'!$B$3:$N$500,13,FALSE)&lt;&gt;"",VLOOKUP(B63,'이름 일치'!$B$3:$N$500,13,FALSE),"")))</f>
        <v/>
      </c>
      <c r="F63" s="11"/>
      <c r="G63" s="2"/>
      <c r="H63" s="13">
        <v>81</v>
      </c>
      <c r="I63" s="13">
        <v>86</v>
      </c>
      <c r="J63" s="13">
        <v>76</v>
      </c>
      <c r="K63" s="6">
        <v>0</v>
      </c>
      <c r="L63" s="6">
        <v>1</v>
      </c>
      <c r="M63" s="6">
        <v>0</v>
      </c>
      <c r="N63" s="6" t="s">
        <v>187</v>
      </c>
      <c r="O63" s="6" t="s">
        <v>187</v>
      </c>
      <c r="P63" s="6" t="s">
        <v>187</v>
      </c>
      <c r="Q63" s="6" t="s">
        <v>187</v>
      </c>
      <c r="R63" s="6" t="s">
        <v>187</v>
      </c>
      <c r="S63" s="108" t="s">
        <v>187</v>
      </c>
      <c r="T63" s="111">
        <f>VALUE(SUM(H63:J63))</f>
        <v>243</v>
      </c>
      <c r="U63" s="12">
        <f>IF(COUNTIF(N63:S63,"높음")&gt;=1,1,0)</f>
        <v>0</v>
      </c>
    </row>
    <row r="64" spans="1:25" x14ac:dyDescent="0.3">
      <c r="A64" s="2" t="s">
        <v>531</v>
      </c>
      <c r="B64" s="2">
        <v>10224</v>
      </c>
      <c r="C64" s="2">
        <v>1</v>
      </c>
      <c r="D64" s="2" t="s">
        <v>254</v>
      </c>
      <c r="E64" s="11" t="str">
        <f>IF(AND(U64&gt;0,VLOOKUP(B64,'이름 일치'!$B$3:$N$500,13,FALSE)&lt;&gt;""),"1상담"&amp;"/"&amp;VLOOKUP(B64,'이름 일치'!$B$3:$N$500,13,FALSE),IF(U64&gt;0,"1상담",IF(VLOOKUP(B64,'이름 일치'!$B$3:$N$500,13,FALSE)&lt;&gt;"",VLOOKUP(B64,'이름 일치'!$B$3:$N$500,13,FALSE),"")))</f>
        <v/>
      </c>
      <c r="F64" s="11"/>
      <c r="G64" s="2"/>
      <c r="H64" s="13">
        <v>81</v>
      </c>
      <c r="I64" s="13">
        <v>86</v>
      </c>
      <c r="J64" s="13">
        <v>76</v>
      </c>
      <c r="K64" s="6">
        <v>0</v>
      </c>
      <c r="L64" s="6">
        <v>1</v>
      </c>
      <c r="M64" s="6">
        <v>0</v>
      </c>
      <c r="N64" s="6" t="s">
        <v>187</v>
      </c>
      <c r="O64" s="6" t="s">
        <v>187</v>
      </c>
      <c r="P64" s="6" t="s">
        <v>187</v>
      </c>
      <c r="Q64" s="6" t="s">
        <v>187</v>
      </c>
      <c r="R64" s="6" t="s">
        <v>187</v>
      </c>
      <c r="S64" s="108" t="s">
        <v>187</v>
      </c>
      <c r="T64" s="111">
        <f>VALUE(SUM(H64:J64))</f>
        <v>243</v>
      </c>
      <c r="U64" s="12">
        <f>IF(COUNTIF(N64:S64,"높음")&gt;=1,1,0)</f>
        <v>0</v>
      </c>
    </row>
    <row r="65" spans="1:25" x14ac:dyDescent="0.3">
      <c r="A65" s="11" t="s">
        <v>531</v>
      </c>
      <c r="B65" s="2">
        <v>10228</v>
      </c>
      <c r="C65" s="2">
        <v>1</v>
      </c>
      <c r="D65" s="2" t="s">
        <v>258</v>
      </c>
      <c r="E65" s="11" t="str">
        <f>IF(AND(U65&gt;0,VLOOKUP(B65,'이름 일치'!$B$3:$N$500,13,FALSE)&lt;&gt;""),"1상담"&amp;"/"&amp;VLOOKUP(B65,'이름 일치'!$B$3:$N$500,13,FALSE),IF(U65&gt;0,"1상담",IF(VLOOKUP(B65,'이름 일치'!$B$3:$N$500,13,FALSE)&lt;&gt;"",VLOOKUP(B65,'이름 일치'!$B$3:$N$500,13,FALSE),"")))</f>
        <v/>
      </c>
      <c r="F65" s="11"/>
      <c r="G65" s="2"/>
      <c r="H65" s="13">
        <v>81</v>
      </c>
      <c r="I65" s="13">
        <v>86</v>
      </c>
      <c r="J65" s="13">
        <v>76</v>
      </c>
      <c r="K65" s="6">
        <v>0</v>
      </c>
      <c r="L65" s="6">
        <v>1</v>
      </c>
      <c r="M65" s="6">
        <v>0</v>
      </c>
      <c r="N65" s="6" t="s">
        <v>187</v>
      </c>
      <c r="O65" s="6" t="s">
        <v>187</v>
      </c>
      <c r="P65" s="6" t="s">
        <v>187</v>
      </c>
      <c r="Q65" s="6" t="s">
        <v>187</v>
      </c>
      <c r="R65" s="6" t="s">
        <v>187</v>
      </c>
      <c r="S65" s="108" t="s">
        <v>187</v>
      </c>
      <c r="T65" s="111">
        <f>VALUE(SUM(H65:J65))</f>
        <v>243</v>
      </c>
      <c r="U65" s="12">
        <f>IF(COUNTIF(N65:S65,"높음")&gt;=1,1,0)</f>
        <v>0</v>
      </c>
    </row>
    <row r="66" spans="1:25" x14ac:dyDescent="0.3">
      <c r="A66" s="11" t="s">
        <v>531</v>
      </c>
      <c r="B66" s="2">
        <v>10317</v>
      </c>
      <c r="C66" s="2">
        <v>1</v>
      </c>
      <c r="D66" s="2" t="s">
        <v>278</v>
      </c>
      <c r="E66" s="11" t="str">
        <f>IF(AND(U66&gt;0,VLOOKUP(B66,'이름 일치'!$B$3:$N$500,13,FALSE)&lt;&gt;""),"1상담"&amp;"/"&amp;VLOOKUP(B66,'이름 일치'!$B$3:$N$500,13,FALSE),IF(U66&gt;0,"1상담",IF(VLOOKUP(B66,'이름 일치'!$B$3:$N$500,13,FALSE)&lt;&gt;"",VLOOKUP(B66,'이름 일치'!$B$3:$N$500,13,FALSE),"")))</f>
        <v/>
      </c>
      <c r="F66" s="11"/>
      <c r="G66" s="2"/>
      <c r="H66" s="13">
        <v>81</v>
      </c>
      <c r="I66" s="13">
        <v>86</v>
      </c>
      <c r="J66" s="13">
        <v>76</v>
      </c>
      <c r="K66" s="6">
        <v>0</v>
      </c>
      <c r="L66" s="6">
        <v>1</v>
      </c>
      <c r="M66" s="6">
        <v>0</v>
      </c>
      <c r="N66" s="6" t="s">
        <v>187</v>
      </c>
      <c r="O66" s="6" t="s">
        <v>187</v>
      </c>
      <c r="P66" s="6" t="s">
        <v>187</v>
      </c>
      <c r="Q66" s="6" t="s">
        <v>187</v>
      </c>
      <c r="R66" s="6" t="s">
        <v>187</v>
      </c>
      <c r="S66" s="108" t="s">
        <v>187</v>
      </c>
      <c r="T66" s="111">
        <f>VALUE(SUM(H66:J66))</f>
        <v>243</v>
      </c>
      <c r="U66" s="12">
        <f>IF(COUNTIF(N66:S66,"높음")&gt;=1,1,0)</f>
        <v>0</v>
      </c>
    </row>
    <row r="67" spans="1:25" x14ac:dyDescent="0.3">
      <c r="A67" s="2" t="s">
        <v>531</v>
      </c>
      <c r="B67" s="2">
        <v>10321</v>
      </c>
      <c r="C67" s="2">
        <v>1</v>
      </c>
      <c r="D67" s="2" t="s">
        <v>282</v>
      </c>
      <c r="E67" s="11" t="str">
        <f>IF(AND(U67&gt;0,VLOOKUP(B67,'이름 일치'!$B$3:$N$500,13,FALSE)&lt;&gt;""),"1상담"&amp;"/"&amp;VLOOKUP(B67,'이름 일치'!$B$3:$N$500,13,FALSE),IF(U67&gt;0,"1상담",IF(VLOOKUP(B67,'이름 일치'!$B$3:$N$500,13,FALSE)&lt;&gt;"",VLOOKUP(B67,'이름 일치'!$B$3:$N$500,13,FALSE),"")))</f>
        <v/>
      </c>
      <c r="F67" s="11"/>
      <c r="G67" s="2"/>
      <c r="H67" s="13">
        <v>81</v>
      </c>
      <c r="I67" s="13">
        <v>86</v>
      </c>
      <c r="J67" s="13">
        <v>76</v>
      </c>
      <c r="K67" s="6">
        <v>0</v>
      </c>
      <c r="L67" s="6">
        <v>1</v>
      </c>
      <c r="M67" s="6">
        <v>0</v>
      </c>
      <c r="N67" s="6" t="s">
        <v>187</v>
      </c>
      <c r="O67" s="6" t="s">
        <v>187</v>
      </c>
      <c r="P67" s="6" t="s">
        <v>187</v>
      </c>
      <c r="Q67" s="6" t="s">
        <v>187</v>
      </c>
      <c r="R67" s="6" t="s">
        <v>187</v>
      </c>
      <c r="S67" s="108" t="s">
        <v>187</v>
      </c>
      <c r="T67" s="111">
        <f>VALUE(SUM(H67:J67))</f>
        <v>243</v>
      </c>
      <c r="U67" s="12">
        <f>IF(COUNTIF(N67:S67,"높음")&gt;=1,1,0)</f>
        <v>0</v>
      </c>
    </row>
    <row r="68" spans="1:25" x14ac:dyDescent="0.3">
      <c r="A68" s="2" t="s">
        <v>531</v>
      </c>
      <c r="B68" s="2">
        <v>10325</v>
      </c>
      <c r="C68" s="2">
        <v>1</v>
      </c>
      <c r="D68" s="2" t="s">
        <v>286</v>
      </c>
      <c r="E68" s="11" t="str">
        <f>IF(AND(U68&gt;0,VLOOKUP(B68,'이름 일치'!$B$3:$N$500,13,FALSE)&lt;&gt;""),"1상담"&amp;"/"&amp;VLOOKUP(B68,'이름 일치'!$B$3:$N$500,13,FALSE),IF(U68&gt;0,"1상담",IF(VLOOKUP(B68,'이름 일치'!$B$3:$N$500,13,FALSE)&lt;&gt;"",VLOOKUP(B68,'이름 일치'!$B$3:$N$500,13,FALSE),"")))</f>
        <v/>
      </c>
      <c r="F68" s="11"/>
      <c r="G68" s="2"/>
      <c r="H68" s="13">
        <v>81</v>
      </c>
      <c r="I68" s="13">
        <v>86</v>
      </c>
      <c r="J68" s="13">
        <v>76</v>
      </c>
      <c r="K68" s="6">
        <v>0</v>
      </c>
      <c r="L68" s="6">
        <v>1</v>
      </c>
      <c r="M68" s="6">
        <v>0</v>
      </c>
      <c r="N68" s="6" t="s">
        <v>187</v>
      </c>
      <c r="O68" s="6" t="s">
        <v>187</v>
      </c>
      <c r="P68" s="6" t="s">
        <v>187</v>
      </c>
      <c r="Q68" s="6" t="s">
        <v>187</v>
      </c>
      <c r="R68" s="6" t="s">
        <v>187</v>
      </c>
      <c r="S68" s="108" t="s">
        <v>187</v>
      </c>
      <c r="T68" s="111">
        <f>VALUE(SUM(H68:J68))</f>
        <v>243</v>
      </c>
      <c r="U68" s="12">
        <f>IF(COUNTIF(N68:S68,"높음")&gt;=1,1,0)</f>
        <v>0</v>
      </c>
    </row>
    <row r="69" spans="1:25" x14ac:dyDescent="0.3">
      <c r="A69" s="2" t="s">
        <v>531</v>
      </c>
      <c r="B69" s="2">
        <v>10329</v>
      </c>
      <c r="C69" s="2">
        <v>1</v>
      </c>
      <c r="D69" s="2" t="s">
        <v>290</v>
      </c>
      <c r="E69" s="11" t="str">
        <f>IF(AND(U69&gt;0,VLOOKUP(B69,'이름 일치'!$B$3:$N$500,13,FALSE)&lt;&gt;""),"1상담"&amp;"/"&amp;VLOOKUP(B69,'이름 일치'!$B$3:$N$500,13,FALSE),IF(U69&gt;0,"1상담",IF(VLOOKUP(B69,'이름 일치'!$B$3:$N$500,13,FALSE)&lt;&gt;"",VLOOKUP(B69,'이름 일치'!$B$3:$N$500,13,FALSE),"")))</f>
        <v/>
      </c>
      <c r="F69" s="11"/>
      <c r="G69" s="2"/>
      <c r="H69" s="13">
        <v>81</v>
      </c>
      <c r="I69" s="13">
        <v>86</v>
      </c>
      <c r="J69" s="13">
        <v>76</v>
      </c>
      <c r="K69" s="6">
        <v>0</v>
      </c>
      <c r="L69" s="6">
        <v>1</v>
      </c>
      <c r="M69" s="6">
        <v>0</v>
      </c>
      <c r="N69" s="6" t="s">
        <v>187</v>
      </c>
      <c r="O69" s="6" t="s">
        <v>187</v>
      </c>
      <c r="P69" s="6" t="s">
        <v>187</v>
      </c>
      <c r="Q69" s="6" t="s">
        <v>187</v>
      </c>
      <c r="R69" s="6" t="s">
        <v>187</v>
      </c>
      <c r="S69" s="108" t="s">
        <v>187</v>
      </c>
      <c r="T69" s="111">
        <f>VALUE(SUM(H69:J69))</f>
        <v>243</v>
      </c>
      <c r="U69" s="12">
        <f>IF(COUNTIF(N69:S69,"높음")&gt;=1,1,0)</f>
        <v>0</v>
      </c>
    </row>
    <row r="70" spans="1:25" x14ac:dyDescent="0.3">
      <c r="A70" s="2" t="s">
        <v>531</v>
      </c>
      <c r="B70" s="2">
        <v>10420</v>
      </c>
      <c r="C70" s="2">
        <v>1</v>
      </c>
      <c r="D70" s="2" t="s">
        <v>310</v>
      </c>
      <c r="E70" s="11" t="str">
        <f>IF(AND(U70&gt;0,VLOOKUP(B70,'이름 일치'!$B$3:$N$500,13,FALSE)&lt;&gt;""),"1상담"&amp;"/"&amp;VLOOKUP(B70,'이름 일치'!$B$3:$N$500,13,FALSE),IF(U70&gt;0,"1상담",IF(VLOOKUP(B70,'이름 일치'!$B$3:$N$500,13,FALSE)&lt;&gt;"",VLOOKUP(B70,'이름 일치'!$B$3:$N$500,13,FALSE),"")))</f>
        <v/>
      </c>
      <c r="F70" s="11"/>
      <c r="G70" s="2"/>
      <c r="H70" s="13">
        <v>81</v>
      </c>
      <c r="I70" s="13">
        <v>86</v>
      </c>
      <c r="J70" s="13">
        <v>76</v>
      </c>
      <c r="K70" s="6">
        <v>0</v>
      </c>
      <c r="L70" s="6">
        <v>1</v>
      </c>
      <c r="M70" s="6">
        <v>0</v>
      </c>
      <c r="N70" s="6" t="s">
        <v>187</v>
      </c>
      <c r="O70" s="6" t="s">
        <v>187</v>
      </c>
      <c r="P70" s="6" t="s">
        <v>187</v>
      </c>
      <c r="Q70" s="6" t="s">
        <v>187</v>
      </c>
      <c r="R70" s="6" t="s">
        <v>187</v>
      </c>
      <c r="S70" s="108" t="s">
        <v>187</v>
      </c>
      <c r="T70" s="111">
        <f>VALUE(SUM(H70:J70))</f>
        <v>243</v>
      </c>
      <c r="U70" s="12">
        <f>IF(COUNTIF(N70:S70,"높음")&gt;=1,1,0)</f>
        <v>0</v>
      </c>
    </row>
    <row r="71" spans="1:25" x14ac:dyDescent="0.3">
      <c r="A71" s="2" t="s">
        <v>531</v>
      </c>
      <c r="B71" s="2">
        <v>10424</v>
      </c>
      <c r="C71" s="2">
        <v>1</v>
      </c>
      <c r="D71" s="2" t="s">
        <v>314</v>
      </c>
      <c r="E71" s="11" t="str">
        <f>IF(AND(U71&gt;0,VLOOKUP(B71,'이름 일치'!$B$3:$N$500,13,FALSE)&lt;&gt;""),"1상담"&amp;"/"&amp;VLOOKUP(B71,'이름 일치'!$B$3:$N$500,13,FALSE),IF(U71&gt;0,"1상담",IF(VLOOKUP(B71,'이름 일치'!$B$3:$N$500,13,FALSE)&lt;&gt;"",VLOOKUP(B71,'이름 일치'!$B$3:$N$500,13,FALSE),"")))</f>
        <v/>
      </c>
      <c r="F71" s="11"/>
      <c r="G71" s="2"/>
      <c r="H71" s="13">
        <v>81</v>
      </c>
      <c r="I71" s="13">
        <v>86</v>
      </c>
      <c r="J71" s="13">
        <v>76</v>
      </c>
      <c r="K71" s="6">
        <v>0</v>
      </c>
      <c r="L71" s="6">
        <v>1</v>
      </c>
      <c r="M71" s="6">
        <v>0</v>
      </c>
      <c r="N71" s="6" t="s">
        <v>187</v>
      </c>
      <c r="O71" s="6" t="s">
        <v>187</v>
      </c>
      <c r="P71" s="6" t="s">
        <v>187</v>
      </c>
      <c r="Q71" s="6" t="s">
        <v>187</v>
      </c>
      <c r="R71" s="6" t="s">
        <v>187</v>
      </c>
      <c r="S71" s="108" t="s">
        <v>187</v>
      </c>
      <c r="T71" s="111">
        <f>VALUE(SUM(H71:J71))</f>
        <v>243</v>
      </c>
      <c r="U71" s="12">
        <f>IF(COUNTIF(N71:S71,"높음")&gt;=1,1,0)</f>
        <v>0</v>
      </c>
    </row>
    <row r="72" spans="1:25" x14ac:dyDescent="0.3">
      <c r="A72" s="2" t="s">
        <v>531</v>
      </c>
      <c r="B72" s="2">
        <v>10429</v>
      </c>
      <c r="C72" s="2">
        <v>1</v>
      </c>
      <c r="D72" s="2" t="s">
        <v>318</v>
      </c>
      <c r="E72" s="11" t="str">
        <f>IF(AND(U72&gt;0,VLOOKUP(B72,'이름 일치'!$B$3:$N$500,13,FALSE)&lt;&gt;""),"1상담"&amp;"/"&amp;VLOOKUP(B72,'이름 일치'!$B$3:$N$500,13,FALSE),IF(U72&gt;0,"1상담",IF(VLOOKUP(B72,'이름 일치'!$B$3:$N$500,13,FALSE)&lt;&gt;"",VLOOKUP(B72,'이름 일치'!$B$3:$N$500,13,FALSE),"")))</f>
        <v/>
      </c>
      <c r="F72" s="11"/>
      <c r="G72" s="2"/>
      <c r="H72" s="13">
        <v>81</v>
      </c>
      <c r="I72" s="13">
        <v>86</v>
      </c>
      <c r="J72" s="13">
        <v>76</v>
      </c>
      <c r="K72" s="6">
        <v>0</v>
      </c>
      <c r="L72" s="6">
        <v>1</v>
      </c>
      <c r="M72" s="6">
        <v>0</v>
      </c>
      <c r="N72" s="6" t="s">
        <v>187</v>
      </c>
      <c r="O72" s="6" t="s">
        <v>187</v>
      </c>
      <c r="P72" s="6" t="s">
        <v>187</v>
      </c>
      <c r="Q72" s="6" t="s">
        <v>187</v>
      </c>
      <c r="R72" s="6" t="s">
        <v>187</v>
      </c>
      <c r="S72" s="108" t="s">
        <v>187</v>
      </c>
      <c r="T72" s="111">
        <f>VALUE(SUM(H72:J72))</f>
        <v>243</v>
      </c>
      <c r="U72" s="12">
        <f>IF(COUNTIF(N72:S72,"높음")&gt;=1,1,0)</f>
        <v>0</v>
      </c>
      <c r="X72" s="14"/>
      <c r="Y72" s="15"/>
    </row>
    <row r="73" spans="1:25" x14ac:dyDescent="0.3">
      <c r="A73" s="2" t="s">
        <v>531</v>
      </c>
      <c r="B73" s="2">
        <v>10515</v>
      </c>
      <c r="C73" s="2">
        <v>1</v>
      </c>
      <c r="D73" s="2" t="s">
        <v>333</v>
      </c>
      <c r="E73" s="11" t="str">
        <f>IF(AND(U73&gt;0,VLOOKUP(B73,'이름 일치'!$B$3:$N$500,13,FALSE)&lt;&gt;""),"1상담"&amp;"/"&amp;VLOOKUP(B73,'이름 일치'!$B$3:$N$500,13,FALSE),IF(U73&gt;0,"1상담",IF(VLOOKUP(B73,'이름 일치'!$B$3:$N$500,13,FALSE)&lt;&gt;"",VLOOKUP(B73,'이름 일치'!$B$3:$N$500,13,FALSE),"")))</f>
        <v/>
      </c>
      <c r="F73" s="11"/>
      <c r="G73" s="2"/>
      <c r="H73" s="13">
        <v>81</v>
      </c>
      <c r="I73" s="13">
        <v>86</v>
      </c>
      <c r="J73" s="13">
        <v>76</v>
      </c>
      <c r="K73" s="6">
        <v>0</v>
      </c>
      <c r="L73" s="6">
        <v>1</v>
      </c>
      <c r="M73" s="6">
        <v>0</v>
      </c>
      <c r="N73" s="6" t="s">
        <v>187</v>
      </c>
      <c r="O73" s="6" t="s">
        <v>187</v>
      </c>
      <c r="P73" s="6" t="s">
        <v>187</v>
      </c>
      <c r="Q73" s="6" t="s">
        <v>187</v>
      </c>
      <c r="R73" s="6" t="s">
        <v>187</v>
      </c>
      <c r="S73" s="108" t="s">
        <v>187</v>
      </c>
      <c r="T73" s="111">
        <f>VALUE(SUM(H73:J73))</f>
        <v>243</v>
      </c>
      <c r="U73" s="12">
        <f>IF(COUNTIF(N73:S73,"높음")&gt;=1,1,0)</f>
        <v>0</v>
      </c>
    </row>
    <row r="74" spans="1:25" x14ac:dyDescent="0.3">
      <c r="A74" s="2" t="s">
        <v>531</v>
      </c>
      <c r="B74" s="2">
        <v>10519</v>
      </c>
      <c r="C74" s="2">
        <v>1</v>
      </c>
      <c r="D74" s="2" t="s">
        <v>337</v>
      </c>
      <c r="E74" s="11" t="str">
        <f>IF(AND(U74&gt;0,VLOOKUP(B74,'이름 일치'!$B$3:$N$500,13,FALSE)&lt;&gt;""),"1상담"&amp;"/"&amp;VLOOKUP(B74,'이름 일치'!$B$3:$N$500,13,FALSE),IF(U74&gt;0,"1상담",IF(VLOOKUP(B74,'이름 일치'!$B$3:$N$500,13,FALSE)&lt;&gt;"",VLOOKUP(B74,'이름 일치'!$B$3:$N$500,13,FALSE),"")))</f>
        <v/>
      </c>
      <c r="F74" s="11"/>
      <c r="G74" s="2"/>
      <c r="H74" s="13">
        <v>81</v>
      </c>
      <c r="I74" s="13">
        <v>86</v>
      </c>
      <c r="J74" s="13">
        <v>76</v>
      </c>
      <c r="K74" s="6">
        <v>0</v>
      </c>
      <c r="L74" s="6">
        <v>1</v>
      </c>
      <c r="M74" s="6">
        <v>0</v>
      </c>
      <c r="N74" s="6" t="s">
        <v>187</v>
      </c>
      <c r="O74" s="6" t="s">
        <v>187</v>
      </c>
      <c r="P74" s="6" t="s">
        <v>187</v>
      </c>
      <c r="Q74" s="6" t="s">
        <v>187</v>
      </c>
      <c r="R74" s="6" t="s">
        <v>187</v>
      </c>
      <c r="S74" s="108" t="s">
        <v>187</v>
      </c>
      <c r="T74" s="111">
        <f>VALUE(SUM(H74:J74))</f>
        <v>243</v>
      </c>
      <c r="U74" s="12">
        <f>IF(COUNTIF(N74:S74,"높음")&gt;=1,1,0)</f>
        <v>0</v>
      </c>
    </row>
    <row r="75" spans="1:25" x14ac:dyDescent="0.3">
      <c r="A75" s="2" t="s">
        <v>531</v>
      </c>
      <c r="B75" s="2">
        <v>10523</v>
      </c>
      <c r="C75" s="2">
        <v>1</v>
      </c>
      <c r="D75" s="2" t="s">
        <v>341</v>
      </c>
      <c r="E75" s="11" t="str">
        <f>IF(AND(U75&gt;0,VLOOKUP(B75,'이름 일치'!$B$3:$N$500,13,FALSE)&lt;&gt;""),"1상담"&amp;"/"&amp;VLOOKUP(B75,'이름 일치'!$B$3:$N$500,13,FALSE),IF(U75&gt;0,"1상담",IF(VLOOKUP(B75,'이름 일치'!$B$3:$N$500,13,FALSE)&lt;&gt;"",VLOOKUP(B75,'이름 일치'!$B$3:$N$500,13,FALSE),"")))</f>
        <v/>
      </c>
      <c r="F75" s="11"/>
      <c r="G75" s="2"/>
      <c r="H75" s="13">
        <v>81</v>
      </c>
      <c r="I75" s="13">
        <v>86</v>
      </c>
      <c r="J75" s="13">
        <v>76</v>
      </c>
      <c r="K75" s="6">
        <v>0</v>
      </c>
      <c r="L75" s="6">
        <v>1</v>
      </c>
      <c r="M75" s="6">
        <v>0</v>
      </c>
      <c r="N75" s="6" t="s">
        <v>187</v>
      </c>
      <c r="O75" s="6" t="s">
        <v>187</v>
      </c>
      <c r="P75" s="6" t="s">
        <v>187</v>
      </c>
      <c r="Q75" s="6" t="s">
        <v>187</v>
      </c>
      <c r="R75" s="6" t="s">
        <v>187</v>
      </c>
      <c r="S75" s="108" t="s">
        <v>187</v>
      </c>
      <c r="T75" s="111">
        <f>VALUE(SUM(H75:J75))</f>
        <v>243</v>
      </c>
      <c r="U75" s="12">
        <f>IF(COUNTIF(N75:S75,"높음")&gt;=1,1,0)</f>
        <v>0</v>
      </c>
    </row>
    <row r="76" spans="1:25" x14ac:dyDescent="0.3">
      <c r="A76" s="2" t="s">
        <v>531</v>
      </c>
      <c r="B76" s="2">
        <v>10527</v>
      </c>
      <c r="C76" s="2">
        <v>1</v>
      </c>
      <c r="D76" s="2" t="s">
        <v>345</v>
      </c>
      <c r="E76" s="11" t="str">
        <f>IF(AND(U76&gt;0,VLOOKUP(B76,'이름 일치'!$B$3:$N$500,13,FALSE)&lt;&gt;""),"1상담"&amp;"/"&amp;VLOOKUP(B76,'이름 일치'!$B$3:$N$500,13,FALSE),IF(U76&gt;0,"1상담",IF(VLOOKUP(B76,'이름 일치'!$B$3:$N$500,13,FALSE)&lt;&gt;"",VLOOKUP(B76,'이름 일치'!$B$3:$N$500,13,FALSE),"")))</f>
        <v/>
      </c>
      <c r="F76" s="11"/>
      <c r="G76" s="2"/>
      <c r="H76" s="13">
        <v>81</v>
      </c>
      <c r="I76" s="13">
        <v>86</v>
      </c>
      <c r="J76" s="13">
        <v>76</v>
      </c>
      <c r="K76" s="6">
        <v>0</v>
      </c>
      <c r="L76" s="6">
        <v>1</v>
      </c>
      <c r="M76" s="6">
        <v>0</v>
      </c>
      <c r="N76" s="6" t="s">
        <v>187</v>
      </c>
      <c r="O76" s="6" t="s">
        <v>187</v>
      </c>
      <c r="P76" s="6" t="s">
        <v>187</v>
      </c>
      <c r="Q76" s="6" t="s">
        <v>187</v>
      </c>
      <c r="R76" s="6" t="s">
        <v>187</v>
      </c>
      <c r="S76" s="108" t="s">
        <v>187</v>
      </c>
      <c r="T76" s="111">
        <f>VALUE(SUM(H76:J76))</f>
        <v>243</v>
      </c>
      <c r="U76" s="12">
        <f>IF(COUNTIF(N76:S76,"높음")&gt;=1,1,0)</f>
        <v>0</v>
      </c>
      <c r="V76" s="19"/>
      <c r="W76" s="19"/>
      <c r="X76" s="19"/>
      <c r="Y76" s="19"/>
    </row>
    <row r="77" spans="1:25" x14ac:dyDescent="0.3">
      <c r="A77" s="2" t="s">
        <v>531</v>
      </c>
      <c r="B77" s="2">
        <v>10617</v>
      </c>
      <c r="C77" s="2">
        <v>1</v>
      </c>
      <c r="D77" s="2" t="s">
        <v>363</v>
      </c>
      <c r="E77" s="11" t="str">
        <f>IF(AND(U77&gt;0,VLOOKUP(B77,'이름 일치'!$B$3:$N$500,13,FALSE)&lt;&gt;""),"1상담"&amp;"/"&amp;VLOOKUP(B77,'이름 일치'!$B$3:$N$500,13,FALSE),IF(U77&gt;0,"1상담",IF(VLOOKUP(B77,'이름 일치'!$B$3:$N$500,13,FALSE)&lt;&gt;"",VLOOKUP(B77,'이름 일치'!$B$3:$N$500,13,FALSE),"")))</f>
        <v/>
      </c>
      <c r="F77" s="11"/>
      <c r="G77" s="2"/>
      <c r="H77" s="13">
        <v>81</v>
      </c>
      <c r="I77" s="13">
        <v>86</v>
      </c>
      <c r="J77" s="13">
        <v>76</v>
      </c>
      <c r="K77" s="6">
        <v>0</v>
      </c>
      <c r="L77" s="6">
        <v>1</v>
      </c>
      <c r="M77" s="6">
        <v>0</v>
      </c>
      <c r="N77" s="6" t="s">
        <v>187</v>
      </c>
      <c r="O77" s="6" t="s">
        <v>187</v>
      </c>
      <c r="P77" s="6" t="s">
        <v>187</v>
      </c>
      <c r="Q77" s="6" t="s">
        <v>187</v>
      </c>
      <c r="R77" s="6" t="s">
        <v>187</v>
      </c>
      <c r="S77" s="108" t="s">
        <v>187</v>
      </c>
      <c r="T77" s="111">
        <f>VALUE(SUM(H77:J77))</f>
        <v>243</v>
      </c>
      <c r="U77" s="12">
        <f>IF(COUNTIF(N77:S77,"높음")&gt;=1,1,0)</f>
        <v>0</v>
      </c>
    </row>
    <row r="78" spans="1:25" x14ac:dyDescent="0.3">
      <c r="A78" s="2" t="s">
        <v>531</v>
      </c>
      <c r="B78" s="2">
        <v>10621</v>
      </c>
      <c r="C78" s="2">
        <v>1</v>
      </c>
      <c r="D78" s="2" t="s">
        <v>367</v>
      </c>
      <c r="E78" s="11" t="str">
        <f>IF(AND(U78&gt;0,VLOOKUP(B78,'이름 일치'!$B$3:$N$500,13,FALSE)&lt;&gt;""),"1상담"&amp;"/"&amp;VLOOKUP(B78,'이름 일치'!$B$3:$N$500,13,FALSE),IF(U78&gt;0,"1상담",IF(VLOOKUP(B78,'이름 일치'!$B$3:$N$500,13,FALSE)&lt;&gt;"",VLOOKUP(B78,'이름 일치'!$B$3:$N$500,13,FALSE),"")))</f>
        <v/>
      </c>
      <c r="F78" s="11"/>
      <c r="G78" s="2"/>
      <c r="H78" s="13">
        <v>81</v>
      </c>
      <c r="I78" s="13">
        <v>86</v>
      </c>
      <c r="J78" s="13">
        <v>76</v>
      </c>
      <c r="K78" s="6">
        <v>0</v>
      </c>
      <c r="L78" s="6">
        <v>1</v>
      </c>
      <c r="M78" s="6">
        <v>0</v>
      </c>
      <c r="N78" s="6" t="s">
        <v>187</v>
      </c>
      <c r="O78" s="6" t="s">
        <v>187</v>
      </c>
      <c r="P78" s="6" t="s">
        <v>187</v>
      </c>
      <c r="Q78" s="6" t="s">
        <v>187</v>
      </c>
      <c r="R78" s="6" t="s">
        <v>187</v>
      </c>
      <c r="S78" s="108" t="s">
        <v>187</v>
      </c>
      <c r="T78" s="111">
        <f>VALUE(SUM(H78:J78))</f>
        <v>243</v>
      </c>
      <c r="U78" s="12">
        <f>IF(COUNTIF(N78:S78,"높음")&gt;=1,1,0)</f>
        <v>0</v>
      </c>
    </row>
    <row r="79" spans="1:25" x14ac:dyDescent="0.3">
      <c r="A79" s="2" t="s">
        <v>531</v>
      </c>
      <c r="B79" s="2">
        <v>10625</v>
      </c>
      <c r="C79" s="2">
        <v>1</v>
      </c>
      <c r="D79" s="2" t="s">
        <v>371</v>
      </c>
      <c r="E79" s="11" t="str">
        <f>IF(AND(U79&gt;0,VLOOKUP(B79,'이름 일치'!$B$3:$N$500,13,FALSE)&lt;&gt;""),"1상담"&amp;"/"&amp;VLOOKUP(B79,'이름 일치'!$B$3:$N$500,13,FALSE),IF(U79&gt;0,"1상담",IF(VLOOKUP(B79,'이름 일치'!$B$3:$N$500,13,FALSE)&lt;&gt;"",VLOOKUP(B79,'이름 일치'!$B$3:$N$500,13,FALSE),"")))</f>
        <v/>
      </c>
      <c r="F79" s="11"/>
      <c r="G79" s="2"/>
      <c r="H79" s="13">
        <v>81</v>
      </c>
      <c r="I79" s="13">
        <v>86</v>
      </c>
      <c r="J79" s="13">
        <v>76</v>
      </c>
      <c r="K79" s="6">
        <v>0</v>
      </c>
      <c r="L79" s="6">
        <v>1</v>
      </c>
      <c r="M79" s="6">
        <v>0</v>
      </c>
      <c r="N79" s="6" t="s">
        <v>187</v>
      </c>
      <c r="O79" s="6" t="s">
        <v>187</v>
      </c>
      <c r="P79" s="6" t="s">
        <v>187</v>
      </c>
      <c r="Q79" s="6" t="s">
        <v>187</v>
      </c>
      <c r="R79" s="6" t="s">
        <v>187</v>
      </c>
      <c r="S79" s="108" t="s">
        <v>187</v>
      </c>
      <c r="T79" s="111">
        <f>VALUE(SUM(H79:J79))</f>
        <v>243</v>
      </c>
      <c r="U79" s="12">
        <f>IF(COUNTIF(N79:S79,"높음")&gt;=1,1,0)</f>
        <v>0</v>
      </c>
    </row>
    <row r="80" spans="1:25" x14ac:dyDescent="0.3">
      <c r="A80" s="2" t="s">
        <v>531</v>
      </c>
      <c r="B80" s="2">
        <v>10716</v>
      </c>
      <c r="C80" s="2">
        <v>1</v>
      </c>
      <c r="D80" s="2" t="s">
        <v>391</v>
      </c>
      <c r="E80" s="11" t="str">
        <f>IF(AND(U80&gt;0,VLOOKUP(B80,'이름 일치'!$B$3:$N$500,13,FALSE)&lt;&gt;""),"1상담"&amp;"/"&amp;VLOOKUP(B80,'이름 일치'!$B$3:$N$500,13,FALSE),IF(U80&gt;0,"1상담",IF(VLOOKUP(B80,'이름 일치'!$B$3:$N$500,13,FALSE)&lt;&gt;"",VLOOKUP(B80,'이름 일치'!$B$3:$N$500,13,FALSE),"")))</f>
        <v/>
      </c>
      <c r="F80" s="11"/>
      <c r="G80" s="2"/>
      <c r="H80" s="13">
        <v>81</v>
      </c>
      <c r="I80" s="13">
        <v>86</v>
      </c>
      <c r="J80" s="13">
        <v>76</v>
      </c>
      <c r="K80" s="6">
        <v>0</v>
      </c>
      <c r="L80" s="6">
        <v>1</v>
      </c>
      <c r="M80" s="6">
        <v>0</v>
      </c>
      <c r="N80" s="6" t="s">
        <v>187</v>
      </c>
      <c r="O80" s="6" t="s">
        <v>187</v>
      </c>
      <c r="P80" s="6" t="s">
        <v>187</v>
      </c>
      <c r="Q80" s="6" t="s">
        <v>187</v>
      </c>
      <c r="R80" s="6" t="s">
        <v>187</v>
      </c>
      <c r="S80" s="108" t="s">
        <v>187</v>
      </c>
      <c r="T80" s="111">
        <f>VALUE(SUM(H80:J80))</f>
        <v>243</v>
      </c>
      <c r="U80" s="12">
        <f>IF(COUNTIF(N80:S80,"높음")&gt;=1,1,0)</f>
        <v>0</v>
      </c>
    </row>
    <row r="81" spans="1:25" x14ac:dyDescent="0.3">
      <c r="A81" s="2" t="s">
        <v>531</v>
      </c>
      <c r="B81" s="2">
        <v>10720</v>
      </c>
      <c r="C81" s="2">
        <v>1</v>
      </c>
      <c r="D81" s="2" t="s">
        <v>395</v>
      </c>
      <c r="E81" s="11" t="str">
        <f>IF(AND(U81&gt;0,VLOOKUP(B81,'이름 일치'!$B$3:$N$500,13,FALSE)&lt;&gt;""),"1상담"&amp;"/"&amp;VLOOKUP(B81,'이름 일치'!$B$3:$N$500,13,FALSE),IF(U81&gt;0,"1상담",IF(VLOOKUP(B81,'이름 일치'!$B$3:$N$500,13,FALSE)&lt;&gt;"",VLOOKUP(B81,'이름 일치'!$B$3:$N$500,13,FALSE),"")))</f>
        <v/>
      </c>
      <c r="F81" s="11"/>
      <c r="G81" s="2"/>
      <c r="H81" s="13">
        <v>81</v>
      </c>
      <c r="I81" s="13">
        <v>86</v>
      </c>
      <c r="J81" s="13">
        <v>76</v>
      </c>
      <c r="K81" s="6">
        <v>0</v>
      </c>
      <c r="L81" s="6">
        <v>1</v>
      </c>
      <c r="M81" s="6">
        <v>0</v>
      </c>
      <c r="N81" s="6" t="s">
        <v>187</v>
      </c>
      <c r="O81" s="6" t="s">
        <v>187</v>
      </c>
      <c r="P81" s="6" t="s">
        <v>187</v>
      </c>
      <c r="Q81" s="6" t="s">
        <v>187</v>
      </c>
      <c r="R81" s="6" t="s">
        <v>187</v>
      </c>
      <c r="S81" s="108" t="s">
        <v>187</v>
      </c>
      <c r="T81" s="111">
        <f>VALUE(SUM(H81:J81))</f>
        <v>243</v>
      </c>
      <c r="U81" s="12">
        <f>IF(COUNTIF(N81:S81,"높음")&gt;=1,1,0)</f>
        <v>0</v>
      </c>
    </row>
    <row r="82" spans="1:25" x14ac:dyDescent="0.3">
      <c r="A82" s="2" t="s">
        <v>531</v>
      </c>
      <c r="B82" s="2">
        <v>10724</v>
      </c>
      <c r="C82" s="2">
        <v>1</v>
      </c>
      <c r="D82" s="2" t="s">
        <v>399</v>
      </c>
      <c r="E82" s="11" t="str">
        <f>IF(AND(U82&gt;0,VLOOKUP(B82,'이름 일치'!$B$3:$N$500,13,FALSE)&lt;&gt;""),"1상담"&amp;"/"&amp;VLOOKUP(B82,'이름 일치'!$B$3:$N$500,13,FALSE),IF(U82&gt;0,"1상담",IF(VLOOKUP(B82,'이름 일치'!$B$3:$N$500,13,FALSE)&lt;&gt;"",VLOOKUP(B82,'이름 일치'!$B$3:$N$500,13,FALSE),"")))</f>
        <v/>
      </c>
      <c r="F82" s="11"/>
      <c r="G82" s="2"/>
      <c r="H82" s="13">
        <v>81</v>
      </c>
      <c r="I82" s="13">
        <v>86</v>
      </c>
      <c r="J82" s="13">
        <v>76</v>
      </c>
      <c r="K82" s="6">
        <v>0</v>
      </c>
      <c r="L82" s="6">
        <v>1</v>
      </c>
      <c r="M82" s="6">
        <v>0</v>
      </c>
      <c r="N82" s="6" t="s">
        <v>187</v>
      </c>
      <c r="O82" s="6" t="s">
        <v>187</v>
      </c>
      <c r="P82" s="6" t="s">
        <v>187</v>
      </c>
      <c r="Q82" s="6" t="s">
        <v>187</v>
      </c>
      <c r="R82" s="6" t="s">
        <v>187</v>
      </c>
      <c r="S82" s="108" t="s">
        <v>187</v>
      </c>
      <c r="T82" s="111">
        <f>VALUE(SUM(H82:J82))</f>
        <v>243</v>
      </c>
      <c r="U82" s="12">
        <f>IF(COUNTIF(N82:S82,"높음")&gt;=1,1,0)</f>
        <v>0</v>
      </c>
    </row>
    <row r="83" spans="1:25" x14ac:dyDescent="0.3">
      <c r="A83" s="2" t="s">
        <v>531</v>
      </c>
      <c r="B83" s="2">
        <v>10728</v>
      </c>
      <c r="C83" s="2">
        <v>1</v>
      </c>
      <c r="D83" s="2" t="s">
        <v>403</v>
      </c>
      <c r="E83" s="11" t="str">
        <f>IF(AND(U83&gt;0,VLOOKUP(B83,'이름 일치'!$B$3:$N$500,13,FALSE)&lt;&gt;""),"1상담"&amp;"/"&amp;VLOOKUP(B83,'이름 일치'!$B$3:$N$500,13,FALSE),IF(U83&gt;0,"1상담",IF(VLOOKUP(B83,'이름 일치'!$B$3:$N$500,13,FALSE)&lt;&gt;"",VLOOKUP(B83,'이름 일치'!$B$3:$N$500,13,FALSE),"")))</f>
        <v/>
      </c>
      <c r="F83" s="11"/>
      <c r="G83" s="2"/>
      <c r="H83" s="13">
        <v>81</v>
      </c>
      <c r="I83" s="13">
        <v>86</v>
      </c>
      <c r="J83" s="13">
        <v>76</v>
      </c>
      <c r="K83" s="6">
        <v>0</v>
      </c>
      <c r="L83" s="6">
        <v>1</v>
      </c>
      <c r="M83" s="6">
        <v>0</v>
      </c>
      <c r="N83" s="6" t="s">
        <v>187</v>
      </c>
      <c r="O83" s="6" t="s">
        <v>187</v>
      </c>
      <c r="P83" s="6" t="s">
        <v>187</v>
      </c>
      <c r="Q83" s="6" t="s">
        <v>187</v>
      </c>
      <c r="R83" s="6" t="s">
        <v>187</v>
      </c>
      <c r="S83" s="108" t="s">
        <v>187</v>
      </c>
      <c r="T83" s="111">
        <f>VALUE(SUM(H83:J83))</f>
        <v>243</v>
      </c>
      <c r="U83" s="12">
        <f>IF(COUNTIF(N83:S83,"높음")&gt;=1,1,0)</f>
        <v>0</v>
      </c>
    </row>
    <row r="84" spans="1:25" x14ac:dyDescent="0.3">
      <c r="A84" s="2" t="s">
        <v>531</v>
      </c>
      <c r="B84" s="2">
        <v>10819</v>
      </c>
      <c r="C84" s="2">
        <v>1</v>
      </c>
      <c r="D84" s="2" t="s">
        <v>423</v>
      </c>
      <c r="E84" s="11" t="str">
        <f>IF(AND(U84&gt;0,VLOOKUP(B84,'이름 일치'!$B$3:$N$500,13,FALSE)&lt;&gt;""),"1상담"&amp;"/"&amp;VLOOKUP(B84,'이름 일치'!$B$3:$N$500,13,FALSE),IF(U84&gt;0,"1상담",IF(VLOOKUP(B84,'이름 일치'!$B$3:$N$500,13,FALSE)&lt;&gt;"",VLOOKUP(B84,'이름 일치'!$B$3:$N$500,13,FALSE),"")))</f>
        <v/>
      </c>
      <c r="F84" s="11"/>
      <c r="G84" s="2"/>
      <c r="H84" s="13">
        <v>81</v>
      </c>
      <c r="I84" s="13">
        <v>86</v>
      </c>
      <c r="J84" s="13">
        <v>76</v>
      </c>
      <c r="K84" s="6">
        <v>0</v>
      </c>
      <c r="L84" s="6">
        <v>1</v>
      </c>
      <c r="M84" s="6">
        <v>0</v>
      </c>
      <c r="N84" s="6" t="s">
        <v>187</v>
      </c>
      <c r="O84" s="6" t="s">
        <v>187</v>
      </c>
      <c r="P84" s="6" t="s">
        <v>187</v>
      </c>
      <c r="Q84" s="6" t="s">
        <v>187</v>
      </c>
      <c r="R84" s="6" t="s">
        <v>187</v>
      </c>
      <c r="S84" s="108" t="s">
        <v>187</v>
      </c>
      <c r="T84" s="111">
        <f>VALUE(SUM(H84:J84))</f>
        <v>243</v>
      </c>
      <c r="U84" s="12">
        <f>IF(COUNTIF(N84:S84,"높음")&gt;=1,1,0)</f>
        <v>0</v>
      </c>
    </row>
    <row r="85" spans="1:25" x14ac:dyDescent="0.3">
      <c r="A85" s="11" t="s">
        <v>531</v>
      </c>
      <c r="B85" s="2">
        <v>10823</v>
      </c>
      <c r="C85" s="2">
        <v>1</v>
      </c>
      <c r="D85" s="2" t="s">
        <v>427</v>
      </c>
      <c r="E85" s="11" t="str">
        <f>IF(AND(U85&gt;0,VLOOKUP(B85,'이름 일치'!$B$3:$N$500,13,FALSE)&lt;&gt;""),"1상담"&amp;"/"&amp;VLOOKUP(B85,'이름 일치'!$B$3:$N$500,13,FALSE),IF(U85&gt;0,"1상담",IF(VLOOKUP(B85,'이름 일치'!$B$3:$N$500,13,FALSE)&lt;&gt;"",VLOOKUP(B85,'이름 일치'!$B$3:$N$500,13,FALSE),"")))</f>
        <v/>
      </c>
      <c r="F85" s="11"/>
      <c r="G85" s="2"/>
      <c r="H85" s="13">
        <v>81</v>
      </c>
      <c r="I85" s="13">
        <v>86</v>
      </c>
      <c r="J85" s="13">
        <v>76</v>
      </c>
      <c r="K85" s="6">
        <v>0</v>
      </c>
      <c r="L85" s="6">
        <v>1</v>
      </c>
      <c r="M85" s="6">
        <v>0</v>
      </c>
      <c r="N85" s="6" t="s">
        <v>187</v>
      </c>
      <c r="O85" s="6" t="s">
        <v>187</v>
      </c>
      <c r="P85" s="6" t="s">
        <v>187</v>
      </c>
      <c r="Q85" s="6" t="s">
        <v>187</v>
      </c>
      <c r="R85" s="6" t="s">
        <v>187</v>
      </c>
      <c r="S85" s="108" t="s">
        <v>187</v>
      </c>
      <c r="T85" s="111">
        <f>VALUE(SUM(H85:J85))</f>
        <v>243</v>
      </c>
      <c r="U85" s="12">
        <f>IF(COUNTIF(N85:S85,"높음")&gt;=1,1,0)</f>
        <v>0</v>
      </c>
    </row>
    <row r="86" spans="1:25" x14ac:dyDescent="0.3">
      <c r="A86" s="2" t="s">
        <v>531</v>
      </c>
      <c r="B86" s="2">
        <v>10827</v>
      </c>
      <c r="C86" s="2">
        <v>1</v>
      </c>
      <c r="D86" s="2" t="s">
        <v>431</v>
      </c>
      <c r="E86" s="11" t="str">
        <f>IF(AND(U86&gt;0,VLOOKUP(B86,'이름 일치'!$B$3:$N$500,13,FALSE)&lt;&gt;""),"1상담"&amp;"/"&amp;VLOOKUP(B86,'이름 일치'!$B$3:$N$500,13,FALSE),IF(U86&gt;0,"1상담",IF(VLOOKUP(B86,'이름 일치'!$B$3:$N$500,13,FALSE)&lt;&gt;"",VLOOKUP(B86,'이름 일치'!$B$3:$N$500,13,FALSE),"")))</f>
        <v/>
      </c>
      <c r="F86" s="11"/>
      <c r="G86" s="2"/>
      <c r="H86" s="13">
        <v>81</v>
      </c>
      <c r="I86" s="13">
        <v>86</v>
      </c>
      <c r="J86" s="13">
        <v>76</v>
      </c>
      <c r="K86" s="6">
        <v>0</v>
      </c>
      <c r="L86" s="6">
        <v>1</v>
      </c>
      <c r="M86" s="6">
        <v>0</v>
      </c>
      <c r="N86" s="6" t="s">
        <v>187</v>
      </c>
      <c r="O86" s="6" t="s">
        <v>187</v>
      </c>
      <c r="P86" s="6" t="s">
        <v>187</v>
      </c>
      <c r="Q86" s="6" t="s">
        <v>187</v>
      </c>
      <c r="R86" s="6" t="s">
        <v>187</v>
      </c>
      <c r="S86" s="108" t="s">
        <v>187</v>
      </c>
      <c r="T86" s="111">
        <f>VALUE(SUM(H86:J86))</f>
        <v>243</v>
      </c>
      <c r="U86" s="12">
        <f>IF(COUNTIF(N86:S86,"높음")&gt;=1,1,0)</f>
        <v>0</v>
      </c>
    </row>
    <row r="87" spans="1:25" x14ac:dyDescent="0.3">
      <c r="A87" s="2" t="s">
        <v>531</v>
      </c>
      <c r="B87" s="2">
        <v>10918</v>
      </c>
      <c r="C87" s="2">
        <v>1</v>
      </c>
      <c r="D87" s="2" t="s">
        <v>449</v>
      </c>
      <c r="E87" s="11" t="str">
        <f>IF(AND(U87&gt;0,VLOOKUP(B87,'이름 일치'!$B$3:$N$500,13,FALSE)&lt;&gt;""),"1상담"&amp;"/"&amp;VLOOKUP(B87,'이름 일치'!$B$3:$N$500,13,FALSE),IF(U87&gt;0,"1상담",IF(VLOOKUP(B87,'이름 일치'!$B$3:$N$500,13,FALSE)&lt;&gt;"",VLOOKUP(B87,'이름 일치'!$B$3:$N$500,13,FALSE),"")))</f>
        <v/>
      </c>
      <c r="F87" s="11"/>
      <c r="G87" s="2"/>
      <c r="H87" s="13">
        <v>81</v>
      </c>
      <c r="I87" s="13">
        <v>86</v>
      </c>
      <c r="J87" s="13">
        <v>76</v>
      </c>
      <c r="K87" s="6">
        <v>0</v>
      </c>
      <c r="L87" s="6">
        <v>1</v>
      </c>
      <c r="M87" s="6">
        <v>0</v>
      </c>
      <c r="N87" s="6" t="s">
        <v>187</v>
      </c>
      <c r="O87" s="6" t="s">
        <v>187</v>
      </c>
      <c r="P87" s="6" t="s">
        <v>187</v>
      </c>
      <c r="Q87" s="6" t="s">
        <v>187</v>
      </c>
      <c r="R87" s="6" t="s">
        <v>187</v>
      </c>
      <c r="S87" s="108" t="s">
        <v>187</v>
      </c>
      <c r="T87" s="111">
        <f>VALUE(SUM(H87:J87))</f>
        <v>243</v>
      </c>
      <c r="U87" s="12">
        <f>IF(COUNTIF(N87:S87,"높음")&gt;=1,1,0)</f>
        <v>0</v>
      </c>
    </row>
    <row r="88" spans="1:25" x14ac:dyDescent="0.3">
      <c r="A88" s="2" t="s">
        <v>531</v>
      </c>
      <c r="B88" s="2">
        <v>10922</v>
      </c>
      <c r="C88" s="2">
        <v>1</v>
      </c>
      <c r="D88" s="2" t="s">
        <v>453</v>
      </c>
      <c r="E88" s="11" t="str">
        <f>IF(AND(U88&gt;0,VLOOKUP(B88,'이름 일치'!$B$3:$N$500,13,FALSE)&lt;&gt;""),"1상담"&amp;"/"&amp;VLOOKUP(B88,'이름 일치'!$B$3:$N$500,13,FALSE),IF(U88&gt;0,"1상담",IF(VLOOKUP(B88,'이름 일치'!$B$3:$N$500,13,FALSE)&lt;&gt;"",VLOOKUP(B88,'이름 일치'!$B$3:$N$500,13,FALSE),"")))</f>
        <v/>
      </c>
      <c r="F88" s="11"/>
      <c r="G88" s="2"/>
      <c r="H88" s="13">
        <v>81</v>
      </c>
      <c r="I88" s="13">
        <v>86</v>
      </c>
      <c r="J88" s="13">
        <v>76</v>
      </c>
      <c r="K88" s="6">
        <v>0</v>
      </c>
      <c r="L88" s="6">
        <v>1</v>
      </c>
      <c r="M88" s="6">
        <v>0</v>
      </c>
      <c r="N88" s="6" t="s">
        <v>187</v>
      </c>
      <c r="O88" s="6" t="s">
        <v>187</v>
      </c>
      <c r="P88" s="6" t="s">
        <v>187</v>
      </c>
      <c r="Q88" s="6" t="s">
        <v>187</v>
      </c>
      <c r="R88" s="6" t="s">
        <v>187</v>
      </c>
      <c r="S88" s="108" t="s">
        <v>187</v>
      </c>
      <c r="T88" s="111">
        <f>VALUE(SUM(H88:J88))</f>
        <v>243</v>
      </c>
      <c r="U88" s="12">
        <f>IF(COUNTIF(N88:S88,"높음")&gt;=1,1,0)</f>
        <v>0</v>
      </c>
    </row>
    <row r="89" spans="1:25" x14ac:dyDescent="0.3">
      <c r="A89" s="2" t="s">
        <v>531</v>
      </c>
      <c r="B89" s="2">
        <v>10926</v>
      </c>
      <c r="C89" s="2">
        <v>1</v>
      </c>
      <c r="D89" s="2" t="s">
        <v>457</v>
      </c>
      <c r="E89" s="11" t="str">
        <f>IF(AND(U89&gt;0,VLOOKUP(B89,'이름 일치'!$B$3:$N$500,13,FALSE)&lt;&gt;""),"1상담"&amp;"/"&amp;VLOOKUP(B89,'이름 일치'!$B$3:$N$500,13,FALSE),IF(U89&gt;0,"1상담",IF(VLOOKUP(B89,'이름 일치'!$B$3:$N$500,13,FALSE)&lt;&gt;"",VLOOKUP(B89,'이름 일치'!$B$3:$N$500,13,FALSE),"")))</f>
        <v/>
      </c>
      <c r="F89" s="11"/>
      <c r="G89" s="2"/>
      <c r="H89" s="13">
        <v>81</v>
      </c>
      <c r="I89" s="13">
        <v>86</v>
      </c>
      <c r="J89" s="13">
        <v>76</v>
      </c>
      <c r="K89" s="6">
        <v>0</v>
      </c>
      <c r="L89" s="6">
        <v>1</v>
      </c>
      <c r="M89" s="6">
        <v>0</v>
      </c>
      <c r="N89" s="6" t="s">
        <v>187</v>
      </c>
      <c r="O89" s="6" t="s">
        <v>187</v>
      </c>
      <c r="P89" s="6" t="s">
        <v>187</v>
      </c>
      <c r="Q89" s="6" t="s">
        <v>187</v>
      </c>
      <c r="R89" s="6" t="s">
        <v>187</v>
      </c>
      <c r="S89" s="108" t="s">
        <v>187</v>
      </c>
      <c r="T89" s="111">
        <f>VALUE(SUM(H89:J89))</f>
        <v>243</v>
      </c>
      <c r="U89" s="12">
        <f>IF(COUNTIF(N89:S89,"높음")&gt;=1,1,0)</f>
        <v>0</v>
      </c>
    </row>
    <row r="90" spans="1:25" x14ac:dyDescent="0.3">
      <c r="A90" s="2" t="s">
        <v>531</v>
      </c>
      <c r="B90" s="2">
        <v>10930</v>
      </c>
      <c r="C90" s="2">
        <v>1</v>
      </c>
      <c r="D90" s="2" t="s">
        <v>460</v>
      </c>
      <c r="E90" s="11" t="str">
        <f>IF(AND(U90&gt;0,VLOOKUP(B90,'이름 일치'!$B$3:$N$500,13,FALSE)&lt;&gt;""),"1상담"&amp;"/"&amp;VLOOKUP(B90,'이름 일치'!$B$3:$N$500,13,FALSE),IF(U90&gt;0,"1상담",IF(VLOOKUP(B90,'이름 일치'!$B$3:$N$500,13,FALSE)&lt;&gt;"",VLOOKUP(B90,'이름 일치'!$B$3:$N$500,13,FALSE),"")))</f>
        <v/>
      </c>
      <c r="F90" s="11"/>
      <c r="G90" s="2"/>
      <c r="H90" s="13">
        <v>81</v>
      </c>
      <c r="I90" s="13">
        <v>86</v>
      </c>
      <c r="J90" s="13">
        <v>76</v>
      </c>
      <c r="K90" s="6">
        <v>0</v>
      </c>
      <c r="L90" s="6">
        <v>1</v>
      </c>
      <c r="M90" s="6">
        <v>0</v>
      </c>
      <c r="N90" s="6" t="s">
        <v>187</v>
      </c>
      <c r="O90" s="6" t="s">
        <v>187</v>
      </c>
      <c r="P90" s="6" t="s">
        <v>187</v>
      </c>
      <c r="Q90" s="6" t="s">
        <v>187</v>
      </c>
      <c r="R90" s="6" t="s">
        <v>187</v>
      </c>
      <c r="S90" s="108" t="s">
        <v>187</v>
      </c>
      <c r="T90" s="111">
        <f>VALUE(SUM(H90:J90))</f>
        <v>243</v>
      </c>
      <c r="U90" s="12">
        <f>IF(COUNTIF(N90:S90,"높음")&gt;=1,1,0)</f>
        <v>0</v>
      </c>
      <c r="X90" s="14"/>
      <c r="Y90" s="15"/>
    </row>
    <row r="91" spans="1:25" x14ac:dyDescent="0.3">
      <c r="A91" s="2" t="s">
        <v>531</v>
      </c>
      <c r="B91" s="2">
        <v>11016</v>
      </c>
      <c r="C91" s="2">
        <v>1</v>
      </c>
      <c r="D91" s="2" t="s">
        <v>475</v>
      </c>
      <c r="E91" s="11" t="str">
        <f>IF(AND(U91&gt;0,VLOOKUP(B91,'이름 일치'!$B$3:$N$500,13,FALSE)&lt;&gt;""),"1상담"&amp;"/"&amp;VLOOKUP(B91,'이름 일치'!$B$3:$N$500,13,FALSE),IF(U91&gt;0,"1상담",IF(VLOOKUP(B91,'이름 일치'!$B$3:$N$500,13,FALSE)&lt;&gt;"",VLOOKUP(B91,'이름 일치'!$B$3:$N$500,13,FALSE),"")))</f>
        <v/>
      </c>
      <c r="F91" s="11"/>
      <c r="G91" s="2"/>
      <c r="H91" s="13">
        <v>81</v>
      </c>
      <c r="I91" s="13">
        <v>86</v>
      </c>
      <c r="J91" s="13">
        <v>76</v>
      </c>
      <c r="K91" s="6">
        <v>0</v>
      </c>
      <c r="L91" s="6">
        <v>1</v>
      </c>
      <c r="M91" s="6">
        <v>0</v>
      </c>
      <c r="N91" s="6" t="s">
        <v>187</v>
      </c>
      <c r="O91" s="6" t="s">
        <v>187</v>
      </c>
      <c r="P91" s="6" t="s">
        <v>187</v>
      </c>
      <c r="Q91" s="6" t="s">
        <v>187</v>
      </c>
      <c r="R91" s="6" t="s">
        <v>187</v>
      </c>
      <c r="S91" s="108" t="s">
        <v>187</v>
      </c>
      <c r="T91" s="111">
        <f>VALUE(SUM(H91:J91))</f>
        <v>243</v>
      </c>
      <c r="U91" s="12">
        <f>IF(COUNTIF(N91:S91,"높음")&gt;=1,1,0)</f>
        <v>0</v>
      </c>
    </row>
    <row r="92" spans="1:25" x14ac:dyDescent="0.3">
      <c r="A92" s="2" t="s">
        <v>531</v>
      </c>
      <c r="B92" s="2">
        <v>11021</v>
      </c>
      <c r="C92" s="2">
        <v>1</v>
      </c>
      <c r="D92" s="2" t="s">
        <v>479</v>
      </c>
      <c r="E92" s="11" t="str">
        <f>IF(AND(U92&gt;0,VLOOKUP(B92,'이름 일치'!$B$3:$N$500,13,FALSE)&lt;&gt;""),"1상담"&amp;"/"&amp;VLOOKUP(B92,'이름 일치'!$B$3:$N$500,13,FALSE),IF(U92&gt;0,"1상담",IF(VLOOKUP(B92,'이름 일치'!$B$3:$N$500,13,FALSE)&lt;&gt;"",VLOOKUP(B92,'이름 일치'!$B$3:$N$500,13,FALSE),"")))</f>
        <v/>
      </c>
      <c r="F92" s="11"/>
      <c r="G92" s="2"/>
      <c r="H92" s="13">
        <v>81</v>
      </c>
      <c r="I92" s="13">
        <v>86</v>
      </c>
      <c r="J92" s="13">
        <v>76</v>
      </c>
      <c r="K92" s="6">
        <v>0</v>
      </c>
      <c r="L92" s="6">
        <v>1</v>
      </c>
      <c r="M92" s="6">
        <v>0</v>
      </c>
      <c r="N92" s="6" t="s">
        <v>187</v>
      </c>
      <c r="O92" s="6" t="s">
        <v>187</v>
      </c>
      <c r="P92" s="6" t="s">
        <v>187</v>
      </c>
      <c r="Q92" s="6" t="s">
        <v>187</v>
      </c>
      <c r="R92" s="6" t="s">
        <v>187</v>
      </c>
      <c r="S92" s="108" t="s">
        <v>187</v>
      </c>
      <c r="T92" s="111">
        <f>VALUE(SUM(H92:J92))</f>
        <v>243</v>
      </c>
      <c r="U92" s="12">
        <f>IF(COUNTIF(N92:S92,"높음")&gt;=1,1,0)</f>
        <v>0</v>
      </c>
    </row>
    <row r="93" spans="1:25" x14ac:dyDescent="0.3">
      <c r="A93" s="11" t="s">
        <v>531</v>
      </c>
      <c r="B93" s="2">
        <v>11025</v>
      </c>
      <c r="C93" s="2">
        <v>1</v>
      </c>
      <c r="D93" s="2" t="s">
        <v>483</v>
      </c>
      <c r="E93" s="11" t="str">
        <f>IF(AND(U93&gt;0,VLOOKUP(B93,'이름 일치'!$B$3:$N$500,13,FALSE)&lt;&gt;""),"1상담"&amp;"/"&amp;VLOOKUP(B93,'이름 일치'!$B$3:$N$500,13,FALSE),IF(U93&gt;0,"1상담",IF(VLOOKUP(B93,'이름 일치'!$B$3:$N$500,13,FALSE)&lt;&gt;"",VLOOKUP(B93,'이름 일치'!$B$3:$N$500,13,FALSE),"")))</f>
        <v/>
      </c>
      <c r="F93" s="11"/>
      <c r="G93" s="2"/>
      <c r="H93" s="13">
        <v>81</v>
      </c>
      <c r="I93" s="13">
        <v>86</v>
      </c>
      <c r="J93" s="13">
        <v>76</v>
      </c>
      <c r="K93" s="6">
        <v>0</v>
      </c>
      <c r="L93" s="6">
        <v>1</v>
      </c>
      <c r="M93" s="6">
        <v>0</v>
      </c>
      <c r="N93" s="6" t="s">
        <v>187</v>
      </c>
      <c r="O93" s="6" t="s">
        <v>187</v>
      </c>
      <c r="P93" s="6" t="s">
        <v>187</v>
      </c>
      <c r="Q93" s="6" t="s">
        <v>187</v>
      </c>
      <c r="R93" s="6" t="s">
        <v>187</v>
      </c>
      <c r="S93" s="108" t="s">
        <v>187</v>
      </c>
      <c r="T93" s="111">
        <f>VALUE(SUM(H93:J93))</f>
        <v>243</v>
      </c>
      <c r="U93" s="12">
        <f>IF(COUNTIF(N93:S93,"높음")&gt;=1,1,0)</f>
        <v>0</v>
      </c>
    </row>
    <row r="94" spans="1:25" x14ac:dyDescent="0.3">
      <c r="A94" s="2" t="s">
        <v>531</v>
      </c>
      <c r="B94" s="2">
        <v>11029</v>
      </c>
      <c r="C94" s="2">
        <v>1</v>
      </c>
      <c r="D94" s="2" t="s">
        <v>487</v>
      </c>
      <c r="E94" s="11" t="str">
        <f>IF(AND(U94&gt;0,VLOOKUP(B94,'이름 일치'!$B$3:$N$500,13,FALSE)&lt;&gt;""),"1상담"&amp;"/"&amp;VLOOKUP(B94,'이름 일치'!$B$3:$N$500,13,FALSE),IF(U94&gt;0,"1상담",IF(VLOOKUP(B94,'이름 일치'!$B$3:$N$500,13,FALSE)&lt;&gt;"",VLOOKUP(B94,'이름 일치'!$B$3:$N$500,13,FALSE),"")))</f>
        <v/>
      </c>
      <c r="F94" s="11"/>
      <c r="G94" s="2"/>
      <c r="H94" s="13">
        <v>81</v>
      </c>
      <c r="I94" s="13">
        <v>86</v>
      </c>
      <c r="J94" s="13">
        <v>76</v>
      </c>
      <c r="K94" s="6">
        <v>0</v>
      </c>
      <c r="L94" s="6">
        <v>1</v>
      </c>
      <c r="M94" s="6">
        <v>0</v>
      </c>
      <c r="N94" s="6" t="s">
        <v>187</v>
      </c>
      <c r="O94" s="6" t="s">
        <v>187</v>
      </c>
      <c r="P94" s="6" t="s">
        <v>187</v>
      </c>
      <c r="Q94" s="6" t="s">
        <v>187</v>
      </c>
      <c r="R94" s="6" t="s">
        <v>187</v>
      </c>
      <c r="S94" s="108" t="s">
        <v>187</v>
      </c>
      <c r="T94" s="111">
        <f>VALUE(SUM(H94:J94))</f>
        <v>243</v>
      </c>
      <c r="U94" s="12">
        <f>IF(COUNTIF(N94:S94,"높음")&gt;=1,1,0)</f>
        <v>0</v>
      </c>
    </row>
    <row r="95" spans="1:25" x14ac:dyDescent="0.3">
      <c r="A95" s="2" t="s">
        <v>531</v>
      </c>
      <c r="B95" s="2">
        <v>11030</v>
      </c>
      <c r="C95" s="2">
        <v>1</v>
      </c>
      <c r="D95" s="2" t="s">
        <v>488</v>
      </c>
      <c r="E95" s="11" t="str">
        <f>IF(AND(U95&gt;0,VLOOKUP(B95,'이름 일치'!$B$3:$N$500,13,FALSE)&lt;&gt;""),"1상담"&amp;"/"&amp;VLOOKUP(B95,'이름 일치'!$B$3:$N$500,13,FALSE),IF(U95&gt;0,"1상담",IF(VLOOKUP(B95,'이름 일치'!$B$3:$N$500,13,FALSE)&lt;&gt;"",VLOOKUP(B95,'이름 일치'!$B$3:$N$500,13,FALSE),"")))</f>
        <v/>
      </c>
      <c r="F95" s="11"/>
      <c r="G95" s="2"/>
      <c r="H95" s="13">
        <v>81</v>
      </c>
      <c r="I95" s="13">
        <v>86</v>
      </c>
      <c r="J95" s="13">
        <v>76</v>
      </c>
      <c r="K95" s="6">
        <v>0</v>
      </c>
      <c r="L95" s="6">
        <v>1</v>
      </c>
      <c r="M95" s="6">
        <v>0</v>
      </c>
      <c r="N95" s="6" t="s">
        <v>187</v>
      </c>
      <c r="O95" s="6" t="s">
        <v>187</v>
      </c>
      <c r="P95" s="6" t="s">
        <v>187</v>
      </c>
      <c r="Q95" s="6" t="s">
        <v>187</v>
      </c>
      <c r="R95" s="6" t="s">
        <v>187</v>
      </c>
      <c r="S95" s="108" t="s">
        <v>187</v>
      </c>
      <c r="T95" s="111">
        <f>VALUE(SUM(H95:J95))</f>
        <v>243</v>
      </c>
      <c r="U95" s="12">
        <f>IF(COUNTIF(N95:S95,"높음")&gt;=1,1,0)</f>
        <v>0</v>
      </c>
    </row>
    <row r="96" spans="1:25" x14ac:dyDescent="0.3">
      <c r="A96" s="2" t="s">
        <v>531</v>
      </c>
      <c r="B96" s="2">
        <v>10102</v>
      </c>
      <c r="C96" s="2">
        <v>2</v>
      </c>
      <c r="D96" s="2" t="s">
        <v>193</v>
      </c>
      <c r="E96" s="11" t="str">
        <f>IF(AND(U96&gt;0,VLOOKUP(B96,'이름 일치'!$B$3:$N$500,13,FALSE)&lt;&gt;""),"1상담"&amp;"/"&amp;VLOOKUP(B96,'이름 일치'!$B$3:$N$500,13,FALSE),IF(U96&gt;0,"1상담",IF(VLOOKUP(B96,'이름 일치'!$B$3:$N$500,13,FALSE)&lt;&gt;"",VLOOKUP(B96,'이름 일치'!$B$3:$N$500,13,FALSE),"")))</f>
        <v/>
      </c>
      <c r="F96" s="11"/>
      <c r="G96" s="2"/>
      <c r="H96" s="13">
        <v>32</v>
      </c>
      <c r="I96" s="13">
        <v>31</v>
      </c>
      <c r="J96" s="13">
        <v>26</v>
      </c>
      <c r="K96" s="6">
        <v>0</v>
      </c>
      <c r="L96" s="6">
        <v>1</v>
      </c>
      <c r="M96" s="6">
        <v>3</v>
      </c>
      <c r="N96" s="6" t="s">
        <v>187</v>
      </c>
      <c r="O96" s="6" t="s">
        <v>187</v>
      </c>
      <c r="P96" s="6" t="s">
        <v>187</v>
      </c>
      <c r="Q96" s="6" t="s">
        <v>187</v>
      </c>
      <c r="R96" s="6" t="s">
        <v>187</v>
      </c>
      <c r="S96" s="108" t="s">
        <v>187</v>
      </c>
      <c r="T96" s="111">
        <f>VALUE(SUM(H96:J96))</f>
        <v>89</v>
      </c>
      <c r="U96" s="12">
        <f>IF(COUNTIF(N96:S96,"높음")&gt;=1,1,0)</f>
        <v>0</v>
      </c>
    </row>
    <row r="97" spans="1:25" x14ac:dyDescent="0.3">
      <c r="A97" s="2" t="s">
        <v>531</v>
      </c>
      <c r="B97" s="2">
        <v>10106</v>
      </c>
      <c r="C97" s="2">
        <v>2</v>
      </c>
      <c r="D97" s="2" t="s">
        <v>208</v>
      </c>
      <c r="E97" s="11" t="str">
        <f>IF(AND(U97&gt;0,VLOOKUP(B97,'이름 일치'!$B$3:$N$500,13,FALSE)&lt;&gt;""),"1상담"&amp;"/"&amp;VLOOKUP(B97,'이름 일치'!$B$3:$N$500,13,FALSE),IF(U97&gt;0,"1상담",IF(VLOOKUP(B97,'이름 일치'!$B$3:$N$500,13,FALSE)&lt;&gt;"",VLOOKUP(B97,'이름 일치'!$B$3:$N$500,13,FALSE),"")))</f>
        <v/>
      </c>
      <c r="F97" s="11"/>
      <c r="G97" s="2"/>
      <c r="H97" s="13">
        <v>32</v>
      </c>
      <c r="I97" s="13">
        <v>31</v>
      </c>
      <c r="J97" s="13">
        <v>26</v>
      </c>
      <c r="K97" s="6">
        <v>0</v>
      </c>
      <c r="L97" s="6">
        <v>1</v>
      </c>
      <c r="M97" s="6">
        <v>3</v>
      </c>
      <c r="N97" s="6" t="s">
        <v>187</v>
      </c>
      <c r="O97" s="6" t="s">
        <v>187</v>
      </c>
      <c r="P97" s="6" t="s">
        <v>187</v>
      </c>
      <c r="Q97" s="6" t="s">
        <v>187</v>
      </c>
      <c r="R97" s="6" t="s">
        <v>187</v>
      </c>
      <c r="S97" s="108" t="s">
        <v>187</v>
      </c>
      <c r="T97" s="111">
        <f>VALUE(SUM(H97:J97))</f>
        <v>89</v>
      </c>
      <c r="U97" s="12">
        <f>IF(COUNTIF(N97:S97,"높음")&gt;=1,1,0)</f>
        <v>0</v>
      </c>
    </row>
    <row r="98" spans="1:25" x14ac:dyDescent="0.3">
      <c r="A98" s="2" t="s">
        <v>531</v>
      </c>
      <c r="B98" s="2">
        <v>10110</v>
      </c>
      <c r="C98" s="2">
        <v>2</v>
      </c>
      <c r="D98" s="2" t="s">
        <v>212</v>
      </c>
      <c r="E98" s="11" t="str">
        <f>IF(AND(U98&gt;0,VLOOKUP(B98,'이름 일치'!$B$3:$N$500,13,FALSE)&lt;&gt;""),"1상담"&amp;"/"&amp;VLOOKUP(B98,'이름 일치'!$B$3:$N$500,13,FALSE),IF(U98&gt;0,"1상담",IF(VLOOKUP(B98,'이름 일치'!$B$3:$N$500,13,FALSE)&lt;&gt;"",VLOOKUP(B98,'이름 일치'!$B$3:$N$500,13,FALSE),"")))</f>
        <v/>
      </c>
      <c r="F98" s="11"/>
      <c r="G98" s="2"/>
      <c r="H98" s="13">
        <v>32</v>
      </c>
      <c r="I98" s="13">
        <v>31</v>
      </c>
      <c r="J98" s="13">
        <v>26</v>
      </c>
      <c r="K98" s="6">
        <v>0</v>
      </c>
      <c r="L98" s="6">
        <v>1</v>
      </c>
      <c r="M98" s="6">
        <v>3</v>
      </c>
      <c r="N98" s="6" t="s">
        <v>187</v>
      </c>
      <c r="O98" s="6" t="s">
        <v>187</v>
      </c>
      <c r="P98" s="6" t="s">
        <v>187</v>
      </c>
      <c r="Q98" s="6" t="s">
        <v>187</v>
      </c>
      <c r="R98" s="6" t="s">
        <v>187</v>
      </c>
      <c r="S98" s="108" t="s">
        <v>187</v>
      </c>
      <c r="T98" s="111">
        <f>VALUE(SUM(H98:J98))</f>
        <v>89</v>
      </c>
      <c r="U98" s="12">
        <f>IF(COUNTIF(N98:S98,"높음")&gt;=1,1,0)</f>
        <v>0</v>
      </c>
    </row>
    <row r="99" spans="1:25" x14ac:dyDescent="0.3">
      <c r="A99" s="2" t="s">
        <v>531</v>
      </c>
      <c r="B99" s="2">
        <v>10114</v>
      </c>
      <c r="C99" s="2">
        <v>2</v>
      </c>
      <c r="D99" s="2" t="s">
        <v>216</v>
      </c>
      <c r="E99" s="11" t="str">
        <f>IF(AND(U99&gt;0,VLOOKUP(B99,'이름 일치'!$B$3:$N$500,13,FALSE)&lt;&gt;""),"1상담"&amp;"/"&amp;VLOOKUP(B99,'이름 일치'!$B$3:$N$500,13,FALSE),IF(U99&gt;0,"1상담",IF(VLOOKUP(B99,'이름 일치'!$B$3:$N$500,13,FALSE)&lt;&gt;"",VLOOKUP(B99,'이름 일치'!$B$3:$N$500,13,FALSE),"")))</f>
        <v/>
      </c>
      <c r="F99" s="11"/>
      <c r="G99" s="2"/>
      <c r="H99" s="13">
        <v>32</v>
      </c>
      <c r="I99" s="13">
        <v>31</v>
      </c>
      <c r="J99" s="13">
        <v>26</v>
      </c>
      <c r="K99" s="6">
        <v>0</v>
      </c>
      <c r="L99" s="6">
        <v>1</v>
      </c>
      <c r="M99" s="6">
        <v>3</v>
      </c>
      <c r="N99" s="6" t="s">
        <v>187</v>
      </c>
      <c r="O99" s="6" t="s">
        <v>187</v>
      </c>
      <c r="P99" s="6" t="s">
        <v>187</v>
      </c>
      <c r="Q99" s="6" t="s">
        <v>187</v>
      </c>
      <c r="R99" s="6" t="s">
        <v>187</v>
      </c>
      <c r="S99" s="108" t="s">
        <v>187</v>
      </c>
      <c r="T99" s="111">
        <f>VALUE(SUM(H99:J99))</f>
        <v>89</v>
      </c>
      <c r="U99" s="12">
        <f>IF(COUNTIF(N99:S99,"높음")&gt;=1,1,0)</f>
        <v>0</v>
      </c>
    </row>
    <row r="100" spans="1:25" x14ac:dyDescent="0.3">
      <c r="A100" s="2" t="s">
        <v>531</v>
      </c>
      <c r="B100" s="2">
        <v>10201</v>
      </c>
      <c r="C100" s="2">
        <v>2</v>
      </c>
      <c r="D100" s="2" t="s">
        <v>232</v>
      </c>
      <c r="E100" s="11" t="str">
        <f>IF(AND(U100&gt;0,VLOOKUP(B100,'이름 일치'!$B$3:$N$500,13,FALSE)&lt;&gt;""),"1상담"&amp;"/"&amp;VLOOKUP(B100,'이름 일치'!$B$3:$N$500,13,FALSE),IF(U100&gt;0,"1상담",IF(VLOOKUP(B100,'이름 일치'!$B$3:$N$500,13,FALSE)&lt;&gt;"",VLOOKUP(B100,'이름 일치'!$B$3:$N$500,13,FALSE),"")))</f>
        <v/>
      </c>
      <c r="F100" s="11"/>
      <c r="G100" s="2"/>
      <c r="H100" s="13">
        <v>32</v>
      </c>
      <c r="I100" s="13">
        <v>31</v>
      </c>
      <c r="J100" s="13">
        <v>26</v>
      </c>
      <c r="K100" s="6">
        <v>0</v>
      </c>
      <c r="L100" s="6">
        <v>1</v>
      </c>
      <c r="M100" s="6">
        <v>3</v>
      </c>
      <c r="N100" s="6" t="s">
        <v>187</v>
      </c>
      <c r="O100" s="6" t="s">
        <v>187</v>
      </c>
      <c r="P100" s="6" t="s">
        <v>187</v>
      </c>
      <c r="Q100" s="6" t="s">
        <v>187</v>
      </c>
      <c r="R100" s="6" t="s">
        <v>187</v>
      </c>
      <c r="S100" s="108" t="s">
        <v>187</v>
      </c>
      <c r="T100" s="111">
        <f>VALUE(SUM(H100:J100))</f>
        <v>89</v>
      </c>
      <c r="U100" s="12">
        <f>IF(COUNTIF(N100:S100,"높음")&gt;=1,1,0)</f>
        <v>0</v>
      </c>
    </row>
    <row r="101" spans="1:25" x14ac:dyDescent="0.3">
      <c r="A101" s="2" t="s">
        <v>531</v>
      </c>
      <c r="B101" s="2">
        <v>10205</v>
      </c>
      <c r="C101" s="2">
        <v>2</v>
      </c>
      <c r="D101" s="2" t="s">
        <v>236</v>
      </c>
      <c r="E101" s="11" t="str">
        <f>IF(AND(U101&gt;0,VLOOKUP(B101,'이름 일치'!$B$3:$N$500,13,FALSE)&lt;&gt;""),"1상담"&amp;"/"&amp;VLOOKUP(B101,'이름 일치'!$B$3:$N$500,13,FALSE),IF(U101&gt;0,"1상담",IF(VLOOKUP(B101,'이름 일치'!$B$3:$N$500,13,FALSE)&lt;&gt;"",VLOOKUP(B101,'이름 일치'!$B$3:$N$500,13,FALSE),"")))</f>
        <v/>
      </c>
      <c r="F101" s="11"/>
      <c r="G101" s="2"/>
      <c r="H101" s="13">
        <v>32</v>
      </c>
      <c r="I101" s="13">
        <v>31</v>
      </c>
      <c r="J101" s="13">
        <v>26</v>
      </c>
      <c r="K101" s="6">
        <v>0</v>
      </c>
      <c r="L101" s="6">
        <v>1</v>
      </c>
      <c r="M101" s="6">
        <v>3</v>
      </c>
      <c r="N101" s="6" t="s">
        <v>187</v>
      </c>
      <c r="O101" s="6" t="s">
        <v>187</v>
      </c>
      <c r="P101" s="6" t="s">
        <v>187</v>
      </c>
      <c r="Q101" s="6" t="s">
        <v>187</v>
      </c>
      <c r="R101" s="6" t="s">
        <v>187</v>
      </c>
      <c r="S101" s="108" t="s">
        <v>187</v>
      </c>
      <c r="T101" s="111">
        <f>VALUE(SUM(H101:J101))</f>
        <v>89</v>
      </c>
      <c r="U101" s="12">
        <f>IF(COUNTIF(N101:S101,"높음")&gt;=1,1,0)</f>
        <v>0</v>
      </c>
    </row>
    <row r="102" spans="1:25" x14ac:dyDescent="0.3">
      <c r="A102" s="2" t="s">
        <v>531</v>
      </c>
      <c r="B102" s="2">
        <v>10209</v>
      </c>
      <c r="C102" s="2">
        <v>2</v>
      </c>
      <c r="D102" s="2" t="s">
        <v>240</v>
      </c>
      <c r="E102" s="11" t="str">
        <f>IF(AND(U102&gt;0,VLOOKUP(B102,'이름 일치'!$B$3:$N$500,13,FALSE)&lt;&gt;""),"1상담"&amp;"/"&amp;VLOOKUP(B102,'이름 일치'!$B$3:$N$500,13,FALSE),IF(U102&gt;0,"1상담",IF(VLOOKUP(B102,'이름 일치'!$B$3:$N$500,13,FALSE)&lt;&gt;"",VLOOKUP(B102,'이름 일치'!$B$3:$N$500,13,FALSE),"")))</f>
        <v/>
      </c>
      <c r="F102" s="11"/>
      <c r="G102" s="2"/>
      <c r="H102" s="13">
        <v>32</v>
      </c>
      <c r="I102" s="13">
        <v>31</v>
      </c>
      <c r="J102" s="13">
        <v>26</v>
      </c>
      <c r="K102" s="6">
        <v>0</v>
      </c>
      <c r="L102" s="6">
        <v>1</v>
      </c>
      <c r="M102" s="6">
        <v>3</v>
      </c>
      <c r="N102" s="6" t="s">
        <v>187</v>
      </c>
      <c r="O102" s="6" t="s">
        <v>187</v>
      </c>
      <c r="P102" s="6" t="s">
        <v>187</v>
      </c>
      <c r="Q102" s="6" t="s">
        <v>187</v>
      </c>
      <c r="R102" s="6" t="s">
        <v>187</v>
      </c>
      <c r="S102" s="108" t="s">
        <v>187</v>
      </c>
      <c r="T102" s="111">
        <f>VALUE(SUM(H102:J102))</f>
        <v>89</v>
      </c>
      <c r="U102" s="12">
        <f>IF(COUNTIF(N102:S102,"높음")&gt;=1,1,0)</f>
        <v>0</v>
      </c>
    </row>
    <row r="103" spans="1:25" x14ac:dyDescent="0.3">
      <c r="A103" s="2" t="s">
        <v>531</v>
      </c>
      <c r="B103" s="2">
        <v>10213</v>
      </c>
      <c r="C103" s="2">
        <v>2</v>
      </c>
      <c r="D103" s="2" t="s">
        <v>244</v>
      </c>
      <c r="E103" s="11" t="str">
        <f>IF(AND(U103&gt;0,VLOOKUP(B103,'이름 일치'!$B$3:$N$500,13,FALSE)&lt;&gt;""),"1상담"&amp;"/"&amp;VLOOKUP(B103,'이름 일치'!$B$3:$N$500,13,FALSE),IF(U103&gt;0,"1상담",IF(VLOOKUP(B103,'이름 일치'!$B$3:$N$500,13,FALSE)&lt;&gt;"",VLOOKUP(B103,'이름 일치'!$B$3:$N$500,13,FALSE),"")))</f>
        <v/>
      </c>
      <c r="F103" s="11"/>
      <c r="G103" s="2"/>
      <c r="H103" s="13">
        <v>32</v>
      </c>
      <c r="I103" s="13">
        <v>31</v>
      </c>
      <c r="J103" s="13">
        <v>26</v>
      </c>
      <c r="K103" s="6">
        <v>0</v>
      </c>
      <c r="L103" s="6">
        <v>1</v>
      </c>
      <c r="M103" s="6">
        <v>3</v>
      </c>
      <c r="N103" s="6" t="s">
        <v>187</v>
      </c>
      <c r="O103" s="6" t="s">
        <v>187</v>
      </c>
      <c r="P103" s="6" t="s">
        <v>187</v>
      </c>
      <c r="Q103" s="6" t="s">
        <v>187</v>
      </c>
      <c r="R103" s="6" t="s">
        <v>187</v>
      </c>
      <c r="S103" s="108" t="s">
        <v>187</v>
      </c>
      <c r="T103" s="111">
        <f>VALUE(SUM(H103:J103))</f>
        <v>89</v>
      </c>
      <c r="U103" s="12">
        <f>IF(COUNTIF(N103:S103,"높음")&gt;=1,1,0)</f>
        <v>0</v>
      </c>
    </row>
    <row r="104" spans="1:25" x14ac:dyDescent="0.3">
      <c r="A104" s="2" t="s">
        <v>531</v>
      </c>
      <c r="B104" s="2">
        <v>10303</v>
      </c>
      <c r="C104" s="2">
        <v>2</v>
      </c>
      <c r="D104" s="2" t="s">
        <v>264</v>
      </c>
      <c r="E104" s="11" t="str">
        <f>IF(AND(U104&gt;0,VLOOKUP(B104,'이름 일치'!$B$3:$N$500,13,FALSE)&lt;&gt;""),"1상담"&amp;"/"&amp;VLOOKUP(B104,'이름 일치'!$B$3:$N$500,13,FALSE),IF(U104&gt;0,"1상담",IF(VLOOKUP(B104,'이름 일치'!$B$3:$N$500,13,FALSE)&lt;&gt;"",VLOOKUP(B104,'이름 일치'!$B$3:$N$500,13,FALSE),"")))</f>
        <v/>
      </c>
      <c r="F104" s="11"/>
      <c r="G104" s="2"/>
      <c r="H104" s="13">
        <v>32</v>
      </c>
      <c r="I104" s="13">
        <v>31</v>
      </c>
      <c r="J104" s="13">
        <v>26</v>
      </c>
      <c r="K104" s="6">
        <v>0</v>
      </c>
      <c r="L104" s="6">
        <v>1</v>
      </c>
      <c r="M104" s="6">
        <v>3</v>
      </c>
      <c r="N104" s="6" t="s">
        <v>187</v>
      </c>
      <c r="O104" s="6" t="s">
        <v>187</v>
      </c>
      <c r="P104" s="6" t="s">
        <v>187</v>
      </c>
      <c r="Q104" s="6" t="s">
        <v>187</v>
      </c>
      <c r="R104" s="6" t="s">
        <v>187</v>
      </c>
      <c r="S104" s="108" t="s">
        <v>187</v>
      </c>
      <c r="T104" s="111">
        <f>VALUE(SUM(H104:J104))</f>
        <v>89</v>
      </c>
      <c r="U104" s="12">
        <f>IF(COUNTIF(N104:S104,"높음")&gt;=1,1,0)</f>
        <v>0</v>
      </c>
    </row>
    <row r="105" spans="1:25" x14ac:dyDescent="0.3">
      <c r="A105" s="11" t="s">
        <v>531</v>
      </c>
      <c r="B105" s="2">
        <v>10307</v>
      </c>
      <c r="C105" s="2">
        <v>2</v>
      </c>
      <c r="D105" s="2" t="s">
        <v>268</v>
      </c>
      <c r="E105" s="11" t="str">
        <f>IF(AND(U105&gt;0,VLOOKUP(B105,'이름 일치'!$B$3:$N$500,13,FALSE)&lt;&gt;""),"1상담"&amp;"/"&amp;VLOOKUP(B105,'이름 일치'!$B$3:$N$500,13,FALSE),IF(U105&gt;0,"1상담",IF(VLOOKUP(B105,'이름 일치'!$B$3:$N$500,13,FALSE)&lt;&gt;"",VLOOKUP(B105,'이름 일치'!$B$3:$N$500,13,FALSE),"")))</f>
        <v/>
      </c>
      <c r="F105" s="11"/>
      <c r="G105" s="2"/>
      <c r="H105" s="13">
        <v>32</v>
      </c>
      <c r="I105" s="13">
        <v>31</v>
      </c>
      <c r="J105" s="13">
        <v>26</v>
      </c>
      <c r="K105" s="6">
        <v>0</v>
      </c>
      <c r="L105" s="6">
        <v>1</v>
      </c>
      <c r="M105" s="6">
        <v>3</v>
      </c>
      <c r="N105" s="6" t="s">
        <v>187</v>
      </c>
      <c r="O105" s="6" t="s">
        <v>187</v>
      </c>
      <c r="P105" s="6" t="s">
        <v>187</v>
      </c>
      <c r="Q105" s="6" t="s">
        <v>187</v>
      </c>
      <c r="R105" s="6" t="s">
        <v>187</v>
      </c>
      <c r="S105" s="108" t="s">
        <v>187</v>
      </c>
      <c r="T105" s="111">
        <f>VALUE(SUM(H105:J105))</f>
        <v>89</v>
      </c>
      <c r="U105" s="12">
        <f>IF(COUNTIF(N105:S105,"높음")&gt;=1,1,0)</f>
        <v>0</v>
      </c>
    </row>
    <row r="106" spans="1:25" x14ac:dyDescent="0.3">
      <c r="A106" s="2" t="s">
        <v>531</v>
      </c>
      <c r="B106" s="2">
        <v>10311</v>
      </c>
      <c r="C106" s="2">
        <v>2</v>
      </c>
      <c r="D106" s="2" t="s">
        <v>272</v>
      </c>
      <c r="E106" s="11" t="str">
        <f>IF(AND(U106&gt;0,VLOOKUP(B106,'이름 일치'!$B$3:$N$500,13,FALSE)&lt;&gt;""),"1상담"&amp;"/"&amp;VLOOKUP(B106,'이름 일치'!$B$3:$N$500,13,FALSE),IF(U106&gt;0,"1상담",IF(VLOOKUP(B106,'이름 일치'!$B$3:$N$500,13,FALSE)&lt;&gt;"",VLOOKUP(B106,'이름 일치'!$B$3:$N$500,13,FALSE),"")))</f>
        <v/>
      </c>
      <c r="F106" s="11"/>
      <c r="G106" s="2"/>
      <c r="H106" s="13">
        <v>32</v>
      </c>
      <c r="I106" s="13">
        <v>31</v>
      </c>
      <c r="J106" s="13">
        <v>26</v>
      </c>
      <c r="K106" s="6">
        <v>0</v>
      </c>
      <c r="L106" s="6">
        <v>1</v>
      </c>
      <c r="M106" s="6">
        <v>3</v>
      </c>
      <c r="N106" s="6" t="s">
        <v>187</v>
      </c>
      <c r="O106" s="6" t="s">
        <v>187</v>
      </c>
      <c r="P106" s="6" t="s">
        <v>187</v>
      </c>
      <c r="Q106" s="6" t="s">
        <v>187</v>
      </c>
      <c r="R106" s="6" t="s">
        <v>187</v>
      </c>
      <c r="S106" s="108" t="s">
        <v>187</v>
      </c>
      <c r="T106" s="111">
        <f>VALUE(SUM(H106:J106))</f>
        <v>89</v>
      </c>
      <c r="U106" s="12">
        <f>IF(COUNTIF(N106:S106,"높음")&gt;=1,1,0)</f>
        <v>0</v>
      </c>
    </row>
    <row r="107" spans="1:25" x14ac:dyDescent="0.3">
      <c r="A107" s="2" t="s">
        <v>531</v>
      </c>
      <c r="B107" s="2">
        <v>10315</v>
      </c>
      <c r="C107" s="2">
        <v>2</v>
      </c>
      <c r="D107" s="2" t="s">
        <v>276</v>
      </c>
      <c r="E107" s="11" t="str">
        <f>IF(AND(U107&gt;0,VLOOKUP(B107,'이름 일치'!$B$3:$N$500,13,FALSE)&lt;&gt;""),"1상담"&amp;"/"&amp;VLOOKUP(B107,'이름 일치'!$B$3:$N$500,13,FALSE),IF(U107&gt;0,"1상담",IF(VLOOKUP(B107,'이름 일치'!$B$3:$N$500,13,FALSE)&lt;&gt;"",VLOOKUP(B107,'이름 일치'!$B$3:$N$500,13,FALSE),"")))</f>
        <v/>
      </c>
      <c r="F107" s="11"/>
      <c r="G107" s="2"/>
      <c r="H107" s="13">
        <v>32</v>
      </c>
      <c r="I107" s="13">
        <v>31</v>
      </c>
      <c r="J107" s="13">
        <v>26</v>
      </c>
      <c r="K107" s="6">
        <v>0</v>
      </c>
      <c r="L107" s="6">
        <v>1</v>
      </c>
      <c r="M107" s="6">
        <v>3</v>
      </c>
      <c r="N107" s="6" t="s">
        <v>187</v>
      </c>
      <c r="O107" s="6" t="s">
        <v>187</v>
      </c>
      <c r="P107" s="6" t="s">
        <v>187</v>
      </c>
      <c r="Q107" s="6" t="s">
        <v>187</v>
      </c>
      <c r="R107" s="6" t="s">
        <v>187</v>
      </c>
      <c r="S107" s="108" t="s">
        <v>187</v>
      </c>
      <c r="T107" s="111">
        <f>VALUE(SUM(H107:J107))</f>
        <v>89</v>
      </c>
      <c r="U107" s="12">
        <f>IF(COUNTIF(N107:S107,"높음")&gt;=1,1,0)</f>
        <v>0</v>
      </c>
    </row>
    <row r="108" spans="1:25" x14ac:dyDescent="0.3">
      <c r="A108" s="2" t="s">
        <v>531</v>
      </c>
      <c r="B108" s="2">
        <v>10402</v>
      </c>
      <c r="C108" s="2">
        <v>2</v>
      </c>
      <c r="D108" s="2" t="s">
        <v>292</v>
      </c>
      <c r="E108" s="11" t="str">
        <f>IF(AND(U108&gt;0,VLOOKUP(B108,'이름 일치'!$B$3:$N$500,13,FALSE)&lt;&gt;""),"1상담"&amp;"/"&amp;VLOOKUP(B108,'이름 일치'!$B$3:$N$500,13,FALSE),IF(U108&gt;0,"1상담",IF(VLOOKUP(B108,'이름 일치'!$B$3:$N$500,13,FALSE)&lt;&gt;"",VLOOKUP(B108,'이름 일치'!$B$3:$N$500,13,FALSE),"")))</f>
        <v/>
      </c>
      <c r="F108" s="11"/>
      <c r="G108" s="2"/>
      <c r="H108" s="13">
        <v>32</v>
      </c>
      <c r="I108" s="13">
        <v>31</v>
      </c>
      <c r="J108" s="13">
        <v>26</v>
      </c>
      <c r="K108" s="6">
        <v>0</v>
      </c>
      <c r="L108" s="6">
        <v>1</v>
      </c>
      <c r="M108" s="6">
        <v>3</v>
      </c>
      <c r="N108" s="6" t="s">
        <v>187</v>
      </c>
      <c r="O108" s="6" t="s">
        <v>187</v>
      </c>
      <c r="P108" s="6" t="s">
        <v>187</v>
      </c>
      <c r="Q108" s="6" t="s">
        <v>187</v>
      </c>
      <c r="R108" s="6" t="s">
        <v>187</v>
      </c>
      <c r="S108" s="108" t="s">
        <v>187</v>
      </c>
      <c r="T108" s="111">
        <f>VALUE(SUM(H108:J108))</f>
        <v>89</v>
      </c>
      <c r="U108" s="12">
        <f>IF(COUNTIF(N108:S108,"높음")&gt;=1,1,0)</f>
        <v>0</v>
      </c>
    </row>
    <row r="109" spans="1:25" x14ac:dyDescent="0.3">
      <c r="A109" s="2" t="s">
        <v>531</v>
      </c>
      <c r="B109" s="2">
        <v>10406</v>
      </c>
      <c r="C109" s="2">
        <v>2</v>
      </c>
      <c r="D109" s="2" t="s">
        <v>296</v>
      </c>
      <c r="E109" s="11" t="str">
        <f>IF(AND(U109&gt;0,VLOOKUP(B109,'이름 일치'!$B$3:$N$500,13,FALSE)&lt;&gt;""),"1상담"&amp;"/"&amp;VLOOKUP(B109,'이름 일치'!$B$3:$N$500,13,FALSE),IF(U109&gt;0,"1상담",IF(VLOOKUP(B109,'이름 일치'!$B$3:$N$500,13,FALSE)&lt;&gt;"",VLOOKUP(B109,'이름 일치'!$B$3:$N$500,13,FALSE),"")))</f>
        <v/>
      </c>
      <c r="F109" s="11"/>
      <c r="G109" s="2"/>
      <c r="H109" s="13">
        <v>32</v>
      </c>
      <c r="I109" s="13">
        <v>31</v>
      </c>
      <c r="J109" s="13">
        <v>26</v>
      </c>
      <c r="K109" s="6">
        <v>0</v>
      </c>
      <c r="L109" s="6">
        <v>1</v>
      </c>
      <c r="M109" s="6">
        <v>3</v>
      </c>
      <c r="N109" s="6" t="s">
        <v>187</v>
      </c>
      <c r="O109" s="6" t="s">
        <v>187</v>
      </c>
      <c r="P109" s="6" t="s">
        <v>187</v>
      </c>
      <c r="Q109" s="6" t="s">
        <v>187</v>
      </c>
      <c r="R109" s="6" t="s">
        <v>187</v>
      </c>
      <c r="S109" s="108" t="s">
        <v>187</v>
      </c>
      <c r="T109" s="111">
        <f>VALUE(SUM(H109:J109))</f>
        <v>89</v>
      </c>
      <c r="U109" s="12">
        <f>IF(COUNTIF(N109:S109,"높음")&gt;=1,1,0)</f>
        <v>0</v>
      </c>
    </row>
    <row r="110" spans="1:25" x14ac:dyDescent="0.3">
      <c r="A110" s="2" t="s">
        <v>531</v>
      </c>
      <c r="B110" s="2">
        <v>10410</v>
      </c>
      <c r="C110" s="2">
        <v>2</v>
      </c>
      <c r="D110" s="2" t="s">
        <v>300</v>
      </c>
      <c r="E110" s="11" t="str">
        <f>IF(AND(U110&gt;0,VLOOKUP(B110,'이름 일치'!$B$3:$N$500,13,FALSE)&lt;&gt;""),"1상담"&amp;"/"&amp;VLOOKUP(B110,'이름 일치'!$B$3:$N$500,13,FALSE),IF(U110&gt;0,"1상담",IF(VLOOKUP(B110,'이름 일치'!$B$3:$N$500,13,FALSE)&lt;&gt;"",VLOOKUP(B110,'이름 일치'!$B$3:$N$500,13,FALSE),"")))</f>
        <v/>
      </c>
      <c r="F110" s="11"/>
      <c r="G110" s="2"/>
      <c r="H110" s="13">
        <v>32</v>
      </c>
      <c r="I110" s="13">
        <v>31</v>
      </c>
      <c r="J110" s="13">
        <v>26</v>
      </c>
      <c r="K110" s="6">
        <v>0</v>
      </c>
      <c r="L110" s="6">
        <v>1</v>
      </c>
      <c r="M110" s="6">
        <v>3</v>
      </c>
      <c r="N110" s="6" t="s">
        <v>187</v>
      </c>
      <c r="O110" s="6" t="s">
        <v>187</v>
      </c>
      <c r="P110" s="6" t="s">
        <v>187</v>
      </c>
      <c r="Q110" s="6" t="s">
        <v>187</v>
      </c>
      <c r="R110" s="6" t="s">
        <v>187</v>
      </c>
      <c r="S110" s="108" t="s">
        <v>187</v>
      </c>
      <c r="T110" s="111">
        <f>VALUE(SUM(H110:J110))</f>
        <v>89</v>
      </c>
      <c r="U110" s="12">
        <f>IF(COUNTIF(N110:S110,"높음")&gt;=1,1,0)</f>
        <v>0</v>
      </c>
    </row>
    <row r="111" spans="1:25" x14ac:dyDescent="0.3">
      <c r="A111" s="2" t="s">
        <v>531</v>
      </c>
      <c r="B111" s="2">
        <v>10414</v>
      </c>
      <c r="C111" s="2">
        <v>2</v>
      </c>
      <c r="D111" s="2" t="s">
        <v>304</v>
      </c>
      <c r="E111" s="11" t="str">
        <f>IF(AND(U111&gt;0,VLOOKUP(B111,'이름 일치'!$B$3:$N$500,13,FALSE)&lt;&gt;""),"1상담"&amp;"/"&amp;VLOOKUP(B111,'이름 일치'!$B$3:$N$500,13,FALSE),IF(U111&gt;0,"1상담",IF(VLOOKUP(B111,'이름 일치'!$B$3:$N$500,13,FALSE)&lt;&gt;"",VLOOKUP(B111,'이름 일치'!$B$3:$N$500,13,FALSE),"")))</f>
        <v/>
      </c>
      <c r="F111" s="11"/>
      <c r="G111" s="2"/>
      <c r="H111" s="13">
        <v>32</v>
      </c>
      <c r="I111" s="13">
        <v>31</v>
      </c>
      <c r="J111" s="13">
        <v>26</v>
      </c>
      <c r="K111" s="6">
        <v>0</v>
      </c>
      <c r="L111" s="6">
        <v>1</v>
      </c>
      <c r="M111" s="6">
        <v>3</v>
      </c>
      <c r="N111" s="6" t="s">
        <v>187</v>
      </c>
      <c r="O111" s="6" t="s">
        <v>187</v>
      </c>
      <c r="P111" s="6" t="s">
        <v>187</v>
      </c>
      <c r="Q111" s="6" t="s">
        <v>187</v>
      </c>
      <c r="R111" s="6" t="s">
        <v>187</v>
      </c>
      <c r="S111" s="108" t="s">
        <v>187</v>
      </c>
      <c r="T111" s="111">
        <f>VALUE(SUM(H111:J111))</f>
        <v>89</v>
      </c>
      <c r="U111" s="12">
        <f>IF(COUNTIF(N111:S111,"높음")&gt;=1,1,0)</f>
        <v>0</v>
      </c>
    </row>
    <row r="112" spans="1:25" x14ac:dyDescent="0.3">
      <c r="A112" s="11" t="s">
        <v>531</v>
      </c>
      <c r="B112" s="2">
        <v>10501</v>
      </c>
      <c r="C112" s="2">
        <v>2</v>
      </c>
      <c r="D112" s="2" t="s">
        <v>320</v>
      </c>
      <c r="E112" s="11" t="str">
        <f>IF(AND(U112&gt;0,VLOOKUP(B112,'이름 일치'!$B$3:$N$500,13,FALSE)&lt;&gt;""),"1상담"&amp;"/"&amp;VLOOKUP(B112,'이름 일치'!$B$3:$N$500,13,FALSE),IF(U112&gt;0,"1상담",IF(VLOOKUP(B112,'이름 일치'!$B$3:$N$500,13,FALSE)&lt;&gt;"",VLOOKUP(B112,'이름 일치'!$B$3:$N$500,13,FALSE),"")))</f>
        <v/>
      </c>
      <c r="F112" s="11"/>
      <c r="G112" s="2"/>
      <c r="H112" s="13">
        <v>32</v>
      </c>
      <c r="I112" s="13">
        <v>31</v>
      </c>
      <c r="J112" s="13">
        <v>26</v>
      </c>
      <c r="K112" s="6">
        <v>0</v>
      </c>
      <c r="L112" s="6">
        <v>1</v>
      </c>
      <c r="M112" s="6">
        <v>3</v>
      </c>
      <c r="N112" s="6" t="s">
        <v>187</v>
      </c>
      <c r="O112" s="6" t="s">
        <v>187</v>
      </c>
      <c r="P112" s="6" t="s">
        <v>187</v>
      </c>
      <c r="Q112" s="6" t="s">
        <v>187</v>
      </c>
      <c r="R112" s="6" t="s">
        <v>187</v>
      </c>
      <c r="S112" s="108" t="s">
        <v>187</v>
      </c>
      <c r="T112" s="111">
        <f>VALUE(SUM(H112:J112))</f>
        <v>89</v>
      </c>
      <c r="U112" s="12">
        <f>IF(COUNTIF(N112:S112,"높음")&gt;=1,1,0)</f>
        <v>0</v>
      </c>
      <c r="X112" s="14"/>
      <c r="Y112" s="15"/>
    </row>
    <row r="113" spans="1:25" x14ac:dyDescent="0.3">
      <c r="A113" s="2" t="s">
        <v>531</v>
      </c>
      <c r="B113" s="2">
        <v>10505</v>
      </c>
      <c r="C113" s="2">
        <v>2</v>
      </c>
      <c r="D113" s="2" t="s">
        <v>324</v>
      </c>
      <c r="E113" s="11" t="str">
        <f>IF(AND(U113&gt;0,VLOOKUP(B113,'이름 일치'!$B$3:$N$500,13,FALSE)&lt;&gt;""),"1상담"&amp;"/"&amp;VLOOKUP(B113,'이름 일치'!$B$3:$N$500,13,FALSE),IF(U113&gt;0,"1상담",IF(VLOOKUP(B113,'이름 일치'!$B$3:$N$500,13,FALSE)&lt;&gt;"",VLOOKUP(B113,'이름 일치'!$B$3:$N$500,13,FALSE),"")))</f>
        <v/>
      </c>
      <c r="F113" s="11"/>
      <c r="G113" s="2"/>
      <c r="H113" s="13">
        <v>32</v>
      </c>
      <c r="I113" s="13">
        <v>31</v>
      </c>
      <c r="J113" s="13">
        <v>26</v>
      </c>
      <c r="K113" s="6">
        <v>0</v>
      </c>
      <c r="L113" s="6">
        <v>1</v>
      </c>
      <c r="M113" s="6">
        <v>3</v>
      </c>
      <c r="N113" s="6" t="s">
        <v>187</v>
      </c>
      <c r="O113" s="6" t="s">
        <v>187</v>
      </c>
      <c r="P113" s="6" t="s">
        <v>187</v>
      </c>
      <c r="Q113" s="6" t="s">
        <v>187</v>
      </c>
      <c r="R113" s="6" t="s">
        <v>187</v>
      </c>
      <c r="S113" s="108" t="s">
        <v>187</v>
      </c>
      <c r="T113" s="111">
        <f>VALUE(SUM(H113:J113))</f>
        <v>89</v>
      </c>
      <c r="U113" s="12">
        <f>IF(COUNTIF(N113:S113,"높음")&gt;=1,1,0)</f>
        <v>0</v>
      </c>
    </row>
    <row r="114" spans="1:25" x14ac:dyDescent="0.3">
      <c r="A114" s="2" t="s">
        <v>531</v>
      </c>
      <c r="B114" s="2">
        <v>10513</v>
      </c>
      <c r="C114" s="2">
        <v>2</v>
      </c>
      <c r="D114" s="2" t="s">
        <v>331</v>
      </c>
      <c r="E114" s="11" t="str">
        <f>IF(AND(U114&gt;0,VLOOKUP(B114,'이름 일치'!$B$3:$N$500,13,FALSE)&lt;&gt;""),"1상담"&amp;"/"&amp;VLOOKUP(B114,'이름 일치'!$B$3:$N$500,13,FALSE),IF(U114&gt;0,"1상담",IF(VLOOKUP(B114,'이름 일치'!$B$3:$N$500,13,FALSE)&lt;&gt;"",VLOOKUP(B114,'이름 일치'!$B$3:$N$500,13,FALSE),"")))</f>
        <v/>
      </c>
      <c r="F114" s="11"/>
      <c r="G114" s="2"/>
      <c r="H114" s="13">
        <v>32</v>
      </c>
      <c r="I114" s="13">
        <v>31</v>
      </c>
      <c r="J114" s="13">
        <v>26</v>
      </c>
      <c r="K114" s="6">
        <v>0</v>
      </c>
      <c r="L114" s="6">
        <v>1</v>
      </c>
      <c r="M114" s="6">
        <v>3</v>
      </c>
      <c r="N114" s="6" t="s">
        <v>187</v>
      </c>
      <c r="O114" s="6" t="s">
        <v>187</v>
      </c>
      <c r="P114" s="6" t="s">
        <v>187</v>
      </c>
      <c r="Q114" s="6" t="s">
        <v>187</v>
      </c>
      <c r="R114" s="6" t="s">
        <v>187</v>
      </c>
      <c r="S114" s="108" t="s">
        <v>187</v>
      </c>
      <c r="T114" s="111">
        <f>VALUE(SUM(H114:J114))</f>
        <v>89</v>
      </c>
      <c r="U114" s="12">
        <f>IF(COUNTIF(N114:S114,"높음")&gt;=1,1,0)</f>
        <v>0</v>
      </c>
    </row>
    <row r="115" spans="1:25" x14ac:dyDescent="0.3">
      <c r="A115" s="2" t="s">
        <v>531</v>
      </c>
      <c r="B115" s="2">
        <v>10607</v>
      </c>
      <c r="C115" s="2">
        <v>2</v>
      </c>
      <c r="D115" s="2" t="s">
        <v>354</v>
      </c>
      <c r="E115" s="11" t="str">
        <f>IF(AND(U115&gt;0,VLOOKUP(B115,'이름 일치'!$B$3:$N$500,13,FALSE)&lt;&gt;""),"1상담"&amp;"/"&amp;VLOOKUP(B115,'이름 일치'!$B$3:$N$500,13,FALSE),IF(U115&gt;0,"1상담",IF(VLOOKUP(B115,'이름 일치'!$B$3:$N$500,13,FALSE)&lt;&gt;"",VLOOKUP(B115,'이름 일치'!$B$3:$N$500,13,FALSE),"")))</f>
        <v/>
      </c>
      <c r="F115" s="11"/>
      <c r="G115" s="2"/>
      <c r="H115" s="13">
        <v>32</v>
      </c>
      <c r="I115" s="13">
        <v>31</v>
      </c>
      <c r="J115" s="13">
        <v>26</v>
      </c>
      <c r="K115" s="6">
        <v>0</v>
      </c>
      <c r="L115" s="6">
        <v>1</v>
      </c>
      <c r="M115" s="6">
        <v>3</v>
      </c>
      <c r="N115" s="6" t="s">
        <v>187</v>
      </c>
      <c r="O115" s="6" t="s">
        <v>187</v>
      </c>
      <c r="P115" s="6" t="s">
        <v>187</v>
      </c>
      <c r="Q115" s="6" t="s">
        <v>187</v>
      </c>
      <c r="R115" s="6" t="s">
        <v>187</v>
      </c>
      <c r="S115" s="108" t="s">
        <v>187</v>
      </c>
      <c r="T115" s="111">
        <f>VALUE(SUM(H115:J115))</f>
        <v>89</v>
      </c>
      <c r="U115" s="12">
        <f>IF(COUNTIF(N115:S115,"높음")&gt;=1,1,0)</f>
        <v>0</v>
      </c>
    </row>
    <row r="116" spans="1:25" x14ac:dyDescent="0.3">
      <c r="A116" s="2" t="s">
        <v>531</v>
      </c>
      <c r="B116" s="2">
        <v>10611</v>
      </c>
      <c r="C116" s="2">
        <v>2</v>
      </c>
      <c r="D116" s="2" t="s">
        <v>357</v>
      </c>
      <c r="E116" s="11" t="str">
        <f>IF(AND(U116&gt;0,VLOOKUP(B116,'이름 일치'!$B$3:$N$500,13,FALSE)&lt;&gt;""),"1상담"&amp;"/"&amp;VLOOKUP(B116,'이름 일치'!$B$3:$N$500,13,FALSE),IF(U116&gt;0,"1상담",IF(VLOOKUP(B116,'이름 일치'!$B$3:$N$500,13,FALSE)&lt;&gt;"",VLOOKUP(B116,'이름 일치'!$B$3:$N$500,13,FALSE),"")))</f>
        <v/>
      </c>
      <c r="F116" s="11"/>
      <c r="G116" s="2"/>
      <c r="H116" s="13">
        <v>32</v>
      </c>
      <c r="I116" s="13">
        <v>31</v>
      </c>
      <c r="J116" s="13">
        <v>26</v>
      </c>
      <c r="K116" s="6">
        <v>0</v>
      </c>
      <c r="L116" s="6">
        <v>1</v>
      </c>
      <c r="M116" s="6">
        <v>3</v>
      </c>
      <c r="N116" s="6" t="s">
        <v>187</v>
      </c>
      <c r="O116" s="6" t="s">
        <v>187</v>
      </c>
      <c r="P116" s="6" t="s">
        <v>187</v>
      </c>
      <c r="Q116" s="6" t="s">
        <v>187</v>
      </c>
      <c r="R116" s="6" t="s">
        <v>187</v>
      </c>
      <c r="S116" s="108" t="s">
        <v>187</v>
      </c>
      <c r="T116" s="111">
        <f>VALUE(SUM(H116:J116))</f>
        <v>89</v>
      </c>
      <c r="U116" s="12">
        <f>IF(COUNTIF(N116:S116,"높음")&gt;=1,1,0)</f>
        <v>0</v>
      </c>
    </row>
    <row r="117" spans="1:25" x14ac:dyDescent="0.3">
      <c r="A117" s="2" t="s">
        <v>531</v>
      </c>
      <c r="B117" s="2">
        <v>10702</v>
      </c>
      <c r="C117" s="2">
        <v>2</v>
      </c>
      <c r="D117" s="2" t="s">
        <v>377</v>
      </c>
      <c r="E117" s="11" t="str">
        <f>IF(AND(U117&gt;0,VLOOKUP(B117,'이름 일치'!$B$3:$N$500,13,FALSE)&lt;&gt;""),"1상담"&amp;"/"&amp;VLOOKUP(B117,'이름 일치'!$B$3:$N$500,13,FALSE),IF(U117&gt;0,"1상담",IF(VLOOKUP(B117,'이름 일치'!$B$3:$N$500,13,FALSE)&lt;&gt;"",VLOOKUP(B117,'이름 일치'!$B$3:$N$500,13,FALSE),"")))</f>
        <v/>
      </c>
      <c r="F117" s="11"/>
      <c r="G117" s="2"/>
      <c r="H117" s="13">
        <v>32</v>
      </c>
      <c r="I117" s="13">
        <v>31</v>
      </c>
      <c r="J117" s="13">
        <v>26</v>
      </c>
      <c r="K117" s="6">
        <v>0</v>
      </c>
      <c r="L117" s="6">
        <v>1</v>
      </c>
      <c r="M117" s="6">
        <v>3</v>
      </c>
      <c r="N117" s="6" t="s">
        <v>187</v>
      </c>
      <c r="O117" s="6" t="s">
        <v>187</v>
      </c>
      <c r="P117" s="6" t="s">
        <v>187</v>
      </c>
      <c r="Q117" s="6" t="s">
        <v>187</v>
      </c>
      <c r="R117" s="6" t="s">
        <v>187</v>
      </c>
      <c r="S117" s="108" t="s">
        <v>187</v>
      </c>
      <c r="T117" s="111">
        <f>VALUE(SUM(H117:J117))</f>
        <v>89</v>
      </c>
      <c r="U117" s="12">
        <f>IF(COUNTIF(N117:S117,"높음")&gt;=1,1,0)</f>
        <v>0</v>
      </c>
    </row>
    <row r="118" spans="1:25" x14ac:dyDescent="0.3">
      <c r="A118" s="2" t="s">
        <v>531</v>
      </c>
      <c r="B118" s="2">
        <v>10706</v>
      </c>
      <c r="C118" s="2">
        <v>2</v>
      </c>
      <c r="D118" s="2" t="s">
        <v>381</v>
      </c>
      <c r="E118" s="11" t="str">
        <f>IF(AND(U118&gt;0,VLOOKUP(B118,'이름 일치'!$B$3:$N$500,13,FALSE)&lt;&gt;""),"1상담"&amp;"/"&amp;VLOOKUP(B118,'이름 일치'!$B$3:$N$500,13,FALSE),IF(U118&gt;0,"1상담",IF(VLOOKUP(B118,'이름 일치'!$B$3:$N$500,13,FALSE)&lt;&gt;"",VLOOKUP(B118,'이름 일치'!$B$3:$N$500,13,FALSE),"")))</f>
        <v/>
      </c>
      <c r="F118" s="11"/>
      <c r="G118" s="2"/>
      <c r="H118" s="13">
        <v>32</v>
      </c>
      <c r="I118" s="13">
        <v>31</v>
      </c>
      <c r="J118" s="13">
        <v>26</v>
      </c>
      <c r="K118" s="6">
        <v>0</v>
      </c>
      <c r="L118" s="6">
        <v>1</v>
      </c>
      <c r="M118" s="6">
        <v>3</v>
      </c>
      <c r="N118" s="6" t="s">
        <v>187</v>
      </c>
      <c r="O118" s="6" t="s">
        <v>187</v>
      </c>
      <c r="P118" s="6" t="s">
        <v>187</v>
      </c>
      <c r="Q118" s="6" t="s">
        <v>187</v>
      </c>
      <c r="R118" s="6" t="s">
        <v>187</v>
      </c>
      <c r="S118" s="108" t="s">
        <v>187</v>
      </c>
      <c r="T118" s="111">
        <f>VALUE(SUM(H118:J118))</f>
        <v>89</v>
      </c>
      <c r="U118" s="12">
        <f>IF(COUNTIF(N118:S118,"높음")&gt;=1,1,0)</f>
        <v>0</v>
      </c>
    </row>
    <row r="119" spans="1:25" x14ac:dyDescent="0.3">
      <c r="A119" s="2" t="s">
        <v>531</v>
      </c>
      <c r="B119" s="2">
        <v>10710</v>
      </c>
      <c r="C119" s="2">
        <v>2</v>
      </c>
      <c r="D119" s="2" t="s">
        <v>385</v>
      </c>
      <c r="E119" s="11" t="str">
        <f>IF(AND(U119&gt;0,VLOOKUP(B119,'이름 일치'!$B$3:$N$500,13,FALSE)&lt;&gt;""),"1상담"&amp;"/"&amp;VLOOKUP(B119,'이름 일치'!$B$3:$N$500,13,FALSE),IF(U119&gt;0,"1상담",IF(VLOOKUP(B119,'이름 일치'!$B$3:$N$500,13,FALSE)&lt;&gt;"",VLOOKUP(B119,'이름 일치'!$B$3:$N$500,13,FALSE),"")))</f>
        <v/>
      </c>
      <c r="F119" s="11"/>
      <c r="G119" s="2"/>
      <c r="H119" s="13">
        <v>32</v>
      </c>
      <c r="I119" s="13">
        <v>31</v>
      </c>
      <c r="J119" s="13">
        <v>26</v>
      </c>
      <c r="K119" s="6">
        <v>0</v>
      </c>
      <c r="L119" s="6">
        <v>1</v>
      </c>
      <c r="M119" s="6">
        <v>3</v>
      </c>
      <c r="N119" s="6" t="s">
        <v>187</v>
      </c>
      <c r="O119" s="6" t="s">
        <v>187</v>
      </c>
      <c r="P119" s="6" t="s">
        <v>187</v>
      </c>
      <c r="Q119" s="6" t="s">
        <v>187</v>
      </c>
      <c r="R119" s="6" t="s">
        <v>187</v>
      </c>
      <c r="S119" s="108" t="s">
        <v>187</v>
      </c>
      <c r="T119" s="111">
        <f>VALUE(SUM(H119:J119))</f>
        <v>89</v>
      </c>
      <c r="U119" s="12">
        <f>IF(COUNTIF(N119:S119,"높음")&gt;=1,1,0)</f>
        <v>0</v>
      </c>
    </row>
    <row r="120" spans="1:25" x14ac:dyDescent="0.3">
      <c r="A120" s="2" t="s">
        <v>531</v>
      </c>
      <c r="B120" s="2">
        <v>10714</v>
      </c>
      <c r="C120" s="2">
        <v>2</v>
      </c>
      <c r="D120" s="2" t="s">
        <v>389</v>
      </c>
      <c r="E120" s="11" t="str">
        <f>IF(AND(U120&gt;0,VLOOKUP(B120,'이름 일치'!$B$3:$N$500,13,FALSE)&lt;&gt;""),"1상담"&amp;"/"&amp;VLOOKUP(B120,'이름 일치'!$B$3:$N$500,13,FALSE),IF(U120&gt;0,"1상담",IF(VLOOKUP(B120,'이름 일치'!$B$3:$N$500,13,FALSE)&lt;&gt;"",VLOOKUP(B120,'이름 일치'!$B$3:$N$500,13,FALSE),"")))</f>
        <v/>
      </c>
      <c r="F120" s="11"/>
      <c r="G120" s="2"/>
      <c r="H120" s="13">
        <v>32</v>
      </c>
      <c r="I120" s="13">
        <v>31</v>
      </c>
      <c r="J120" s="13">
        <v>26</v>
      </c>
      <c r="K120" s="6">
        <v>0</v>
      </c>
      <c r="L120" s="6">
        <v>1</v>
      </c>
      <c r="M120" s="6">
        <v>3</v>
      </c>
      <c r="N120" s="6" t="s">
        <v>187</v>
      </c>
      <c r="O120" s="6" t="s">
        <v>187</v>
      </c>
      <c r="P120" s="6" t="s">
        <v>187</v>
      </c>
      <c r="Q120" s="6" t="s">
        <v>187</v>
      </c>
      <c r="R120" s="6" t="s">
        <v>187</v>
      </c>
      <c r="S120" s="108" t="s">
        <v>187</v>
      </c>
      <c r="T120" s="111">
        <f>VALUE(SUM(H120:J120))</f>
        <v>89</v>
      </c>
      <c r="U120" s="12">
        <f>IF(COUNTIF(N120:S120,"높음")&gt;=1,1,0)</f>
        <v>0</v>
      </c>
    </row>
    <row r="121" spans="1:25" x14ac:dyDescent="0.3">
      <c r="A121" s="2" t="s">
        <v>531</v>
      </c>
      <c r="B121" s="2">
        <v>10804</v>
      </c>
      <c r="C121" s="2">
        <v>2</v>
      </c>
      <c r="D121" s="2" t="s">
        <v>409</v>
      </c>
      <c r="E121" s="11" t="str">
        <f>IF(AND(U121&gt;0,VLOOKUP(B121,'이름 일치'!$B$3:$N$500,13,FALSE)&lt;&gt;""),"1상담"&amp;"/"&amp;VLOOKUP(B121,'이름 일치'!$B$3:$N$500,13,FALSE),IF(U121&gt;0,"1상담",IF(VLOOKUP(B121,'이름 일치'!$B$3:$N$500,13,FALSE)&lt;&gt;"",VLOOKUP(B121,'이름 일치'!$B$3:$N$500,13,FALSE),"")))</f>
        <v/>
      </c>
      <c r="F121" s="11"/>
      <c r="G121" s="2"/>
      <c r="H121" s="13">
        <v>32</v>
      </c>
      <c r="I121" s="13">
        <v>31</v>
      </c>
      <c r="J121" s="13">
        <v>26</v>
      </c>
      <c r="K121" s="6">
        <v>0</v>
      </c>
      <c r="L121" s="6">
        <v>1</v>
      </c>
      <c r="M121" s="6">
        <v>3</v>
      </c>
      <c r="N121" s="6" t="s">
        <v>187</v>
      </c>
      <c r="O121" s="6" t="s">
        <v>187</v>
      </c>
      <c r="P121" s="6" t="s">
        <v>187</v>
      </c>
      <c r="Q121" s="6" t="s">
        <v>187</v>
      </c>
      <c r="R121" s="6" t="s">
        <v>187</v>
      </c>
      <c r="S121" s="108" t="s">
        <v>187</v>
      </c>
      <c r="T121" s="111">
        <f>VALUE(SUM(H121:J121))</f>
        <v>89</v>
      </c>
      <c r="U121" s="12">
        <f>IF(COUNTIF(N121:S121,"높음")&gt;=1,1,0)</f>
        <v>0</v>
      </c>
    </row>
    <row r="122" spans="1:25" x14ac:dyDescent="0.3">
      <c r="A122" s="2" t="s">
        <v>531</v>
      </c>
      <c r="B122" s="2">
        <v>10808</v>
      </c>
      <c r="C122" s="2">
        <v>2</v>
      </c>
      <c r="D122" s="2" t="s">
        <v>413</v>
      </c>
      <c r="E122" s="11" t="str">
        <f>IF(AND(U122&gt;0,VLOOKUP(B122,'이름 일치'!$B$3:$N$500,13,FALSE)&lt;&gt;""),"1상담"&amp;"/"&amp;VLOOKUP(B122,'이름 일치'!$B$3:$N$500,13,FALSE),IF(U122&gt;0,"1상담",IF(VLOOKUP(B122,'이름 일치'!$B$3:$N$500,13,FALSE)&lt;&gt;"",VLOOKUP(B122,'이름 일치'!$B$3:$N$500,13,FALSE),"")))</f>
        <v/>
      </c>
      <c r="F122" s="11"/>
      <c r="G122" s="2"/>
      <c r="H122" s="13">
        <v>32</v>
      </c>
      <c r="I122" s="13">
        <v>31</v>
      </c>
      <c r="J122" s="13">
        <v>26</v>
      </c>
      <c r="K122" s="6">
        <v>0</v>
      </c>
      <c r="L122" s="6">
        <v>1</v>
      </c>
      <c r="M122" s="6">
        <v>3</v>
      </c>
      <c r="N122" s="6" t="s">
        <v>187</v>
      </c>
      <c r="O122" s="6" t="s">
        <v>187</v>
      </c>
      <c r="P122" s="6" t="s">
        <v>187</v>
      </c>
      <c r="Q122" s="6" t="s">
        <v>187</v>
      </c>
      <c r="R122" s="6" t="s">
        <v>187</v>
      </c>
      <c r="S122" s="108" t="s">
        <v>187</v>
      </c>
      <c r="T122" s="111">
        <f>VALUE(SUM(H122:J122))</f>
        <v>89</v>
      </c>
      <c r="U122" s="12">
        <f>IF(COUNTIF(N122:S122,"높음")&gt;=1,1,0)</f>
        <v>0</v>
      </c>
    </row>
    <row r="123" spans="1:25" x14ac:dyDescent="0.3">
      <c r="A123" s="2" t="s">
        <v>531</v>
      </c>
      <c r="B123" s="2">
        <v>10812</v>
      </c>
      <c r="C123" s="2">
        <v>2</v>
      </c>
      <c r="D123" s="2" t="s">
        <v>417</v>
      </c>
      <c r="E123" s="11" t="str">
        <f>IF(AND(U123&gt;0,VLOOKUP(B123,'이름 일치'!$B$3:$N$500,13,FALSE)&lt;&gt;""),"1상담"&amp;"/"&amp;VLOOKUP(B123,'이름 일치'!$B$3:$N$500,13,FALSE),IF(U123&gt;0,"1상담",IF(VLOOKUP(B123,'이름 일치'!$B$3:$N$500,13,FALSE)&lt;&gt;"",VLOOKUP(B123,'이름 일치'!$B$3:$N$500,13,FALSE),"")))</f>
        <v/>
      </c>
      <c r="F123" s="11"/>
      <c r="G123" s="2"/>
      <c r="H123" s="13">
        <v>32</v>
      </c>
      <c r="I123" s="13">
        <v>31</v>
      </c>
      <c r="J123" s="13">
        <v>26</v>
      </c>
      <c r="K123" s="6">
        <v>0</v>
      </c>
      <c r="L123" s="6">
        <v>1</v>
      </c>
      <c r="M123" s="6">
        <v>3</v>
      </c>
      <c r="N123" s="6" t="s">
        <v>187</v>
      </c>
      <c r="O123" s="6" t="s">
        <v>187</v>
      </c>
      <c r="P123" s="6" t="s">
        <v>187</v>
      </c>
      <c r="Q123" s="6" t="s">
        <v>187</v>
      </c>
      <c r="R123" s="6" t="s">
        <v>187</v>
      </c>
      <c r="S123" s="108" t="s">
        <v>187</v>
      </c>
      <c r="T123" s="111">
        <f>VALUE(SUM(H123:J123))</f>
        <v>89</v>
      </c>
      <c r="U123" s="12">
        <f>IF(COUNTIF(N123:S123,"높음")&gt;=1,1,0)</f>
        <v>0</v>
      </c>
    </row>
    <row r="124" spans="1:25" x14ac:dyDescent="0.3">
      <c r="A124" s="2" t="s">
        <v>531</v>
      </c>
      <c r="B124" s="2">
        <v>10903</v>
      </c>
      <c r="C124" s="2">
        <v>2</v>
      </c>
      <c r="D124" s="2" t="s">
        <v>435</v>
      </c>
      <c r="E124" s="11" t="str">
        <f>IF(AND(U124&gt;0,VLOOKUP(B124,'이름 일치'!$B$3:$N$500,13,FALSE)&lt;&gt;""),"1상담"&amp;"/"&amp;VLOOKUP(B124,'이름 일치'!$B$3:$N$500,13,FALSE),IF(U124&gt;0,"1상담",IF(VLOOKUP(B124,'이름 일치'!$B$3:$N$500,13,FALSE)&lt;&gt;"",VLOOKUP(B124,'이름 일치'!$B$3:$N$500,13,FALSE),"")))</f>
        <v/>
      </c>
      <c r="F124" s="11"/>
      <c r="G124" s="2"/>
      <c r="H124" s="13">
        <v>32</v>
      </c>
      <c r="I124" s="13">
        <v>31</v>
      </c>
      <c r="J124" s="13">
        <v>26</v>
      </c>
      <c r="K124" s="6">
        <v>0</v>
      </c>
      <c r="L124" s="6">
        <v>1</v>
      </c>
      <c r="M124" s="6">
        <v>3</v>
      </c>
      <c r="N124" s="6" t="s">
        <v>187</v>
      </c>
      <c r="O124" s="6" t="s">
        <v>187</v>
      </c>
      <c r="P124" s="6" t="s">
        <v>187</v>
      </c>
      <c r="Q124" s="6" t="s">
        <v>187</v>
      </c>
      <c r="R124" s="6" t="s">
        <v>187</v>
      </c>
      <c r="S124" s="108" t="s">
        <v>187</v>
      </c>
      <c r="T124" s="111">
        <f>VALUE(SUM(H124:J124))</f>
        <v>89</v>
      </c>
      <c r="U124" s="12">
        <f>IF(COUNTIF(N124:S124,"높음")&gt;=1,1,0)</f>
        <v>0</v>
      </c>
    </row>
    <row r="125" spans="1:25" x14ac:dyDescent="0.3">
      <c r="A125" s="2" t="s">
        <v>531</v>
      </c>
      <c r="B125" s="2">
        <v>10907</v>
      </c>
      <c r="C125" s="2">
        <v>2</v>
      </c>
      <c r="D125" s="2" t="s">
        <v>439</v>
      </c>
      <c r="E125" s="11" t="str">
        <f>IF(AND(U125&gt;0,VLOOKUP(B125,'이름 일치'!$B$3:$N$500,13,FALSE)&lt;&gt;""),"1상담"&amp;"/"&amp;VLOOKUP(B125,'이름 일치'!$B$3:$N$500,13,FALSE),IF(U125&gt;0,"1상담",IF(VLOOKUP(B125,'이름 일치'!$B$3:$N$500,13,FALSE)&lt;&gt;"",VLOOKUP(B125,'이름 일치'!$B$3:$N$500,13,FALSE),"")))</f>
        <v/>
      </c>
      <c r="F125" s="11"/>
      <c r="G125" s="2"/>
      <c r="H125" s="13">
        <v>32</v>
      </c>
      <c r="I125" s="13">
        <v>31</v>
      </c>
      <c r="J125" s="13">
        <v>26</v>
      </c>
      <c r="K125" s="6">
        <v>0</v>
      </c>
      <c r="L125" s="6">
        <v>1</v>
      </c>
      <c r="M125" s="6">
        <v>3</v>
      </c>
      <c r="N125" s="6" t="s">
        <v>187</v>
      </c>
      <c r="O125" s="6" t="s">
        <v>187</v>
      </c>
      <c r="P125" s="6" t="s">
        <v>187</v>
      </c>
      <c r="Q125" s="6" t="s">
        <v>187</v>
      </c>
      <c r="R125" s="6" t="s">
        <v>187</v>
      </c>
      <c r="S125" s="108" t="s">
        <v>187</v>
      </c>
      <c r="T125" s="111">
        <f>VALUE(SUM(H125:J125))</f>
        <v>89</v>
      </c>
      <c r="U125" s="12">
        <f>IF(COUNTIF(N125:S125,"높음")&gt;=1,1,0)</f>
        <v>0</v>
      </c>
    </row>
    <row r="126" spans="1:25" x14ac:dyDescent="0.3">
      <c r="A126" s="2" t="s">
        <v>531</v>
      </c>
      <c r="B126" s="2">
        <v>10911</v>
      </c>
      <c r="C126" s="2">
        <v>2</v>
      </c>
      <c r="D126" s="2" t="s">
        <v>443</v>
      </c>
      <c r="E126" s="11" t="str">
        <f>IF(AND(U126&gt;0,VLOOKUP(B126,'이름 일치'!$B$3:$N$500,13,FALSE)&lt;&gt;""),"1상담"&amp;"/"&amp;VLOOKUP(B126,'이름 일치'!$B$3:$N$500,13,FALSE),IF(U126&gt;0,"1상담",IF(VLOOKUP(B126,'이름 일치'!$B$3:$N$500,13,FALSE)&lt;&gt;"",VLOOKUP(B126,'이름 일치'!$B$3:$N$500,13,FALSE),"")))</f>
        <v/>
      </c>
      <c r="F126" s="11"/>
      <c r="G126" s="2"/>
      <c r="H126" s="13">
        <v>32</v>
      </c>
      <c r="I126" s="13">
        <v>31</v>
      </c>
      <c r="J126" s="13">
        <v>26</v>
      </c>
      <c r="K126" s="6">
        <v>0</v>
      </c>
      <c r="L126" s="6">
        <v>1</v>
      </c>
      <c r="M126" s="6">
        <v>3</v>
      </c>
      <c r="N126" s="6" t="s">
        <v>187</v>
      </c>
      <c r="O126" s="6" t="s">
        <v>187</v>
      </c>
      <c r="P126" s="6" t="s">
        <v>187</v>
      </c>
      <c r="Q126" s="6" t="s">
        <v>187</v>
      </c>
      <c r="R126" s="6" t="s">
        <v>187</v>
      </c>
      <c r="S126" s="108" t="s">
        <v>187</v>
      </c>
      <c r="T126" s="111">
        <f>VALUE(SUM(H126:J126))</f>
        <v>89</v>
      </c>
      <c r="U126" s="12">
        <f>IF(COUNTIF(N126:S126,"높음")&gt;=1,1,0)</f>
        <v>0</v>
      </c>
    </row>
    <row r="127" spans="1:25" x14ac:dyDescent="0.3">
      <c r="A127" s="2" t="s">
        <v>531</v>
      </c>
      <c r="B127" s="2">
        <v>10915</v>
      </c>
      <c r="C127" s="2">
        <v>2</v>
      </c>
      <c r="D127" s="2" t="s">
        <v>447</v>
      </c>
      <c r="E127" s="11" t="str">
        <f>IF(AND(U127&gt;0,VLOOKUP(B127,'이름 일치'!$B$3:$N$500,13,FALSE)&lt;&gt;""),"1상담"&amp;"/"&amp;VLOOKUP(B127,'이름 일치'!$B$3:$N$500,13,FALSE),IF(U127&gt;0,"1상담",IF(VLOOKUP(B127,'이름 일치'!$B$3:$N$500,13,FALSE)&lt;&gt;"",VLOOKUP(B127,'이름 일치'!$B$3:$N$500,13,FALSE),"")))</f>
        <v/>
      </c>
      <c r="F127" s="11"/>
      <c r="G127" s="2"/>
      <c r="H127" s="13">
        <v>32</v>
      </c>
      <c r="I127" s="13">
        <v>31</v>
      </c>
      <c r="J127" s="13">
        <v>26</v>
      </c>
      <c r="K127" s="6">
        <v>0</v>
      </c>
      <c r="L127" s="6">
        <v>1</v>
      </c>
      <c r="M127" s="6">
        <v>3</v>
      </c>
      <c r="N127" s="6" t="s">
        <v>187</v>
      </c>
      <c r="O127" s="6" t="s">
        <v>187</v>
      </c>
      <c r="P127" s="6" t="s">
        <v>187</v>
      </c>
      <c r="Q127" s="6" t="s">
        <v>187</v>
      </c>
      <c r="R127" s="6" t="s">
        <v>187</v>
      </c>
      <c r="S127" s="108" t="s">
        <v>187</v>
      </c>
      <c r="T127" s="111">
        <f>VALUE(SUM(H127:J127))</f>
        <v>89</v>
      </c>
      <c r="U127" s="12">
        <f>IF(COUNTIF(N127:S127,"높음")&gt;=1,1,0)</f>
        <v>0</v>
      </c>
    </row>
    <row r="128" spans="1:25" x14ac:dyDescent="0.3">
      <c r="A128" s="2" t="s">
        <v>531</v>
      </c>
      <c r="B128" s="2">
        <v>11001</v>
      </c>
      <c r="C128" s="2">
        <v>2</v>
      </c>
      <c r="D128" s="2" t="s">
        <v>462</v>
      </c>
      <c r="E128" s="11" t="str">
        <f>IF(AND(U128&gt;0,VLOOKUP(B128,'이름 일치'!$B$3:$N$500,13,FALSE)&lt;&gt;""),"1상담"&amp;"/"&amp;VLOOKUP(B128,'이름 일치'!$B$3:$N$500,13,FALSE),IF(U128&gt;0,"1상담",IF(VLOOKUP(B128,'이름 일치'!$B$3:$N$500,13,FALSE)&lt;&gt;"",VLOOKUP(B128,'이름 일치'!$B$3:$N$500,13,FALSE),"")))</f>
        <v/>
      </c>
      <c r="F128" s="11"/>
      <c r="G128" s="2"/>
      <c r="H128" s="13">
        <v>32</v>
      </c>
      <c r="I128" s="13">
        <v>31</v>
      </c>
      <c r="J128" s="13">
        <v>26</v>
      </c>
      <c r="K128" s="6">
        <v>0</v>
      </c>
      <c r="L128" s="6">
        <v>1</v>
      </c>
      <c r="M128" s="6">
        <v>3</v>
      </c>
      <c r="N128" s="6" t="s">
        <v>187</v>
      </c>
      <c r="O128" s="6" t="s">
        <v>187</v>
      </c>
      <c r="P128" s="6" t="s">
        <v>187</v>
      </c>
      <c r="Q128" s="6" t="s">
        <v>187</v>
      </c>
      <c r="R128" s="6" t="s">
        <v>187</v>
      </c>
      <c r="S128" s="108" t="s">
        <v>187</v>
      </c>
      <c r="T128" s="111">
        <f>VALUE(SUM(H128:J128))</f>
        <v>89</v>
      </c>
      <c r="U128" s="12">
        <f>IF(COUNTIF(N128:S128,"높음")&gt;=1,1,0)</f>
        <v>0</v>
      </c>
      <c r="X128" s="14"/>
      <c r="Y128" s="15"/>
    </row>
    <row r="129" spans="1:21" x14ac:dyDescent="0.3">
      <c r="A129" s="2" t="s">
        <v>531</v>
      </c>
      <c r="B129" s="2">
        <v>11005</v>
      </c>
      <c r="C129" s="2">
        <v>2</v>
      </c>
      <c r="D129" s="2" t="s">
        <v>466</v>
      </c>
      <c r="E129" s="11" t="str">
        <f>IF(AND(U129&gt;0,VLOOKUP(B129,'이름 일치'!$B$3:$N$500,13,FALSE)&lt;&gt;""),"1상담"&amp;"/"&amp;VLOOKUP(B129,'이름 일치'!$B$3:$N$500,13,FALSE),IF(U129&gt;0,"1상담",IF(VLOOKUP(B129,'이름 일치'!$B$3:$N$500,13,FALSE)&lt;&gt;"",VLOOKUP(B129,'이름 일치'!$B$3:$N$500,13,FALSE),"")))</f>
        <v/>
      </c>
      <c r="F129" s="11"/>
      <c r="G129" s="2"/>
      <c r="H129" s="13">
        <v>32</v>
      </c>
      <c r="I129" s="13">
        <v>31</v>
      </c>
      <c r="J129" s="13">
        <v>26</v>
      </c>
      <c r="K129" s="6">
        <v>0</v>
      </c>
      <c r="L129" s="6">
        <v>1</v>
      </c>
      <c r="M129" s="6">
        <v>3</v>
      </c>
      <c r="N129" s="6" t="s">
        <v>187</v>
      </c>
      <c r="O129" s="6" t="s">
        <v>187</v>
      </c>
      <c r="P129" s="6" t="s">
        <v>187</v>
      </c>
      <c r="Q129" s="6" t="s">
        <v>187</v>
      </c>
      <c r="R129" s="6" t="s">
        <v>187</v>
      </c>
      <c r="S129" s="108" t="s">
        <v>187</v>
      </c>
      <c r="T129" s="111">
        <f>VALUE(SUM(H129:J129))</f>
        <v>89</v>
      </c>
      <c r="U129" s="12">
        <f>IF(COUNTIF(N129:S129,"높음")&gt;=1,1,0)</f>
        <v>0</v>
      </c>
    </row>
    <row r="130" spans="1:21" x14ac:dyDescent="0.3">
      <c r="A130" s="2" t="s">
        <v>531</v>
      </c>
      <c r="B130" s="2">
        <v>11009</v>
      </c>
      <c r="C130" s="2">
        <v>2</v>
      </c>
      <c r="D130" s="2" t="s">
        <v>469</v>
      </c>
      <c r="E130" s="11" t="str">
        <f>IF(AND(U130&gt;0,VLOOKUP(B130,'이름 일치'!$B$3:$N$500,13,FALSE)&lt;&gt;""),"1상담"&amp;"/"&amp;VLOOKUP(B130,'이름 일치'!$B$3:$N$500,13,FALSE),IF(U130&gt;0,"1상담",IF(VLOOKUP(B130,'이름 일치'!$B$3:$N$500,13,FALSE)&lt;&gt;"",VLOOKUP(B130,'이름 일치'!$B$3:$N$500,13,FALSE),"")))</f>
        <v/>
      </c>
      <c r="F130" s="11"/>
      <c r="G130" s="2"/>
      <c r="H130" s="13">
        <v>32</v>
      </c>
      <c r="I130" s="13">
        <v>31</v>
      </c>
      <c r="J130" s="13">
        <v>26</v>
      </c>
      <c r="K130" s="6">
        <v>0</v>
      </c>
      <c r="L130" s="6">
        <v>1</v>
      </c>
      <c r="M130" s="6">
        <v>3</v>
      </c>
      <c r="N130" s="6" t="s">
        <v>187</v>
      </c>
      <c r="O130" s="6" t="s">
        <v>187</v>
      </c>
      <c r="P130" s="6" t="s">
        <v>187</v>
      </c>
      <c r="Q130" s="6" t="s">
        <v>187</v>
      </c>
      <c r="R130" s="6" t="s">
        <v>187</v>
      </c>
      <c r="S130" s="108" t="s">
        <v>187</v>
      </c>
      <c r="T130" s="111">
        <f>VALUE(SUM(H130:J130))</f>
        <v>89</v>
      </c>
      <c r="U130" s="12">
        <f>IF(COUNTIF(N130:S130,"높음")&gt;=1,1,0)</f>
        <v>0</v>
      </c>
    </row>
    <row r="131" spans="1:21" x14ac:dyDescent="0.3">
      <c r="A131" s="11" t="s">
        <v>531</v>
      </c>
      <c r="B131" s="11">
        <v>11014</v>
      </c>
      <c r="C131" s="11">
        <v>2</v>
      </c>
      <c r="D131" s="11" t="s">
        <v>473</v>
      </c>
      <c r="E131" s="11" t="str">
        <f>IF(AND(U131&gt;0,VLOOKUP(B131,'이름 일치'!$B$3:$N$500,13,FALSE)&lt;&gt;""),"1상담"&amp;"/"&amp;VLOOKUP(B131,'이름 일치'!$B$3:$N$500,13,FALSE),IF(U131&gt;0,"1상담",IF(VLOOKUP(B131,'이름 일치'!$B$3:$N$500,13,FALSE)&lt;&gt;"",VLOOKUP(B131,'이름 일치'!$B$3:$N$500,13,FALSE),"")))</f>
        <v/>
      </c>
      <c r="F131" s="11"/>
      <c r="G131" s="11"/>
      <c r="H131" s="20">
        <v>32</v>
      </c>
      <c r="I131" s="20">
        <v>31</v>
      </c>
      <c r="J131" s="20">
        <v>26</v>
      </c>
      <c r="K131" s="21">
        <v>0</v>
      </c>
      <c r="L131" s="21">
        <v>1</v>
      </c>
      <c r="M131" s="21">
        <v>3</v>
      </c>
      <c r="N131" s="21" t="s">
        <v>187</v>
      </c>
      <c r="O131" s="21" t="s">
        <v>187</v>
      </c>
      <c r="P131" s="21" t="s">
        <v>187</v>
      </c>
      <c r="Q131" s="21" t="s">
        <v>187</v>
      </c>
      <c r="R131" s="21" t="s">
        <v>187</v>
      </c>
      <c r="S131" s="110" t="s">
        <v>187</v>
      </c>
      <c r="T131" s="111">
        <f>VALUE(SUM(H131:J131))</f>
        <v>89</v>
      </c>
      <c r="U131" s="12">
        <f>IF(COUNTIF(N131:S131,"높음")&gt;=1,1,0)</f>
        <v>0</v>
      </c>
    </row>
    <row r="132" spans="1:21" x14ac:dyDescent="0.3">
      <c r="A132" s="2" t="s">
        <v>531</v>
      </c>
      <c r="B132" s="2">
        <v>10108</v>
      </c>
      <c r="C132" s="2">
        <v>2</v>
      </c>
      <c r="D132" s="2" t="s">
        <v>210</v>
      </c>
      <c r="E132" s="11" t="str">
        <f>IF(AND(U132&gt;0,VLOOKUP(B132,'이름 일치'!$B$3:$N$500,13,FALSE)&lt;&gt;""),"1상담"&amp;"/"&amp;VLOOKUP(B132,'이름 일치'!$B$3:$N$500,13,FALSE),IF(U132&gt;0,"1상담",IF(VLOOKUP(B132,'이름 일치'!$B$3:$N$500,13,FALSE)&lt;&gt;"",VLOOKUP(B132,'이름 일치'!$B$3:$N$500,13,FALSE),"")))</f>
        <v/>
      </c>
      <c r="F132" s="11"/>
      <c r="G132" s="2"/>
      <c r="H132" s="13">
        <v>81</v>
      </c>
      <c r="I132" s="13">
        <v>86</v>
      </c>
      <c r="J132" s="13">
        <v>76</v>
      </c>
      <c r="K132" s="6">
        <v>0</v>
      </c>
      <c r="L132" s="6">
        <v>1</v>
      </c>
      <c r="M132" s="6">
        <v>0</v>
      </c>
      <c r="N132" s="6" t="s">
        <v>187</v>
      </c>
      <c r="O132" s="6" t="s">
        <v>187</v>
      </c>
      <c r="P132" s="6" t="s">
        <v>187</v>
      </c>
      <c r="Q132" s="6" t="s">
        <v>187</v>
      </c>
      <c r="R132" s="6" t="s">
        <v>187</v>
      </c>
      <c r="S132" s="108" t="s">
        <v>187</v>
      </c>
      <c r="T132" s="111">
        <f>VALUE(SUM(H132:J132))</f>
        <v>243</v>
      </c>
      <c r="U132" s="12">
        <f>IF(COUNTIF(N132:S132,"높음")&gt;=1,1,0)</f>
        <v>0</v>
      </c>
    </row>
    <row r="133" spans="1:21" x14ac:dyDescent="0.3">
      <c r="A133" s="11" t="s">
        <v>531</v>
      </c>
      <c r="B133" s="2">
        <v>10112</v>
      </c>
      <c r="C133" s="2">
        <v>2</v>
      </c>
      <c r="D133" s="2" t="s">
        <v>214</v>
      </c>
      <c r="E133" s="11" t="str">
        <f>IF(AND(U133&gt;0,VLOOKUP(B133,'이름 일치'!$B$3:$N$500,13,FALSE)&lt;&gt;""),"1상담"&amp;"/"&amp;VLOOKUP(B133,'이름 일치'!$B$3:$N$500,13,FALSE),IF(U133&gt;0,"1상담",IF(VLOOKUP(B133,'이름 일치'!$B$3:$N$500,13,FALSE)&lt;&gt;"",VLOOKUP(B133,'이름 일치'!$B$3:$N$500,13,FALSE),"")))</f>
        <v/>
      </c>
      <c r="F133" s="11"/>
      <c r="G133" s="2"/>
      <c r="H133" s="13">
        <v>81</v>
      </c>
      <c r="I133" s="13">
        <v>86</v>
      </c>
      <c r="J133" s="13">
        <v>76</v>
      </c>
      <c r="K133" s="6">
        <v>0</v>
      </c>
      <c r="L133" s="6">
        <v>1</v>
      </c>
      <c r="M133" s="6">
        <v>0</v>
      </c>
      <c r="N133" s="6" t="s">
        <v>187</v>
      </c>
      <c r="O133" s="6" t="s">
        <v>187</v>
      </c>
      <c r="P133" s="6" t="s">
        <v>187</v>
      </c>
      <c r="Q133" s="6" t="s">
        <v>187</v>
      </c>
      <c r="R133" s="6" t="s">
        <v>187</v>
      </c>
      <c r="S133" s="108" t="s">
        <v>187</v>
      </c>
      <c r="T133" s="111">
        <f>VALUE(SUM(H133:J133))</f>
        <v>243</v>
      </c>
      <c r="U133" s="12">
        <f>IF(COUNTIF(N133:S133,"높음")&gt;=1,1,0)</f>
        <v>0</v>
      </c>
    </row>
    <row r="134" spans="1:21" x14ac:dyDescent="0.3">
      <c r="A134" s="11" t="s">
        <v>531</v>
      </c>
      <c r="B134" s="2">
        <v>10203</v>
      </c>
      <c r="C134" s="2">
        <v>2</v>
      </c>
      <c r="D134" s="2" t="s">
        <v>234</v>
      </c>
      <c r="E134" s="11" t="str">
        <f>IF(AND(U134&gt;0,VLOOKUP(B134,'이름 일치'!$B$3:$N$500,13,FALSE)&lt;&gt;""),"1상담"&amp;"/"&amp;VLOOKUP(B134,'이름 일치'!$B$3:$N$500,13,FALSE),IF(U134&gt;0,"1상담",IF(VLOOKUP(B134,'이름 일치'!$B$3:$N$500,13,FALSE)&lt;&gt;"",VLOOKUP(B134,'이름 일치'!$B$3:$N$500,13,FALSE),"")))</f>
        <v/>
      </c>
      <c r="F134" s="11"/>
      <c r="G134" s="2"/>
      <c r="H134" s="13">
        <v>81</v>
      </c>
      <c r="I134" s="13">
        <v>86</v>
      </c>
      <c r="J134" s="13">
        <v>76</v>
      </c>
      <c r="K134" s="6">
        <v>0</v>
      </c>
      <c r="L134" s="6">
        <v>1</v>
      </c>
      <c r="M134" s="6">
        <v>0</v>
      </c>
      <c r="N134" s="6" t="s">
        <v>187</v>
      </c>
      <c r="O134" s="6" t="s">
        <v>187</v>
      </c>
      <c r="P134" s="6" t="s">
        <v>187</v>
      </c>
      <c r="Q134" s="6" t="s">
        <v>187</v>
      </c>
      <c r="R134" s="6" t="s">
        <v>187</v>
      </c>
      <c r="S134" s="108" t="s">
        <v>187</v>
      </c>
      <c r="T134" s="111">
        <f>VALUE(SUM(H134:J134))</f>
        <v>243</v>
      </c>
      <c r="U134" s="12">
        <f>IF(COUNTIF(N134:S134,"높음")&gt;=1,1,0)</f>
        <v>0</v>
      </c>
    </row>
    <row r="135" spans="1:21" x14ac:dyDescent="0.3">
      <c r="A135" s="2" t="s">
        <v>531</v>
      </c>
      <c r="B135" s="2">
        <v>10207</v>
      </c>
      <c r="C135" s="2">
        <v>2</v>
      </c>
      <c r="D135" s="2" t="s">
        <v>238</v>
      </c>
      <c r="E135" s="11" t="str">
        <f>IF(AND(U135&gt;0,VLOOKUP(B135,'이름 일치'!$B$3:$N$500,13,FALSE)&lt;&gt;""),"1상담"&amp;"/"&amp;VLOOKUP(B135,'이름 일치'!$B$3:$N$500,13,FALSE),IF(U135&gt;0,"1상담",IF(VLOOKUP(B135,'이름 일치'!$B$3:$N$500,13,FALSE)&lt;&gt;"",VLOOKUP(B135,'이름 일치'!$B$3:$N$500,13,FALSE),"")))</f>
        <v/>
      </c>
      <c r="F135" s="11"/>
      <c r="G135" s="2"/>
      <c r="H135" s="13">
        <v>81</v>
      </c>
      <c r="I135" s="13">
        <v>86</v>
      </c>
      <c r="J135" s="13">
        <v>76</v>
      </c>
      <c r="K135" s="6">
        <v>0</v>
      </c>
      <c r="L135" s="6">
        <v>1</v>
      </c>
      <c r="M135" s="6">
        <v>0</v>
      </c>
      <c r="N135" s="6" t="s">
        <v>187</v>
      </c>
      <c r="O135" s="6" t="s">
        <v>187</v>
      </c>
      <c r="P135" s="6" t="s">
        <v>187</v>
      </c>
      <c r="Q135" s="6" t="s">
        <v>187</v>
      </c>
      <c r="R135" s="6" t="s">
        <v>187</v>
      </c>
      <c r="S135" s="108" t="s">
        <v>187</v>
      </c>
      <c r="T135" s="111">
        <f>VALUE(SUM(H135:J135))</f>
        <v>243</v>
      </c>
      <c r="U135" s="12">
        <f>IF(COUNTIF(N135:S135,"높음")&gt;=1,1,0)</f>
        <v>0</v>
      </c>
    </row>
    <row r="136" spans="1:21" x14ac:dyDescent="0.3">
      <c r="A136" s="2" t="s">
        <v>531</v>
      </c>
      <c r="B136" s="2">
        <v>10211</v>
      </c>
      <c r="C136" s="2">
        <v>2</v>
      </c>
      <c r="D136" s="2" t="s">
        <v>242</v>
      </c>
      <c r="E136" s="11" t="str">
        <f>IF(AND(U136&gt;0,VLOOKUP(B136,'이름 일치'!$B$3:$N$500,13,FALSE)&lt;&gt;""),"1상담"&amp;"/"&amp;VLOOKUP(B136,'이름 일치'!$B$3:$N$500,13,FALSE),IF(U136&gt;0,"1상담",IF(VLOOKUP(B136,'이름 일치'!$B$3:$N$500,13,FALSE)&lt;&gt;"",VLOOKUP(B136,'이름 일치'!$B$3:$N$500,13,FALSE),"")))</f>
        <v/>
      </c>
      <c r="F136" s="11"/>
      <c r="G136" s="2"/>
      <c r="H136" s="13">
        <v>81</v>
      </c>
      <c r="I136" s="13">
        <v>86</v>
      </c>
      <c r="J136" s="13">
        <v>76</v>
      </c>
      <c r="K136" s="6">
        <v>0</v>
      </c>
      <c r="L136" s="6">
        <v>1</v>
      </c>
      <c r="M136" s="6">
        <v>0</v>
      </c>
      <c r="N136" s="6" t="s">
        <v>187</v>
      </c>
      <c r="O136" s="6" t="s">
        <v>187</v>
      </c>
      <c r="P136" s="6" t="s">
        <v>187</v>
      </c>
      <c r="Q136" s="6" t="s">
        <v>187</v>
      </c>
      <c r="R136" s="6" t="s">
        <v>187</v>
      </c>
      <c r="S136" s="108" t="s">
        <v>187</v>
      </c>
      <c r="T136" s="111">
        <f>VALUE(SUM(H136:J136))</f>
        <v>243</v>
      </c>
      <c r="U136" s="12">
        <f>IF(COUNTIF(N136:S136,"높음")&gt;=1,1,0)</f>
        <v>0</v>
      </c>
    </row>
    <row r="137" spans="1:21" x14ac:dyDescent="0.3">
      <c r="A137" s="2" t="s">
        <v>531</v>
      </c>
      <c r="B137" s="2">
        <v>10215</v>
      </c>
      <c r="C137" s="2">
        <v>2</v>
      </c>
      <c r="D137" s="2" t="s">
        <v>246</v>
      </c>
      <c r="E137" s="11" t="str">
        <f>IF(AND(U137&gt;0,VLOOKUP(B137,'이름 일치'!$B$3:$N$500,13,FALSE)&lt;&gt;""),"1상담"&amp;"/"&amp;VLOOKUP(B137,'이름 일치'!$B$3:$N$500,13,FALSE),IF(U137&gt;0,"1상담",IF(VLOOKUP(B137,'이름 일치'!$B$3:$N$500,13,FALSE)&lt;&gt;"",VLOOKUP(B137,'이름 일치'!$B$3:$N$500,13,FALSE),"")))</f>
        <v/>
      </c>
      <c r="F137" s="11"/>
      <c r="G137" s="2"/>
      <c r="H137" s="13">
        <v>81</v>
      </c>
      <c r="I137" s="13">
        <v>86</v>
      </c>
      <c r="J137" s="13">
        <v>76</v>
      </c>
      <c r="K137" s="6">
        <v>0</v>
      </c>
      <c r="L137" s="6">
        <v>1</v>
      </c>
      <c r="M137" s="6">
        <v>0</v>
      </c>
      <c r="N137" s="6" t="s">
        <v>187</v>
      </c>
      <c r="O137" s="6" t="s">
        <v>187</v>
      </c>
      <c r="P137" s="6" t="s">
        <v>187</v>
      </c>
      <c r="Q137" s="6" t="s">
        <v>187</v>
      </c>
      <c r="R137" s="6" t="s">
        <v>187</v>
      </c>
      <c r="S137" s="108" t="s">
        <v>187</v>
      </c>
      <c r="T137" s="111">
        <f>VALUE(SUM(H137:J137))</f>
        <v>243</v>
      </c>
      <c r="U137" s="12">
        <f>IF(COUNTIF(N137:S137,"높음")&gt;=1,1,0)</f>
        <v>0</v>
      </c>
    </row>
    <row r="138" spans="1:21" x14ac:dyDescent="0.3">
      <c r="A138" s="2" t="s">
        <v>531</v>
      </c>
      <c r="B138" s="2">
        <v>10301</v>
      </c>
      <c r="C138" s="2">
        <v>2</v>
      </c>
      <c r="D138" s="2" t="s">
        <v>262</v>
      </c>
      <c r="E138" s="11" t="str">
        <f>IF(AND(U138&gt;0,VLOOKUP(B138,'이름 일치'!$B$3:$N$500,13,FALSE)&lt;&gt;""),"1상담"&amp;"/"&amp;VLOOKUP(B138,'이름 일치'!$B$3:$N$500,13,FALSE),IF(U138&gt;0,"1상담",IF(VLOOKUP(B138,'이름 일치'!$B$3:$N$500,13,FALSE)&lt;&gt;"",VLOOKUP(B138,'이름 일치'!$B$3:$N$500,13,FALSE),"")))</f>
        <v/>
      </c>
      <c r="F138" s="11"/>
      <c r="G138" s="2"/>
      <c r="H138" s="13">
        <v>81</v>
      </c>
      <c r="I138" s="13">
        <v>86</v>
      </c>
      <c r="J138" s="13">
        <v>76</v>
      </c>
      <c r="K138" s="6">
        <v>0</v>
      </c>
      <c r="L138" s="6">
        <v>1</v>
      </c>
      <c r="M138" s="6">
        <v>0</v>
      </c>
      <c r="N138" s="6" t="s">
        <v>187</v>
      </c>
      <c r="O138" s="6" t="s">
        <v>187</v>
      </c>
      <c r="P138" s="6" t="s">
        <v>187</v>
      </c>
      <c r="Q138" s="6" t="s">
        <v>187</v>
      </c>
      <c r="R138" s="6" t="s">
        <v>187</v>
      </c>
      <c r="S138" s="108" t="s">
        <v>187</v>
      </c>
      <c r="T138" s="111">
        <f>VALUE(SUM(H138:J138))</f>
        <v>243</v>
      </c>
      <c r="U138" s="12">
        <f>IF(COUNTIF(N138:S138,"높음")&gt;=1,1,0)</f>
        <v>0</v>
      </c>
    </row>
    <row r="139" spans="1:21" x14ac:dyDescent="0.3">
      <c r="A139" s="11" t="s">
        <v>531</v>
      </c>
      <c r="B139" s="2">
        <v>10305</v>
      </c>
      <c r="C139" s="2">
        <v>2</v>
      </c>
      <c r="D139" s="2" t="s">
        <v>266</v>
      </c>
      <c r="E139" s="11" t="str">
        <f>IF(AND(U139&gt;0,VLOOKUP(B139,'이름 일치'!$B$3:$N$500,13,FALSE)&lt;&gt;""),"1상담"&amp;"/"&amp;VLOOKUP(B139,'이름 일치'!$B$3:$N$500,13,FALSE),IF(U139&gt;0,"1상담",IF(VLOOKUP(B139,'이름 일치'!$B$3:$N$500,13,FALSE)&lt;&gt;"",VLOOKUP(B139,'이름 일치'!$B$3:$N$500,13,FALSE),"")))</f>
        <v/>
      </c>
      <c r="F139" s="11"/>
      <c r="G139" s="2"/>
      <c r="H139" s="13">
        <v>81</v>
      </c>
      <c r="I139" s="13">
        <v>86</v>
      </c>
      <c r="J139" s="13">
        <v>76</v>
      </c>
      <c r="K139" s="6">
        <v>0</v>
      </c>
      <c r="L139" s="6">
        <v>1</v>
      </c>
      <c r="M139" s="6">
        <v>0</v>
      </c>
      <c r="N139" s="6" t="s">
        <v>187</v>
      </c>
      <c r="O139" s="6" t="s">
        <v>187</v>
      </c>
      <c r="P139" s="6" t="s">
        <v>187</v>
      </c>
      <c r="Q139" s="6" t="s">
        <v>187</v>
      </c>
      <c r="R139" s="6" t="s">
        <v>187</v>
      </c>
      <c r="S139" s="108" t="s">
        <v>187</v>
      </c>
      <c r="T139" s="111">
        <f>VALUE(SUM(H139:J139))</f>
        <v>243</v>
      </c>
      <c r="U139" s="12">
        <f>IF(COUNTIF(N139:S139,"높음")&gt;=1,1,0)</f>
        <v>0</v>
      </c>
    </row>
    <row r="140" spans="1:21" x14ac:dyDescent="0.3">
      <c r="A140" s="2" t="s">
        <v>531</v>
      </c>
      <c r="B140" s="2">
        <v>10309</v>
      </c>
      <c r="C140" s="2">
        <v>2</v>
      </c>
      <c r="D140" s="2" t="s">
        <v>270</v>
      </c>
      <c r="E140" s="11" t="str">
        <f>IF(AND(U140&gt;0,VLOOKUP(B140,'이름 일치'!$B$3:$N$500,13,FALSE)&lt;&gt;""),"1상담"&amp;"/"&amp;VLOOKUP(B140,'이름 일치'!$B$3:$N$500,13,FALSE),IF(U140&gt;0,"1상담",IF(VLOOKUP(B140,'이름 일치'!$B$3:$N$500,13,FALSE)&lt;&gt;"",VLOOKUP(B140,'이름 일치'!$B$3:$N$500,13,FALSE),"")))</f>
        <v/>
      </c>
      <c r="F140" s="11"/>
      <c r="G140" s="2"/>
      <c r="H140" s="13">
        <v>81</v>
      </c>
      <c r="I140" s="13">
        <v>86</v>
      </c>
      <c r="J140" s="13">
        <v>76</v>
      </c>
      <c r="K140" s="6">
        <v>0</v>
      </c>
      <c r="L140" s="6">
        <v>1</v>
      </c>
      <c r="M140" s="6">
        <v>0</v>
      </c>
      <c r="N140" s="6" t="s">
        <v>187</v>
      </c>
      <c r="O140" s="6" t="s">
        <v>187</v>
      </c>
      <c r="P140" s="6" t="s">
        <v>187</v>
      </c>
      <c r="Q140" s="6" t="s">
        <v>187</v>
      </c>
      <c r="R140" s="6" t="s">
        <v>187</v>
      </c>
      <c r="S140" s="108" t="s">
        <v>187</v>
      </c>
      <c r="T140" s="111">
        <f>VALUE(SUM(H140:J140))</f>
        <v>243</v>
      </c>
      <c r="U140" s="12">
        <f>IF(COUNTIF(N140:S140,"높음")&gt;=1,1,0)</f>
        <v>0</v>
      </c>
    </row>
    <row r="141" spans="1:21" x14ac:dyDescent="0.3">
      <c r="A141" s="2" t="s">
        <v>531</v>
      </c>
      <c r="B141" s="2">
        <v>10313</v>
      </c>
      <c r="C141" s="2">
        <v>2</v>
      </c>
      <c r="D141" s="2" t="s">
        <v>274</v>
      </c>
      <c r="E141" s="11" t="str">
        <f>IF(AND(U141&gt;0,VLOOKUP(B141,'이름 일치'!$B$3:$N$500,13,FALSE)&lt;&gt;""),"1상담"&amp;"/"&amp;VLOOKUP(B141,'이름 일치'!$B$3:$N$500,13,FALSE),IF(U141&gt;0,"1상담",IF(VLOOKUP(B141,'이름 일치'!$B$3:$N$500,13,FALSE)&lt;&gt;"",VLOOKUP(B141,'이름 일치'!$B$3:$N$500,13,FALSE),"")))</f>
        <v/>
      </c>
      <c r="F141" s="11"/>
      <c r="G141" s="2"/>
      <c r="H141" s="13">
        <v>81</v>
      </c>
      <c r="I141" s="13">
        <v>86</v>
      </c>
      <c r="J141" s="13">
        <v>76</v>
      </c>
      <c r="K141" s="6">
        <v>0</v>
      </c>
      <c r="L141" s="6">
        <v>1</v>
      </c>
      <c r="M141" s="6">
        <v>0</v>
      </c>
      <c r="N141" s="6" t="s">
        <v>187</v>
      </c>
      <c r="O141" s="6" t="s">
        <v>187</v>
      </c>
      <c r="P141" s="6" t="s">
        <v>187</v>
      </c>
      <c r="Q141" s="6" t="s">
        <v>187</v>
      </c>
      <c r="R141" s="6" t="s">
        <v>187</v>
      </c>
      <c r="S141" s="108" t="s">
        <v>187</v>
      </c>
      <c r="T141" s="111">
        <f>VALUE(SUM(H141:J141))</f>
        <v>243</v>
      </c>
      <c r="U141" s="12">
        <f>IF(COUNTIF(N141:S141,"높음")&gt;=1,1,0)</f>
        <v>0</v>
      </c>
    </row>
    <row r="142" spans="1:21" x14ac:dyDescent="0.3">
      <c r="A142" s="2" t="s">
        <v>531</v>
      </c>
      <c r="B142" s="2">
        <v>10404</v>
      </c>
      <c r="C142" s="2">
        <v>2</v>
      </c>
      <c r="D142" s="2" t="s">
        <v>294</v>
      </c>
      <c r="E142" s="11" t="str">
        <f>IF(AND(U142&gt;0,VLOOKUP(B142,'이름 일치'!$B$3:$N$500,13,FALSE)&lt;&gt;""),"1상담"&amp;"/"&amp;VLOOKUP(B142,'이름 일치'!$B$3:$N$500,13,FALSE),IF(U142&gt;0,"1상담",IF(VLOOKUP(B142,'이름 일치'!$B$3:$N$500,13,FALSE)&lt;&gt;"",VLOOKUP(B142,'이름 일치'!$B$3:$N$500,13,FALSE),"")))</f>
        <v/>
      </c>
      <c r="F142" s="11"/>
      <c r="G142" s="2"/>
      <c r="H142" s="13">
        <v>81</v>
      </c>
      <c r="I142" s="13">
        <v>86</v>
      </c>
      <c r="J142" s="13">
        <v>76</v>
      </c>
      <c r="K142" s="6">
        <v>0</v>
      </c>
      <c r="L142" s="6">
        <v>1</v>
      </c>
      <c r="M142" s="6">
        <v>0</v>
      </c>
      <c r="N142" s="6" t="s">
        <v>187</v>
      </c>
      <c r="O142" s="6" t="s">
        <v>187</v>
      </c>
      <c r="P142" s="6" t="s">
        <v>187</v>
      </c>
      <c r="Q142" s="6" t="s">
        <v>187</v>
      </c>
      <c r="R142" s="6" t="s">
        <v>187</v>
      </c>
      <c r="S142" s="108" t="s">
        <v>187</v>
      </c>
      <c r="T142" s="111">
        <f>VALUE(SUM(H142:J142))</f>
        <v>243</v>
      </c>
      <c r="U142" s="12">
        <f>IF(COUNTIF(N142:S142,"높음")&gt;=1,1,0)</f>
        <v>0</v>
      </c>
    </row>
    <row r="143" spans="1:21" x14ac:dyDescent="0.3">
      <c r="A143" s="2" t="s">
        <v>531</v>
      </c>
      <c r="B143" s="2">
        <v>10408</v>
      </c>
      <c r="C143" s="2">
        <v>2</v>
      </c>
      <c r="D143" s="2" t="s">
        <v>298</v>
      </c>
      <c r="E143" s="11" t="str">
        <f>IF(AND(U143&gt;0,VLOOKUP(B143,'이름 일치'!$B$3:$N$500,13,FALSE)&lt;&gt;""),"1상담"&amp;"/"&amp;VLOOKUP(B143,'이름 일치'!$B$3:$N$500,13,FALSE),IF(U143&gt;0,"1상담",IF(VLOOKUP(B143,'이름 일치'!$B$3:$N$500,13,FALSE)&lt;&gt;"",VLOOKUP(B143,'이름 일치'!$B$3:$N$500,13,FALSE),"")))</f>
        <v/>
      </c>
      <c r="F143" s="11"/>
      <c r="G143" s="2"/>
      <c r="H143" s="13">
        <v>81</v>
      </c>
      <c r="I143" s="13">
        <v>86</v>
      </c>
      <c r="J143" s="13">
        <v>76</v>
      </c>
      <c r="K143" s="6">
        <v>0</v>
      </c>
      <c r="L143" s="6">
        <v>1</v>
      </c>
      <c r="M143" s="6">
        <v>0</v>
      </c>
      <c r="N143" s="6" t="s">
        <v>187</v>
      </c>
      <c r="O143" s="6" t="s">
        <v>187</v>
      </c>
      <c r="P143" s="6" t="s">
        <v>187</v>
      </c>
      <c r="Q143" s="6" t="s">
        <v>187</v>
      </c>
      <c r="R143" s="6" t="s">
        <v>187</v>
      </c>
      <c r="S143" s="108" t="s">
        <v>187</v>
      </c>
      <c r="T143" s="111">
        <f>VALUE(SUM(H143:J143))</f>
        <v>243</v>
      </c>
      <c r="U143" s="12">
        <f>IF(COUNTIF(N143:S143,"높음")&gt;=1,1,0)</f>
        <v>0</v>
      </c>
    </row>
    <row r="144" spans="1:21" x14ac:dyDescent="0.3">
      <c r="A144" s="2" t="s">
        <v>531</v>
      </c>
      <c r="B144" s="2">
        <v>10412</v>
      </c>
      <c r="C144" s="2">
        <v>2</v>
      </c>
      <c r="D144" s="2" t="s">
        <v>302</v>
      </c>
      <c r="E144" s="11" t="str">
        <f>IF(AND(U144&gt;0,VLOOKUP(B144,'이름 일치'!$B$3:$N$500,13,FALSE)&lt;&gt;""),"1상담"&amp;"/"&amp;VLOOKUP(B144,'이름 일치'!$B$3:$N$500,13,FALSE),IF(U144&gt;0,"1상담",IF(VLOOKUP(B144,'이름 일치'!$B$3:$N$500,13,FALSE)&lt;&gt;"",VLOOKUP(B144,'이름 일치'!$B$3:$N$500,13,FALSE),"")))</f>
        <v/>
      </c>
      <c r="F144" s="11"/>
      <c r="G144" s="2"/>
      <c r="H144" s="13">
        <v>81</v>
      </c>
      <c r="I144" s="13">
        <v>86</v>
      </c>
      <c r="J144" s="13">
        <v>76</v>
      </c>
      <c r="K144" s="6">
        <v>0</v>
      </c>
      <c r="L144" s="6">
        <v>1</v>
      </c>
      <c r="M144" s="6">
        <v>0</v>
      </c>
      <c r="N144" s="6" t="s">
        <v>187</v>
      </c>
      <c r="O144" s="6" t="s">
        <v>187</v>
      </c>
      <c r="P144" s="6" t="s">
        <v>187</v>
      </c>
      <c r="Q144" s="6" t="s">
        <v>187</v>
      </c>
      <c r="R144" s="6" t="s">
        <v>187</v>
      </c>
      <c r="S144" s="108" t="s">
        <v>187</v>
      </c>
      <c r="T144" s="111">
        <f>VALUE(SUM(H144:J144))</f>
        <v>243</v>
      </c>
      <c r="U144" s="12">
        <f>IF(COUNTIF(N144:S144,"높음")&gt;=1,1,0)</f>
        <v>0</v>
      </c>
    </row>
    <row r="145" spans="1:21" x14ac:dyDescent="0.3">
      <c r="A145" s="2" t="s">
        <v>531</v>
      </c>
      <c r="B145" s="2">
        <v>10503</v>
      </c>
      <c r="C145" s="2">
        <v>2</v>
      </c>
      <c r="D145" s="2" t="s">
        <v>322</v>
      </c>
      <c r="E145" s="11" t="str">
        <f>IF(AND(U145&gt;0,VLOOKUP(B145,'이름 일치'!$B$3:$N$500,13,FALSE)&lt;&gt;""),"1상담"&amp;"/"&amp;VLOOKUP(B145,'이름 일치'!$B$3:$N$500,13,FALSE),IF(U145&gt;0,"1상담",IF(VLOOKUP(B145,'이름 일치'!$B$3:$N$500,13,FALSE)&lt;&gt;"",VLOOKUP(B145,'이름 일치'!$B$3:$N$500,13,FALSE),"")))</f>
        <v/>
      </c>
      <c r="F145" s="11"/>
      <c r="G145" s="2"/>
      <c r="H145" s="13">
        <v>81</v>
      </c>
      <c r="I145" s="13">
        <v>86</v>
      </c>
      <c r="J145" s="13">
        <v>76</v>
      </c>
      <c r="K145" s="6">
        <v>0</v>
      </c>
      <c r="L145" s="6">
        <v>1</v>
      </c>
      <c r="M145" s="6">
        <v>0</v>
      </c>
      <c r="N145" s="6" t="s">
        <v>187</v>
      </c>
      <c r="O145" s="6" t="s">
        <v>187</v>
      </c>
      <c r="P145" s="6" t="s">
        <v>187</v>
      </c>
      <c r="Q145" s="6" t="s">
        <v>187</v>
      </c>
      <c r="R145" s="6" t="s">
        <v>187</v>
      </c>
      <c r="S145" s="108" t="s">
        <v>187</v>
      </c>
      <c r="T145" s="111">
        <f>VALUE(SUM(H145:J145))</f>
        <v>243</v>
      </c>
      <c r="U145" s="12">
        <f>IF(COUNTIF(N145:S145,"높음")&gt;=1,1,0)</f>
        <v>0</v>
      </c>
    </row>
    <row r="146" spans="1:21" x14ac:dyDescent="0.3">
      <c r="A146" s="11" t="s">
        <v>531</v>
      </c>
      <c r="B146" s="2">
        <v>10511</v>
      </c>
      <c r="C146" s="2">
        <v>2</v>
      </c>
      <c r="D146" s="2" t="s">
        <v>329</v>
      </c>
      <c r="E146" s="11" t="str">
        <f>IF(AND(U146&gt;0,VLOOKUP(B146,'이름 일치'!$B$3:$N$500,13,FALSE)&lt;&gt;""),"1상담"&amp;"/"&amp;VLOOKUP(B146,'이름 일치'!$B$3:$N$500,13,FALSE),IF(U146&gt;0,"1상담",IF(VLOOKUP(B146,'이름 일치'!$B$3:$N$500,13,FALSE)&lt;&gt;"",VLOOKUP(B146,'이름 일치'!$B$3:$N$500,13,FALSE),"")))</f>
        <v/>
      </c>
      <c r="F146" s="11"/>
      <c r="G146" s="2"/>
      <c r="H146" s="13">
        <v>81</v>
      </c>
      <c r="I146" s="13">
        <v>86</v>
      </c>
      <c r="J146" s="13">
        <v>76</v>
      </c>
      <c r="K146" s="6">
        <v>0</v>
      </c>
      <c r="L146" s="6">
        <v>1</v>
      </c>
      <c r="M146" s="6">
        <v>0</v>
      </c>
      <c r="N146" s="6" t="s">
        <v>187</v>
      </c>
      <c r="O146" s="6" t="s">
        <v>187</v>
      </c>
      <c r="P146" s="6" t="s">
        <v>187</v>
      </c>
      <c r="Q146" s="6" t="s">
        <v>187</v>
      </c>
      <c r="R146" s="6" t="s">
        <v>187</v>
      </c>
      <c r="S146" s="108" t="s">
        <v>187</v>
      </c>
      <c r="T146" s="111">
        <f>VALUE(SUM(H146:J146))</f>
        <v>243</v>
      </c>
      <c r="U146" s="12">
        <f>IF(COUNTIF(N146:S146,"높음")&gt;=1,1,0)</f>
        <v>0</v>
      </c>
    </row>
    <row r="147" spans="1:21" x14ac:dyDescent="0.3">
      <c r="A147" s="11" t="s">
        <v>531</v>
      </c>
      <c r="B147" s="2">
        <v>10601</v>
      </c>
      <c r="C147" s="2">
        <v>2</v>
      </c>
      <c r="D147" s="2" t="s">
        <v>349</v>
      </c>
      <c r="E147" s="11" t="str">
        <f>IF(AND(U147&gt;0,VLOOKUP(B147,'이름 일치'!$B$3:$N$500,13,FALSE)&lt;&gt;""),"1상담"&amp;"/"&amp;VLOOKUP(B147,'이름 일치'!$B$3:$N$500,13,FALSE),IF(U147&gt;0,"1상담",IF(VLOOKUP(B147,'이름 일치'!$B$3:$N$500,13,FALSE)&lt;&gt;"",VLOOKUP(B147,'이름 일치'!$B$3:$N$500,13,FALSE),"")))</f>
        <v/>
      </c>
      <c r="F147" s="11"/>
      <c r="G147" s="2"/>
      <c r="H147" s="13">
        <v>81</v>
      </c>
      <c r="I147" s="13">
        <v>86</v>
      </c>
      <c r="J147" s="13">
        <v>76</v>
      </c>
      <c r="K147" s="6">
        <v>0</v>
      </c>
      <c r="L147" s="6">
        <v>1</v>
      </c>
      <c r="M147" s="6">
        <v>0</v>
      </c>
      <c r="N147" s="6" t="s">
        <v>187</v>
      </c>
      <c r="O147" s="6" t="s">
        <v>187</v>
      </c>
      <c r="P147" s="6" t="s">
        <v>187</v>
      </c>
      <c r="Q147" s="6" t="s">
        <v>187</v>
      </c>
      <c r="R147" s="6" t="s">
        <v>187</v>
      </c>
      <c r="S147" s="108" t="s">
        <v>187</v>
      </c>
      <c r="T147" s="111">
        <f>VALUE(SUM(H147:J147))</f>
        <v>243</v>
      </c>
      <c r="U147" s="12">
        <f>IF(COUNTIF(N147:S147,"높음")&gt;=1,1,0)</f>
        <v>0</v>
      </c>
    </row>
    <row r="148" spans="1:21" x14ac:dyDescent="0.3">
      <c r="A148" s="2" t="s">
        <v>531</v>
      </c>
      <c r="B148" s="2">
        <v>10605</v>
      </c>
      <c r="C148" s="2">
        <v>2</v>
      </c>
      <c r="D148" s="2" t="s">
        <v>352</v>
      </c>
      <c r="E148" s="11" t="str">
        <f>IF(AND(U148&gt;0,VLOOKUP(B148,'이름 일치'!$B$3:$N$500,13,FALSE)&lt;&gt;""),"1상담"&amp;"/"&amp;VLOOKUP(B148,'이름 일치'!$B$3:$N$500,13,FALSE),IF(U148&gt;0,"1상담",IF(VLOOKUP(B148,'이름 일치'!$B$3:$N$500,13,FALSE)&lt;&gt;"",VLOOKUP(B148,'이름 일치'!$B$3:$N$500,13,FALSE),"")))</f>
        <v/>
      </c>
      <c r="F148" s="11"/>
      <c r="G148" s="2"/>
      <c r="H148" s="13">
        <v>81</v>
      </c>
      <c r="I148" s="13">
        <v>86</v>
      </c>
      <c r="J148" s="13">
        <v>76</v>
      </c>
      <c r="K148" s="6">
        <v>0</v>
      </c>
      <c r="L148" s="6">
        <v>1</v>
      </c>
      <c r="M148" s="6">
        <v>0</v>
      </c>
      <c r="N148" s="6" t="s">
        <v>187</v>
      </c>
      <c r="O148" s="6" t="s">
        <v>187</v>
      </c>
      <c r="P148" s="6" t="s">
        <v>187</v>
      </c>
      <c r="Q148" s="6" t="s">
        <v>187</v>
      </c>
      <c r="R148" s="6" t="s">
        <v>187</v>
      </c>
      <c r="S148" s="108" t="s">
        <v>187</v>
      </c>
      <c r="T148" s="111">
        <f>VALUE(SUM(H148:J148))</f>
        <v>243</v>
      </c>
      <c r="U148" s="12">
        <f>IF(COUNTIF(N148:S148,"높음")&gt;=1,1,0)</f>
        <v>0</v>
      </c>
    </row>
    <row r="149" spans="1:21" x14ac:dyDescent="0.3">
      <c r="A149" s="2" t="s">
        <v>531</v>
      </c>
      <c r="B149" s="2">
        <v>10609</v>
      </c>
      <c r="C149" s="2">
        <v>2</v>
      </c>
      <c r="D149" s="2" t="s">
        <v>356</v>
      </c>
      <c r="E149" s="11" t="str">
        <f>IF(AND(U149&gt;0,VLOOKUP(B149,'이름 일치'!$B$3:$N$500,13,FALSE)&lt;&gt;""),"1상담"&amp;"/"&amp;VLOOKUP(B149,'이름 일치'!$B$3:$N$500,13,FALSE),IF(U149&gt;0,"1상담",IF(VLOOKUP(B149,'이름 일치'!$B$3:$N$500,13,FALSE)&lt;&gt;"",VLOOKUP(B149,'이름 일치'!$B$3:$N$500,13,FALSE),"")))</f>
        <v/>
      </c>
      <c r="F149" s="11"/>
      <c r="G149" s="2"/>
      <c r="H149" s="13">
        <v>81</v>
      </c>
      <c r="I149" s="13">
        <v>86</v>
      </c>
      <c r="J149" s="13">
        <v>76</v>
      </c>
      <c r="K149" s="6">
        <v>0</v>
      </c>
      <c r="L149" s="6">
        <v>1</v>
      </c>
      <c r="M149" s="6">
        <v>0</v>
      </c>
      <c r="N149" s="6" t="s">
        <v>187</v>
      </c>
      <c r="O149" s="6" t="s">
        <v>187</v>
      </c>
      <c r="P149" s="6" t="s">
        <v>187</v>
      </c>
      <c r="Q149" s="6" t="s">
        <v>187</v>
      </c>
      <c r="R149" s="6" t="s">
        <v>187</v>
      </c>
      <c r="S149" s="108" t="s">
        <v>187</v>
      </c>
      <c r="T149" s="111">
        <f>VALUE(SUM(H149:J149))</f>
        <v>243</v>
      </c>
      <c r="U149" s="12">
        <f>IF(COUNTIF(N149:S149,"높음")&gt;=1,1,0)</f>
        <v>0</v>
      </c>
    </row>
    <row r="150" spans="1:21" x14ac:dyDescent="0.3">
      <c r="A150" s="2" t="s">
        <v>531</v>
      </c>
      <c r="B150" s="2">
        <v>10613</v>
      </c>
      <c r="C150" s="2">
        <v>2</v>
      </c>
      <c r="D150" s="2" t="s">
        <v>359</v>
      </c>
      <c r="E150" s="11" t="str">
        <f>IF(AND(U150&gt;0,VLOOKUP(B150,'이름 일치'!$B$3:$N$500,13,FALSE)&lt;&gt;""),"1상담"&amp;"/"&amp;VLOOKUP(B150,'이름 일치'!$B$3:$N$500,13,FALSE),IF(U150&gt;0,"1상담",IF(VLOOKUP(B150,'이름 일치'!$B$3:$N$500,13,FALSE)&lt;&gt;"",VLOOKUP(B150,'이름 일치'!$B$3:$N$500,13,FALSE),"")))</f>
        <v/>
      </c>
      <c r="F150" s="11"/>
      <c r="G150" s="2"/>
      <c r="H150" s="13">
        <v>81</v>
      </c>
      <c r="I150" s="13">
        <v>86</v>
      </c>
      <c r="J150" s="13">
        <v>76</v>
      </c>
      <c r="K150" s="6">
        <v>0</v>
      </c>
      <c r="L150" s="6">
        <v>1</v>
      </c>
      <c r="M150" s="6">
        <v>0</v>
      </c>
      <c r="N150" s="6" t="s">
        <v>187</v>
      </c>
      <c r="O150" s="6" t="s">
        <v>187</v>
      </c>
      <c r="P150" s="6" t="s">
        <v>187</v>
      </c>
      <c r="Q150" s="6" t="s">
        <v>187</v>
      </c>
      <c r="R150" s="6" t="s">
        <v>187</v>
      </c>
      <c r="S150" s="108" t="s">
        <v>187</v>
      </c>
      <c r="T150" s="111">
        <f>VALUE(SUM(H150:J150))</f>
        <v>243</v>
      </c>
      <c r="U150" s="12">
        <f>IF(COUNTIF(N150:S150,"높음")&gt;=1,1,0)</f>
        <v>0</v>
      </c>
    </row>
    <row r="151" spans="1:21" x14ac:dyDescent="0.3">
      <c r="A151" s="2" t="s">
        <v>531</v>
      </c>
      <c r="B151" s="2">
        <v>10704</v>
      </c>
      <c r="C151" s="2">
        <v>2</v>
      </c>
      <c r="D151" s="2" t="s">
        <v>379</v>
      </c>
      <c r="E151" s="11" t="str">
        <f>IF(AND(U151&gt;0,VLOOKUP(B151,'이름 일치'!$B$3:$N$500,13,FALSE)&lt;&gt;""),"1상담"&amp;"/"&amp;VLOOKUP(B151,'이름 일치'!$B$3:$N$500,13,FALSE),IF(U151&gt;0,"1상담",IF(VLOOKUP(B151,'이름 일치'!$B$3:$N$500,13,FALSE)&lt;&gt;"",VLOOKUP(B151,'이름 일치'!$B$3:$N$500,13,FALSE),"")))</f>
        <v/>
      </c>
      <c r="F151" s="11"/>
      <c r="G151" s="2"/>
      <c r="H151" s="13">
        <v>81</v>
      </c>
      <c r="I151" s="13">
        <v>86</v>
      </c>
      <c r="J151" s="13">
        <v>76</v>
      </c>
      <c r="K151" s="6">
        <v>0</v>
      </c>
      <c r="L151" s="6">
        <v>1</v>
      </c>
      <c r="M151" s="6">
        <v>0</v>
      </c>
      <c r="N151" s="6" t="s">
        <v>187</v>
      </c>
      <c r="O151" s="6" t="s">
        <v>187</v>
      </c>
      <c r="P151" s="6" t="s">
        <v>187</v>
      </c>
      <c r="Q151" s="6" t="s">
        <v>187</v>
      </c>
      <c r="R151" s="6" t="s">
        <v>187</v>
      </c>
      <c r="S151" s="108" t="s">
        <v>187</v>
      </c>
      <c r="T151" s="111">
        <f>VALUE(SUM(H151:J151))</f>
        <v>243</v>
      </c>
      <c r="U151" s="12">
        <f>IF(COUNTIF(N151:S151,"높음")&gt;=1,1,0)</f>
        <v>0</v>
      </c>
    </row>
    <row r="152" spans="1:21" x14ac:dyDescent="0.3">
      <c r="A152" s="2" t="s">
        <v>531</v>
      </c>
      <c r="B152" s="2">
        <v>10708</v>
      </c>
      <c r="C152" s="2">
        <v>2</v>
      </c>
      <c r="D152" s="2" t="s">
        <v>383</v>
      </c>
      <c r="E152" s="11" t="str">
        <f>IF(AND(U152&gt;0,VLOOKUP(B152,'이름 일치'!$B$3:$N$500,13,FALSE)&lt;&gt;""),"1상담"&amp;"/"&amp;VLOOKUP(B152,'이름 일치'!$B$3:$N$500,13,FALSE),IF(U152&gt;0,"1상담",IF(VLOOKUP(B152,'이름 일치'!$B$3:$N$500,13,FALSE)&lt;&gt;"",VLOOKUP(B152,'이름 일치'!$B$3:$N$500,13,FALSE),"")))</f>
        <v/>
      </c>
      <c r="F152" s="11"/>
      <c r="G152" s="2"/>
      <c r="H152" s="13">
        <v>81</v>
      </c>
      <c r="I152" s="13">
        <v>86</v>
      </c>
      <c r="J152" s="13">
        <v>76</v>
      </c>
      <c r="K152" s="6">
        <v>0</v>
      </c>
      <c r="L152" s="6">
        <v>1</v>
      </c>
      <c r="M152" s="6">
        <v>0</v>
      </c>
      <c r="N152" s="6" t="s">
        <v>187</v>
      </c>
      <c r="O152" s="6" t="s">
        <v>187</v>
      </c>
      <c r="P152" s="6" t="s">
        <v>187</v>
      </c>
      <c r="Q152" s="6" t="s">
        <v>187</v>
      </c>
      <c r="R152" s="6" t="s">
        <v>187</v>
      </c>
      <c r="S152" s="108" t="s">
        <v>187</v>
      </c>
      <c r="T152" s="111">
        <f>VALUE(SUM(H152:J152))</f>
        <v>243</v>
      </c>
      <c r="U152" s="12">
        <f>IF(COUNTIF(N152:S152,"높음")&gt;=1,1,0)</f>
        <v>0</v>
      </c>
    </row>
    <row r="153" spans="1:21" x14ac:dyDescent="0.3">
      <c r="A153" s="2" t="s">
        <v>531</v>
      </c>
      <c r="B153" s="2">
        <v>10712</v>
      </c>
      <c r="C153" s="2">
        <v>2</v>
      </c>
      <c r="D153" s="2" t="s">
        <v>387</v>
      </c>
      <c r="E153" s="11" t="str">
        <f>IF(AND(U153&gt;0,VLOOKUP(B153,'이름 일치'!$B$3:$N$500,13,FALSE)&lt;&gt;""),"1상담"&amp;"/"&amp;VLOOKUP(B153,'이름 일치'!$B$3:$N$500,13,FALSE),IF(U153&gt;0,"1상담",IF(VLOOKUP(B153,'이름 일치'!$B$3:$N$500,13,FALSE)&lt;&gt;"",VLOOKUP(B153,'이름 일치'!$B$3:$N$500,13,FALSE),"")))</f>
        <v/>
      </c>
      <c r="F153" s="11"/>
      <c r="G153" s="2"/>
      <c r="H153" s="13">
        <v>81</v>
      </c>
      <c r="I153" s="13">
        <v>86</v>
      </c>
      <c r="J153" s="13">
        <v>76</v>
      </c>
      <c r="K153" s="6">
        <v>0</v>
      </c>
      <c r="L153" s="6">
        <v>1</v>
      </c>
      <c r="M153" s="6">
        <v>0</v>
      </c>
      <c r="N153" s="6" t="s">
        <v>187</v>
      </c>
      <c r="O153" s="6" t="s">
        <v>187</v>
      </c>
      <c r="P153" s="6" t="s">
        <v>187</v>
      </c>
      <c r="Q153" s="6" t="s">
        <v>187</v>
      </c>
      <c r="R153" s="6" t="s">
        <v>187</v>
      </c>
      <c r="S153" s="108" t="s">
        <v>187</v>
      </c>
      <c r="T153" s="111">
        <f>VALUE(SUM(H153:J153))</f>
        <v>243</v>
      </c>
      <c r="U153" s="12">
        <f>IF(COUNTIF(N153:S153,"높음")&gt;=1,1,0)</f>
        <v>0</v>
      </c>
    </row>
    <row r="154" spans="1:21" x14ac:dyDescent="0.3">
      <c r="A154" s="2" t="s">
        <v>531</v>
      </c>
      <c r="B154" s="2">
        <v>10802</v>
      </c>
      <c r="C154" s="2">
        <v>2</v>
      </c>
      <c r="D154" s="2" t="s">
        <v>407</v>
      </c>
      <c r="E154" s="11" t="str">
        <f>IF(AND(U154&gt;0,VLOOKUP(B154,'이름 일치'!$B$3:$N$500,13,FALSE)&lt;&gt;""),"1상담"&amp;"/"&amp;VLOOKUP(B154,'이름 일치'!$B$3:$N$500,13,FALSE),IF(U154&gt;0,"1상담",IF(VLOOKUP(B154,'이름 일치'!$B$3:$N$500,13,FALSE)&lt;&gt;"",VLOOKUP(B154,'이름 일치'!$B$3:$N$500,13,FALSE),"")))</f>
        <v/>
      </c>
      <c r="F154" s="11"/>
      <c r="G154" s="2"/>
      <c r="H154" s="13">
        <v>81</v>
      </c>
      <c r="I154" s="13">
        <v>86</v>
      </c>
      <c r="J154" s="13">
        <v>76</v>
      </c>
      <c r="K154" s="6">
        <v>0</v>
      </c>
      <c r="L154" s="6">
        <v>1</v>
      </c>
      <c r="M154" s="6">
        <v>0</v>
      </c>
      <c r="N154" s="6" t="s">
        <v>187</v>
      </c>
      <c r="O154" s="6" t="s">
        <v>187</v>
      </c>
      <c r="P154" s="6" t="s">
        <v>187</v>
      </c>
      <c r="Q154" s="6" t="s">
        <v>187</v>
      </c>
      <c r="R154" s="6" t="s">
        <v>187</v>
      </c>
      <c r="S154" s="108" t="s">
        <v>187</v>
      </c>
      <c r="T154" s="111">
        <f>VALUE(SUM(H154:J154))</f>
        <v>243</v>
      </c>
      <c r="U154" s="12">
        <f>IF(COUNTIF(N154:S154,"높음")&gt;=1,1,0)</f>
        <v>0</v>
      </c>
    </row>
    <row r="155" spans="1:21" x14ac:dyDescent="0.3">
      <c r="A155" s="2" t="s">
        <v>531</v>
      </c>
      <c r="B155" s="2">
        <v>10806</v>
      </c>
      <c r="C155" s="2">
        <v>2</v>
      </c>
      <c r="D155" s="2" t="s">
        <v>411</v>
      </c>
      <c r="E155" s="11" t="str">
        <f>IF(AND(U155&gt;0,VLOOKUP(B155,'이름 일치'!$B$3:$N$500,13,FALSE)&lt;&gt;""),"1상담"&amp;"/"&amp;VLOOKUP(B155,'이름 일치'!$B$3:$N$500,13,FALSE),IF(U155&gt;0,"1상담",IF(VLOOKUP(B155,'이름 일치'!$B$3:$N$500,13,FALSE)&lt;&gt;"",VLOOKUP(B155,'이름 일치'!$B$3:$N$500,13,FALSE),"")))</f>
        <v/>
      </c>
      <c r="F155" s="11"/>
      <c r="G155" s="2"/>
      <c r="H155" s="13">
        <v>81</v>
      </c>
      <c r="I155" s="13">
        <v>86</v>
      </c>
      <c r="J155" s="13">
        <v>76</v>
      </c>
      <c r="K155" s="6">
        <v>0</v>
      </c>
      <c r="L155" s="6">
        <v>1</v>
      </c>
      <c r="M155" s="6">
        <v>0</v>
      </c>
      <c r="N155" s="6" t="s">
        <v>187</v>
      </c>
      <c r="O155" s="6" t="s">
        <v>187</v>
      </c>
      <c r="P155" s="6" t="s">
        <v>187</v>
      </c>
      <c r="Q155" s="6" t="s">
        <v>187</v>
      </c>
      <c r="R155" s="6" t="s">
        <v>187</v>
      </c>
      <c r="S155" s="108" t="s">
        <v>187</v>
      </c>
      <c r="T155" s="111">
        <f>VALUE(SUM(H155:J155))</f>
        <v>243</v>
      </c>
      <c r="U155" s="12">
        <f>IF(COUNTIF(N155:S155,"높음")&gt;=1,1,0)</f>
        <v>0</v>
      </c>
    </row>
    <row r="156" spans="1:21" x14ac:dyDescent="0.3">
      <c r="A156" s="2" t="s">
        <v>531</v>
      </c>
      <c r="B156" s="2">
        <v>10810</v>
      </c>
      <c r="C156" s="2">
        <v>2</v>
      </c>
      <c r="D156" s="2" t="s">
        <v>415</v>
      </c>
      <c r="E156" s="11" t="str">
        <f>IF(AND(U156&gt;0,VLOOKUP(B156,'이름 일치'!$B$3:$N$500,13,FALSE)&lt;&gt;""),"1상담"&amp;"/"&amp;VLOOKUP(B156,'이름 일치'!$B$3:$N$500,13,FALSE),IF(U156&gt;0,"1상담",IF(VLOOKUP(B156,'이름 일치'!$B$3:$N$500,13,FALSE)&lt;&gt;"",VLOOKUP(B156,'이름 일치'!$B$3:$N$500,13,FALSE),"")))</f>
        <v/>
      </c>
      <c r="F156" s="11"/>
      <c r="G156" s="2"/>
      <c r="H156" s="13">
        <v>81</v>
      </c>
      <c r="I156" s="13">
        <v>86</v>
      </c>
      <c r="J156" s="13">
        <v>76</v>
      </c>
      <c r="K156" s="6">
        <v>0</v>
      </c>
      <c r="L156" s="6">
        <v>1</v>
      </c>
      <c r="M156" s="6">
        <v>0</v>
      </c>
      <c r="N156" s="6" t="s">
        <v>187</v>
      </c>
      <c r="O156" s="6" t="s">
        <v>187</v>
      </c>
      <c r="P156" s="6" t="s">
        <v>187</v>
      </c>
      <c r="Q156" s="6" t="s">
        <v>187</v>
      </c>
      <c r="R156" s="6" t="s">
        <v>187</v>
      </c>
      <c r="S156" s="108" t="s">
        <v>187</v>
      </c>
      <c r="T156" s="111">
        <f>VALUE(SUM(H156:J156))</f>
        <v>243</v>
      </c>
      <c r="U156" s="12">
        <f>IF(COUNTIF(N156:S156,"높음")&gt;=1,1,0)</f>
        <v>0</v>
      </c>
    </row>
    <row r="157" spans="1:21" x14ac:dyDescent="0.3">
      <c r="A157" s="11" t="s">
        <v>531</v>
      </c>
      <c r="B157" s="2">
        <v>10814</v>
      </c>
      <c r="C157" s="2">
        <v>2</v>
      </c>
      <c r="D157" s="2" t="s">
        <v>419</v>
      </c>
      <c r="E157" s="11" t="str">
        <f>IF(AND(U157&gt;0,VLOOKUP(B157,'이름 일치'!$B$3:$N$500,13,FALSE)&lt;&gt;""),"1상담"&amp;"/"&amp;VLOOKUP(B157,'이름 일치'!$B$3:$N$500,13,FALSE),IF(U157&gt;0,"1상담",IF(VLOOKUP(B157,'이름 일치'!$B$3:$N$500,13,FALSE)&lt;&gt;"",VLOOKUP(B157,'이름 일치'!$B$3:$N$500,13,FALSE),"")))</f>
        <v/>
      </c>
      <c r="F157" s="11"/>
      <c r="G157" s="2"/>
      <c r="H157" s="13">
        <v>81</v>
      </c>
      <c r="I157" s="13">
        <v>86</v>
      </c>
      <c r="J157" s="13">
        <v>76</v>
      </c>
      <c r="K157" s="6">
        <v>0</v>
      </c>
      <c r="L157" s="6">
        <v>1</v>
      </c>
      <c r="M157" s="6">
        <v>0</v>
      </c>
      <c r="N157" s="6" t="s">
        <v>187</v>
      </c>
      <c r="O157" s="6" t="s">
        <v>187</v>
      </c>
      <c r="P157" s="6" t="s">
        <v>187</v>
      </c>
      <c r="Q157" s="6" t="s">
        <v>187</v>
      </c>
      <c r="R157" s="6" t="s">
        <v>187</v>
      </c>
      <c r="S157" s="108" t="s">
        <v>187</v>
      </c>
      <c r="T157" s="111">
        <f>VALUE(SUM(H157:J157))</f>
        <v>243</v>
      </c>
      <c r="U157" s="12">
        <f>IF(COUNTIF(N157:S157,"높음")&gt;=1,1,0)</f>
        <v>0</v>
      </c>
    </row>
    <row r="158" spans="1:21" x14ac:dyDescent="0.3">
      <c r="A158" s="2" t="s">
        <v>531</v>
      </c>
      <c r="B158" s="2">
        <v>10901</v>
      </c>
      <c r="C158" s="2">
        <v>2</v>
      </c>
      <c r="D158" s="2" t="s">
        <v>433</v>
      </c>
      <c r="E158" s="11" t="str">
        <f>IF(AND(U158&gt;0,VLOOKUP(B158,'이름 일치'!$B$3:$N$500,13,FALSE)&lt;&gt;""),"1상담"&amp;"/"&amp;VLOOKUP(B158,'이름 일치'!$B$3:$N$500,13,FALSE),IF(U158&gt;0,"1상담",IF(VLOOKUP(B158,'이름 일치'!$B$3:$N$500,13,FALSE)&lt;&gt;"",VLOOKUP(B158,'이름 일치'!$B$3:$N$500,13,FALSE),"")))</f>
        <v/>
      </c>
      <c r="F158" s="11"/>
      <c r="G158" s="2"/>
      <c r="H158" s="13">
        <v>81</v>
      </c>
      <c r="I158" s="13">
        <v>86</v>
      </c>
      <c r="J158" s="13">
        <v>76</v>
      </c>
      <c r="K158" s="6">
        <v>0</v>
      </c>
      <c r="L158" s="6">
        <v>1</v>
      </c>
      <c r="M158" s="6">
        <v>0</v>
      </c>
      <c r="N158" s="6" t="s">
        <v>187</v>
      </c>
      <c r="O158" s="6" t="s">
        <v>187</v>
      </c>
      <c r="P158" s="6" t="s">
        <v>187</v>
      </c>
      <c r="Q158" s="6" t="s">
        <v>187</v>
      </c>
      <c r="R158" s="6" t="s">
        <v>187</v>
      </c>
      <c r="S158" s="108" t="s">
        <v>187</v>
      </c>
      <c r="T158" s="111">
        <f>VALUE(SUM(H158:J158))</f>
        <v>243</v>
      </c>
      <c r="U158" s="12">
        <f>IF(COUNTIF(N158:S158,"높음")&gt;=1,1,0)</f>
        <v>0</v>
      </c>
    </row>
    <row r="159" spans="1:21" x14ac:dyDescent="0.3">
      <c r="A159" s="2" t="s">
        <v>531</v>
      </c>
      <c r="B159" s="2">
        <v>10905</v>
      </c>
      <c r="C159" s="2">
        <v>2</v>
      </c>
      <c r="D159" s="2" t="s">
        <v>437</v>
      </c>
      <c r="E159" s="11" t="str">
        <f>IF(AND(U159&gt;0,VLOOKUP(B159,'이름 일치'!$B$3:$N$500,13,FALSE)&lt;&gt;""),"1상담"&amp;"/"&amp;VLOOKUP(B159,'이름 일치'!$B$3:$N$500,13,FALSE),IF(U159&gt;0,"1상담",IF(VLOOKUP(B159,'이름 일치'!$B$3:$N$500,13,FALSE)&lt;&gt;"",VLOOKUP(B159,'이름 일치'!$B$3:$N$500,13,FALSE),"")))</f>
        <v/>
      </c>
      <c r="F159" s="11"/>
      <c r="G159" s="2"/>
      <c r="H159" s="13">
        <v>81</v>
      </c>
      <c r="I159" s="13">
        <v>86</v>
      </c>
      <c r="J159" s="13">
        <v>76</v>
      </c>
      <c r="K159" s="6">
        <v>0</v>
      </c>
      <c r="L159" s="6">
        <v>1</v>
      </c>
      <c r="M159" s="6">
        <v>0</v>
      </c>
      <c r="N159" s="6" t="s">
        <v>187</v>
      </c>
      <c r="O159" s="6" t="s">
        <v>187</v>
      </c>
      <c r="P159" s="6" t="s">
        <v>187</v>
      </c>
      <c r="Q159" s="6" t="s">
        <v>187</v>
      </c>
      <c r="R159" s="6" t="s">
        <v>187</v>
      </c>
      <c r="S159" s="108" t="s">
        <v>187</v>
      </c>
      <c r="T159" s="111">
        <f>VALUE(SUM(H159:J159))</f>
        <v>243</v>
      </c>
      <c r="U159" s="12">
        <f>IF(COUNTIF(N159:S159,"높음")&gt;=1,1,0)</f>
        <v>0</v>
      </c>
    </row>
    <row r="160" spans="1:21" x14ac:dyDescent="0.3">
      <c r="A160" s="11" t="s">
        <v>531</v>
      </c>
      <c r="B160" s="2">
        <v>10909</v>
      </c>
      <c r="C160" s="2">
        <v>2</v>
      </c>
      <c r="D160" s="2" t="s">
        <v>441</v>
      </c>
      <c r="E160" s="11" t="str">
        <f>IF(AND(U160&gt;0,VLOOKUP(B160,'이름 일치'!$B$3:$N$500,13,FALSE)&lt;&gt;""),"1상담"&amp;"/"&amp;VLOOKUP(B160,'이름 일치'!$B$3:$N$500,13,FALSE),IF(U160&gt;0,"1상담",IF(VLOOKUP(B160,'이름 일치'!$B$3:$N$500,13,FALSE)&lt;&gt;"",VLOOKUP(B160,'이름 일치'!$B$3:$N$500,13,FALSE),"")))</f>
        <v/>
      </c>
      <c r="F160" s="11"/>
      <c r="G160" s="2"/>
      <c r="H160" s="13">
        <v>81</v>
      </c>
      <c r="I160" s="13">
        <v>86</v>
      </c>
      <c r="J160" s="13">
        <v>76</v>
      </c>
      <c r="K160" s="6">
        <v>0</v>
      </c>
      <c r="L160" s="6">
        <v>1</v>
      </c>
      <c r="M160" s="6">
        <v>0</v>
      </c>
      <c r="N160" s="6" t="s">
        <v>187</v>
      </c>
      <c r="O160" s="6" t="s">
        <v>187</v>
      </c>
      <c r="P160" s="6" t="s">
        <v>187</v>
      </c>
      <c r="Q160" s="6" t="s">
        <v>187</v>
      </c>
      <c r="R160" s="6" t="s">
        <v>187</v>
      </c>
      <c r="S160" s="108" t="s">
        <v>187</v>
      </c>
      <c r="T160" s="111">
        <f>VALUE(SUM(H160:J160))</f>
        <v>243</v>
      </c>
      <c r="U160" s="12">
        <f>IF(COUNTIF(N160:S160,"높음")&gt;=1,1,0)</f>
        <v>0</v>
      </c>
    </row>
    <row r="161" spans="1:21" x14ac:dyDescent="0.3">
      <c r="A161" s="11" t="s">
        <v>531</v>
      </c>
      <c r="B161" s="2">
        <v>10913</v>
      </c>
      <c r="C161" s="2">
        <v>2</v>
      </c>
      <c r="D161" s="2" t="s">
        <v>445</v>
      </c>
      <c r="E161" s="11" t="str">
        <f>IF(AND(U161&gt;0,VLOOKUP(B161,'이름 일치'!$B$3:$N$500,13,FALSE)&lt;&gt;""),"1상담"&amp;"/"&amp;VLOOKUP(B161,'이름 일치'!$B$3:$N$500,13,FALSE),IF(U161&gt;0,"1상담",IF(VLOOKUP(B161,'이름 일치'!$B$3:$N$500,13,FALSE)&lt;&gt;"",VLOOKUP(B161,'이름 일치'!$B$3:$N$500,13,FALSE),"")))</f>
        <v/>
      </c>
      <c r="F161" s="11"/>
      <c r="G161" s="2"/>
      <c r="H161" s="13">
        <v>81</v>
      </c>
      <c r="I161" s="13">
        <v>86</v>
      </c>
      <c r="J161" s="13">
        <v>76</v>
      </c>
      <c r="K161" s="6">
        <v>0</v>
      </c>
      <c r="L161" s="6">
        <v>1</v>
      </c>
      <c r="M161" s="6">
        <v>0</v>
      </c>
      <c r="N161" s="6" t="s">
        <v>187</v>
      </c>
      <c r="O161" s="6" t="s">
        <v>187</v>
      </c>
      <c r="P161" s="6" t="s">
        <v>187</v>
      </c>
      <c r="Q161" s="6" t="s">
        <v>187</v>
      </c>
      <c r="R161" s="6" t="s">
        <v>187</v>
      </c>
      <c r="S161" s="108" t="s">
        <v>187</v>
      </c>
      <c r="T161" s="111">
        <f>VALUE(SUM(H161:J161))</f>
        <v>243</v>
      </c>
      <c r="U161" s="12">
        <f>IF(COUNTIF(N161:S161,"높음")&gt;=1,1,0)</f>
        <v>0</v>
      </c>
    </row>
    <row r="162" spans="1:21" x14ac:dyDescent="0.3">
      <c r="A162" s="2" t="s">
        <v>531</v>
      </c>
      <c r="B162" s="2">
        <v>11003</v>
      </c>
      <c r="C162" s="2">
        <v>2</v>
      </c>
      <c r="D162" s="2" t="s">
        <v>464</v>
      </c>
      <c r="E162" s="11" t="str">
        <f>IF(AND(U162&gt;0,VLOOKUP(B162,'이름 일치'!$B$3:$N$500,13,FALSE)&lt;&gt;""),"1상담"&amp;"/"&amp;VLOOKUP(B162,'이름 일치'!$B$3:$N$500,13,FALSE),IF(U162&gt;0,"1상담",IF(VLOOKUP(B162,'이름 일치'!$B$3:$N$500,13,FALSE)&lt;&gt;"",VLOOKUP(B162,'이름 일치'!$B$3:$N$500,13,FALSE),"")))</f>
        <v/>
      </c>
      <c r="F162" s="11"/>
      <c r="G162" s="2"/>
      <c r="H162" s="13">
        <v>81</v>
      </c>
      <c r="I162" s="13">
        <v>86</v>
      </c>
      <c r="J162" s="13">
        <v>76</v>
      </c>
      <c r="K162" s="6">
        <v>0</v>
      </c>
      <c r="L162" s="6">
        <v>1</v>
      </c>
      <c r="M162" s="6">
        <v>0</v>
      </c>
      <c r="N162" s="6" t="s">
        <v>187</v>
      </c>
      <c r="O162" s="6" t="s">
        <v>187</v>
      </c>
      <c r="P162" s="6" t="s">
        <v>187</v>
      </c>
      <c r="Q162" s="6" t="s">
        <v>187</v>
      </c>
      <c r="R162" s="6" t="s">
        <v>187</v>
      </c>
      <c r="S162" s="108" t="s">
        <v>187</v>
      </c>
      <c r="T162" s="111">
        <f>VALUE(SUM(H162:J162))</f>
        <v>243</v>
      </c>
      <c r="U162" s="12">
        <f>IF(COUNTIF(N162:S162,"높음")&gt;=1,1,0)</f>
        <v>0</v>
      </c>
    </row>
    <row r="163" spans="1:21" x14ac:dyDescent="0.3">
      <c r="A163" s="11" t="s">
        <v>531</v>
      </c>
      <c r="B163" s="2">
        <v>11007</v>
      </c>
      <c r="C163" s="2">
        <v>2</v>
      </c>
      <c r="D163" s="2" t="s">
        <v>468</v>
      </c>
      <c r="E163" s="11" t="str">
        <f>IF(AND(U163&gt;0,VLOOKUP(B163,'이름 일치'!$B$3:$N$500,13,FALSE)&lt;&gt;""),"1상담"&amp;"/"&amp;VLOOKUP(B163,'이름 일치'!$B$3:$N$500,13,FALSE),IF(U163&gt;0,"1상담",IF(VLOOKUP(B163,'이름 일치'!$B$3:$N$500,13,FALSE)&lt;&gt;"",VLOOKUP(B163,'이름 일치'!$B$3:$N$500,13,FALSE),"")))</f>
        <v/>
      </c>
      <c r="F163" s="11"/>
      <c r="G163" s="2"/>
      <c r="H163" s="13">
        <v>81</v>
      </c>
      <c r="I163" s="13">
        <v>86</v>
      </c>
      <c r="J163" s="13">
        <v>76</v>
      </c>
      <c r="K163" s="6">
        <v>0</v>
      </c>
      <c r="L163" s="6">
        <v>1</v>
      </c>
      <c r="M163" s="6">
        <v>0</v>
      </c>
      <c r="N163" s="6" t="s">
        <v>187</v>
      </c>
      <c r="O163" s="6" t="s">
        <v>187</v>
      </c>
      <c r="P163" s="6" t="s">
        <v>187</v>
      </c>
      <c r="Q163" s="6" t="s">
        <v>187</v>
      </c>
      <c r="R163" s="6" t="s">
        <v>187</v>
      </c>
      <c r="S163" s="108" t="s">
        <v>187</v>
      </c>
      <c r="T163" s="111">
        <f>VALUE(SUM(H163:J163))</f>
        <v>243</v>
      </c>
      <c r="U163" s="12">
        <f>IF(COUNTIF(N163:S163,"높음")&gt;=1,1,0)</f>
        <v>0</v>
      </c>
    </row>
    <row r="164" spans="1:21" x14ac:dyDescent="0.3">
      <c r="A164" s="2" t="s">
        <v>531</v>
      </c>
      <c r="B164" s="2">
        <v>11011</v>
      </c>
      <c r="C164" s="2">
        <v>2</v>
      </c>
      <c r="D164" s="2" t="s">
        <v>471</v>
      </c>
      <c r="E164" s="11" t="str">
        <f>IF(AND(U164&gt;0,VLOOKUP(B164,'이름 일치'!$B$3:$N$500,13,FALSE)&lt;&gt;""),"1상담"&amp;"/"&amp;VLOOKUP(B164,'이름 일치'!$B$3:$N$500,13,FALSE),IF(U164&gt;0,"1상담",IF(VLOOKUP(B164,'이름 일치'!$B$3:$N$500,13,FALSE)&lt;&gt;"",VLOOKUP(B164,'이름 일치'!$B$3:$N$500,13,FALSE),"")))</f>
        <v/>
      </c>
      <c r="F164" s="11"/>
      <c r="G164" s="2"/>
      <c r="H164" s="13">
        <v>81</v>
      </c>
      <c r="I164" s="13">
        <v>86</v>
      </c>
      <c r="J164" s="13">
        <v>76</v>
      </c>
      <c r="K164" s="6">
        <v>0</v>
      </c>
      <c r="L164" s="6">
        <v>1</v>
      </c>
      <c r="M164" s="6">
        <v>0</v>
      </c>
      <c r="N164" s="6" t="s">
        <v>187</v>
      </c>
      <c r="O164" s="6" t="s">
        <v>187</v>
      </c>
      <c r="P164" s="6" t="s">
        <v>187</v>
      </c>
      <c r="Q164" s="6" t="s">
        <v>187</v>
      </c>
      <c r="R164" s="6" t="s">
        <v>187</v>
      </c>
      <c r="S164" s="108" t="s">
        <v>187</v>
      </c>
      <c r="T164" s="111">
        <f>VALUE(SUM(H164:J164))</f>
        <v>243</v>
      </c>
      <c r="U164" s="12">
        <f>IF(COUNTIF(N164:S164,"높음")&gt;=1,1,0)</f>
        <v>0</v>
      </c>
    </row>
    <row r="165" spans="1:21" x14ac:dyDescent="0.3">
      <c r="A165" s="2" t="s">
        <v>531</v>
      </c>
      <c r="B165" s="2">
        <v>10117</v>
      </c>
      <c r="C165" s="2">
        <v>1</v>
      </c>
      <c r="D165" s="2" t="s">
        <v>219</v>
      </c>
      <c r="E165" s="11" t="str">
        <f>IF(AND(U165&gt;0,VLOOKUP(B165,'이름 일치'!$B$3:$N$500,13,FALSE)&lt;&gt;""),"1상담"&amp;"/"&amp;VLOOKUP(B165,'이름 일치'!$B$3:$N$500,13,FALSE),IF(U165&gt;0,"1상담",IF(VLOOKUP(B165,'이름 일치'!$B$3:$N$500,13,FALSE)&lt;&gt;"",VLOOKUP(B165,'이름 일치'!$B$3:$N$500,13,FALSE),"")))</f>
        <v>1상담</v>
      </c>
      <c r="F165" s="11"/>
      <c r="G165" s="2"/>
      <c r="H165" s="13">
        <v>23</v>
      </c>
      <c r="I165" s="13">
        <v>23</v>
      </c>
      <c r="J165" s="13">
        <v>45</v>
      </c>
      <c r="K165" s="6">
        <v>0</v>
      </c>
      <c r="L165" s="6">
        <v>3</v>
      </c>
      <c r="M165" s="6">
        <v>3</v>
      </c>
      <c r="N165" s="6" t="s">
        <v>187</v>
      </c>
      <c r="O165" s="6" t="s">
        <v>191</v>
      </c>
      <c r="P165" s="6" t="s">
        <v>191</v>
      </c>
      <c r="Q165" s="6" t="s">
        <v>191</v>
      </c>
      <c r="R165" s="6" t="s">
        <v>187</v>
      </c>
      <c r="S165" s="108" t="s">
        <v>192</v>
      </c>
      <c r="T165" s="111">
        <f>VALUE(SUM(H165:J165))</f>
        <v>91</v>
      </c>
      <c r="U165" s="12">
        <f>IF(COUNTIF(N165:S165,"높음")&gt;=1,1,0)</f>
        <v>1</v>
      </c>
    </row>
    <row r="166" spans="1:21" x14ac:dyDescent="0.3">
      <c r="A166" s="11" t="s">
        <v>531</v>
      </c>
      <c r="B166" s="2">
        <v>10121</v>
      </c>
      <c r="C166" s="2">
        <v>1</v>
      </c>
      <c r="D166" s="2" t="s">
        <v>223</v>
      </c>
      <c r="E166" s="11" t="str">
        <f>IF(AND(U166&gt;0,VLOOKUP(B166,'이름 일치'!$B$3:$N$500,13,FALSE)&lt;&gt;""),"1상담"&amp;"/"&amp;VLOOKUP(B166,'이름 일치'!$B$3:$N$500,13,FALSE),IF(U166&gt;0,"1상담",IF(VLOOKUP(B166,'이름 일치'!$B$3:$N$500,13,FALSE)&lt;&gt;"",VLOOKUP(B166,'이름 일치'!$B$3:$N$500,13,FALSE),"")))</f>
        <v>1상담</v>
      </c>
      <c r="F166" s="11"/>
      <c r="G166" s="2"/>
      <c r="H166" s="13">
        <v>23</v>
      </c>
      <c r="I166" s="13">
        <v>23</v>
      </c>
      <c r="J166" s="13">
        <v>45</v>
      </c>
      <c r="K166" s="6">
        <v>0</v>
      </c>
      <c r="L166" s="6">
        <v>3</v>
      </c>
      <c r="M166" s="6">
        <v>3</v>
      </c>
      <c r="N166" s="6" t="s">
        <v>187</v>
      </c>
      <c r="O166" s="6" t="s">
        <v>191</v>
      </c>
      <c r="P166" s="6" t="s">
        <v>191</v>
      </c>
      <c r="Q166" s="6" t="s">
        <v>191</v>
      </c>
      <c r="R166" s="6" t="s">
        <v>187</v>
      </c>
      <c r="S166" s="108" t="s">
        <v>192</v>
      </c>
      <c r="T166" s="111">
        <f>VALUE(SUM(H166:J166))</f>
        <v>91</v>
      </c>
      <c r="U166" s="12">
        <f>IF(COUNTIF(N166:S166,"높음")&gt;=1,1,0)</f>
        <v>1</v>
      </c>
    </row>
    <row r="167" spans="1:21" x14ac:dyDescent="0.3">
      <c r="A167" s="11" t="s">
        <v>531</v>
      </c>
      <c r="B167" s="2">
        <v>10125</v>
      </c>
      <c r="C167" s="2">
        <v>1</v>
      </c>
      <c r="D167" s="2" t="s">
        <v>227</v>
      </c>
      <c r="E167" s="11" t="str">
        <f>IF(AND(U167&gt;0,VLOOKUP(B167,'이름 일치'!$B$3:$N$500,13,FALSE)&lt;&gt;""),"1상담"&amp;"/"&amp;VLOOKUP(B167,'이름 일치'!$B$3:$N$500,13,FALSE),IF(U167&gt;0,"1상담",IF(VLOOKUP(B167,'이름 일치'!$B$3:$N$500,13,FALSE)&lt;&gt;"",VLOOKUP(B167,'이름 일치'!$B$3:$N$500,13,FALSE),"")))</f>
        <v>1상담</v>
      </c>
      <c r="F167" s="11"/>
      <c r="G167" s="2"/>
      <c r="H167" s="13">
        <v>23</v>
      </c>
      <c r="I167" s="13">
        <v>23</v>
      </c>
      <c r="J167" s="13">
        <v>45</v>
      </c>
      <c r="K167" s="6">
        <v>0</v>
      </c>
      <c r="L167" s="6">
        <v>3</v>
      </c>
      <c r="M167" s="6">
        <v>3</v>
      </c>
      <c r="N167" s="6" t="s">
        <v>187</v>
      </c>
      <c r="O167" s="6" t="s">
        <v>191</v>
      </c>
      <c r="P167" s="6" t="s">
        <v>191</v>
      </c>
      <c r="Q167" s="6" t="s">
        <v>191</v>
      </c>
      <c r="R167" s="6" t="s">
        <v>187</v>
      </c>
      <c r="S167" s="108" t="s">
        <v>192</v>
      </c>
      <c r="T167" s="111">
        <f>VALUE(SUM(H167:J167))</f>
        <v>91</v>
      </c>
      <c r="U167" s="12">
        <f>IF(COUNTIF(N167:S167,"높음")&gt;=1,1,0)</f>
        <v>1</v>
      </c>
    </row>
    <row r="168" spans="1:21" x14ac:dyDescent="0.3">
      <c r="A168" s="2" t="s">
        <v>531</v>
      </c>
      <c r="B168" s="2">
        <v>10130</v>
      </c>
      <c r="C168" s="2">
        <v>1</v>
      </c>
      <c r="D168" s="2" t="s">
        <v>231</v>
      </c>
      <c r="E168" s="11" t="str">
        <f>IF(AND(U168&gt;0,VLOOKUP(B168,'이름 일치'!$B$3:$N$500,13,FALSE)&lt;&gt;""),"1상담"&amp;"/"&amp;VLOOKUP(B168,'이름 일치'!$B$3:$N$500,13,FALSE),IF(U168&gt;0,"1상담",IF(VLOOKUP(B168,'이름 일치'!$B$3:$N$500,13,FALSE)&lt;&gt;"",VLOOKUP(B168,'이름 일치'!$B$3:$N$500,13,FALSE),"")))</f>
        <v>1상담</v>
      </c>
      <c r="F168" s="11"/>
      <c r="G168" s="2"/>
      <c r="H168" s="13">
        <v>23</v>
      </c>
      <c r="I168" s="13">
        <v>23</v>
      </c>
      <c r="J168" s="13">
        <v>45</v>
      </c>
      <c r="K168" s="6">
        <v>0</v>
      </c>
      <c r="L168" s="6">
        <v>3</v>
      </c>
      <c r="M168" s="6">
        <v>3</v>
      </c>
      <c r="N168" s="6" t="s">
        <v>187</v>
      </c>
      <c r="O168" s="6" t="s">
        <v>191</v>
      </c>
      <c r="P168" s="6" t="s">
        <v>191</v>
      </c>
      <c r="Q168" s="6" t="s">
        <v>191</v>
      </c>
      <c r="R168" s="6" t="s">
        <v>187</v>
      </c>
      <c r="S168" s="108" t="s">
        <v>192</v>
      </c>
      <c r="T168" s="111">
        <f>VALUE(SUM(H168:J168))</f>
        <v>91</v>
      </c>
      <c r="U168" s="12">
        <f>IF(COUNTIF(N168:S168,"높음")&gt;=1,1,0)</f>
        <v>1</v>
      </c>
    </row>
    <row r="169" spans="1:21" x14ac:dyDescent="0.3">
      <c r="A169" s="2" t="s">
        <v>531</v>
      </c>
      <c r="B169" s="2">
        <v>10216</v>
      </c>
      <c r="C169" s="2">
        <v>1</v>
      </c>
      <c r="D169" s="2" t="s">
        <v>247</v>
      </c>
      <c r="E169" s="11" t="str">
        <f>IF(AND(U169&gt;0,VLOOKUP(B169,'이름 일치'!$B$3:$N$500,13,FALSE)&lt;&gt;""),"1상담"&amp;"/"&amp;VLOOKUP(B169,'이름 일치'!$B$3:$N$500,13,FALSE),IF(U169&gt;0,"1상담",IF(VLOOKUP(B169,'이름 일치'!$B$3:$N$500,13,FALSE)&lt;&gt;"",VLOOKUP(B169,'이름 일치'!$B$3:$N$500,13,FALSE),"")))</f>
        <v>1상담</v>
      </c>
      <c r="F169" s="11"/>
      <c r="G169" s="2"/>
      <c r="H169" s="13">
        <v>23</v>
      </c>
      <c r="I169" s="13">
        <v>23</v>
      </c>
      <c r="J169" s="13">
        <v>45</v>
      </c>
      <c r="K169" s="6">
        <v>0</v>
      </c>
      <c r="L169" s="6">
        <v>3</v>
      </c>
      <c r="M169" s="6">
        <v>3</v>
      </c>
      <c r="N169" s="6" t="s">
        <v>187</v>
      </c>
      <c r="O169" s="6" t="s">
        <v>191</v>
      </c>
      <c r="P169" s="6" t="s">
        <v>191</v>
      </c>
      <c r="Q169" s="6" t="s">
        <v>191</v>
      </c>
      <c r="R169" s="6" t="s">
        <v>187</v>
      </c>
      <c r="S169" s="108" t="s">
        <v>192</v>
      </c>
      <c r="T169" s="111">
        <f>VALUE(SUM(H169:J169))</f>
        <v>91</v>
      </c>
      <c r="U169" s="12">
        <f>IF(COUNTIF(N169:S169,"높음")&gt;=1,1,0)</f>
        <v>1</v>
      </c>
    </row>
    <row r="170" spans="1:21" x14ac:dyDescent="0.3">
      <c r="A170" s="2" t="s">
        <v>531</v>
      </c>
      <c r="B170" s="2">
        <v>10220</v>
      </c>
      <c r="C170" s="2">
        <v>1</v>
      </c>
      <c r="D170" s="2" t="s">
        <v>251</v>
      </c>
      <c r="E170" s="11" t="str">
        <f>IF(AND(U170&gt;0,VLOOKUP(B170,'이름 일치'!$B$3:$N$500,13,FALSE)&lt;&gt;""),"1상담"&amp;"/"&amp;VLOOKUP(B170,'이름 일치'!$B$3:$N$500,13,FALSE),IF(U170&gt;0,"1상담",IF(VLOOKUP(B170,'이름 일치'!$B$3:$N$500,13,FALSE)&lt;&gt;"",VLOOKUP(B170,'이름 일치'!$B$3:$N$500,13,FALSE),"")))</f>
        <v>1상담</v>
      </c>
      <c r="F170" s="11"/>
      <c r="G170" s="2"/>
      <c r="H170" s="13">
        <v>23</v>
      </c>
      <c r="I170" s="13">
        <v>23</v>
      </c>
      <c r="J170" s="13">
        <v>45</v>
      </c>
      <c r="K170" s="6">
        <v>0</v>
      </c>
      <c r="L170" s="6">
        <v>3</v>
      </c>
      <c r="M170" s="6">
        <v>3</v>
      </c>
      <c r="N170" s="6" t="s">
        <v>187</v>
      </c>
      <c r="O170" s="6" t="s">
        <v>191</v>
      </c>
      <c r="P170" s="6" t="s">
        <v>191</v>
      </c>
      <c r="Q170" s="6" t="s">
        <v>191</v>
      </c>
      <c r="R170" s="6" t="s">
        <v>187</v>
      </c>
      <c r="S170" s="108" t="s">
        <v>192</v>
      </c>
      <c r="T170" s="111">
        <f>VALUE(SUM(H170:J170))</f>
        <v>91</v>
      </c>
      <c r="U170" s="12">
        <f>IF(COUNTIF(N170:S170,"높음")&gt;=1,1,0)</f>
        <v>1</v>
      </c>
    </row>
    <row r="171" spans="1:21" x14ac:dyDescent="0.3">
      <c r="A171" s="2" t="s">
        <v>531</v>
      </c>
      <c r="B171" s="2">
        <v>10225</v>
      </c>
      <c r="C171" s="2">
        <v>1</v>
      </c>
      <c r="D171" s="2" t="s">
        <v>255</v>
      </c>
      <c r="E171" s="11" t="str">
        <f>IF(AND(U171&gt;0,VLOOKUP(B171,'이름 일치'!$B$3:$N$500,13,FALSE)&lt;&gt;""),"1상담"&amp;"/"&amp;VLOOKUP(B171,'이름 일치'!$B$3:$N$500,13,FALSE),IF(U171&gt;0,"1상담",IF(VLOOKUP(B171,'이름 일치'!$B$3:$N$500,13,FALSE)&lt;&gt;"",VLOOKUP(B171,'이름 일치'!$B$3:$N$500,13,FALSE),"")))</f>
        <v>1상담</v>
      </c>
      <c r="F171" s="11"/>
      <c r="G171" s="2"/>
      <c r="H171" s="13">
        <v>23</v>
      </c>
      <c r="I171" s="13">
        <v>23</v>
      </c>
      <c r="J171" s="13">
        <v>45</v>
      </c>
      <c r="K171" s="6">
        <v>0</v>
      </c>
      <c r="L171" s="6">
        <v>3</v>
      </c>
      <c r="M171" s="6">
        <v>3</v>
      </c>
      <c r="N171" s="6" t="s">
        <v>187</v>
      </c>
      <c r="O171" s="6" t="s">
        <v>191</v>
      </c>
      <c r="P171" s="6" t="s">
        <v>191</v>
      </c>
      <c r="Q171" s="6" t="s">
        <v>191</v>
      </c>
      <c r="R171" s="6" t="s">
        <v>187</v>
      </c>
      <c r="S171" s="108" t="s">
        <v>192</v>
      </c>
      <c r="T171" s="111">
        <f>VALUE(SUM(H171:J171))</f>
        <v>91</v>
      </c>
      <c r="U171" s="12">
        <f>IF(COUNTIF(N171:S171,"높음")&gt;=1,1,0)</f>
        <v>1</v>
      </c>
    </row>
    <row r="172" spans="1:21" x14ac:dyDescent="0.3">
      <c r="A172" s="2" t="s">
        <v>531</v>
      </c>
      <c r="B172" s="2">
        <v>10229</v>
      </c>
      <c r="C172" s="2">
        <v>1</v>
      </c>
      <c r="D172" s="2" t="s">
        <v>259</v>
      </c>
      <c r="E172" s="11" t="str">
        <f>IF(AND(U172&gt;0,VLOOKUP(B172,'이름 일치'!$B$3:$N$500,13,FALSE)&lt;&gt;""),"1상담"&amp;"/"&amp;VLOOKUP(B172,'이름 일치'!$B$3:$N$500,13,FALSE),IF(U172&gt;0,"1상담",IF(VLOOKUP(B172,'이름 일치'!$B$3:$N$500,13,FALSE)&lt;&gt;"",VLOOKUP(B172,'이름 일치'!$B$3:$N$500,13,FALSE),"")))</f>
        <v>1상담</v>
      </c>
      <c r="F172" s="11"/>
      <c r="G172" s="2"/>
      <c r="H172" s="13">
        <v>23</v>
      </c>
      <c r="I172" s="13">
        <v>23</v>
      </c>
      <c r="J172" s="13">
        <v>45</v>
      </c>
      <c r="K172" s="6">
        <v>0</v>
      </c>
      <c r="L172" s="6">
        <v>3</v>
      </c>
      <c r="M172" s="6">
        <v>3</v>
      </c>
      <c r="N172" s="6" t="s">
        <v>187</v>
      </c>
      <c r="O172" s="6" t="s">
        <v>191</v>
      </c>
      <c r="P172" s="6" t="s">
        <v>191</v>
      </c>
      <c r="Q172" s="6" t="s">
        <v>191</v>
      </c>
      <c r="R172" s="6" t="s">
        <v>187</v>
      </c>
      <c r="S172" s="108" t="s">
        <v>192</v>
      </c>
      <c r="T172" s="111">
        <f>VALUE(SUM(H172:J172))</f>
        <v>91</v>
      </c>
      <c r="U172" s="12">
        <f>IF(COUNTIF(N172:S172,"높음")&gt;=1,1,0)</f>
        <v>1</v>
      </c>
    </row>
    <row r="173" spans="1:21" x14ac:dyDescent="0.3">
      <c r="A173" s="2" t="s">
        <v>531</v>
      </c>
      <c r="B173" s="2">
        <v>10318</v>
      </c>
      <c r="C173" s="2">
        <v>1</v>
      </c>
      <c r="D173" s="2" t="s">
        <v>279</v>
      </c>
      <c r="E173" s="11" t="str">
        <f>IF(AND(U173&gt;0,VLOOKUP(B173,'이름 일치'!$B$3:$N$500,13,FALSE)&lt;&gt;""),"1상담"&amp;"/"&amp;VLOOKUP(B173,'이름 일치'!$B$3:$N$500,13,FALSE),IF(U173&gt;0,"1상담",IF(VLOOKUP(B173,'이름 일치'!$B$3:$N$500,13,FALSE)&lt;&gt;"",VLOOKUP(B173,'이름 일치'!$B$3:$N$500,13,FALSE),"")))</f>
        <v>1상담</v>
      </c>
      <c r="F173" s="11"/>
      <c r="G173" s="2"/>
      <c r="H173" s="13">
        <v>23</v>
      </c>
      <c r="I173" s="13">
        <v>23</v>
      </c>
      <c r="J173" s="13">
        <v>45</v>
      </c>
      <c r="K173" s="6">
        <v>0</v>
      </c>
      <c r="L173" s="6">
        <v>3</v>
      </c>
      <c r="M173" s="6">
        <v>3</v>
      </c>
      <c r="N173" s="6" t="s">
        <v>187</v>
      </c>
      <c r="O173" s="6" t="s">
        <v>191</v>
      </c>
      <c r="P173" s="6" t="s">
        <v>191</v>
      </c>
      <c r="Q173" s="6" t="s">
        <v>191</v>
      </c>
      <c r="R173" s="6" t="s">
        <v>187</v>
      </c>
      <c r="S173" s="108" t="s">
        <v>192</v>
      </c>
      <c r="T173" s="111">
        <f>VALUE(SUM(H173:J173))</f>
        <v>91</v>
      </c>
      <c r="U173" s="12">
        <f>IF(COUNTIF(N173:S173,"높음")&gt;=1,1,0)</f>
        <v>1</v>
      </c>
    </row>
    <row r="174" spans="1:21" x14ac:dyDescent="0.3">
      <c r="A174" s="2" t="s">
        <v>531</v>
      </c>
      <c r="B174" s="2">
        <v>10322</v>
      </c>
      <c r="C174" s="2">
        <v>1</v>
      </c>
      <c r="D174" s="2" t="s">
        <v>283</v>
      </c>
      <c r="E174" s="11" t="str">
        <f>IF(AND(U174&gt;0,VLOOKUP(B174,'이름 일치'!$B$3:$N$500,13,FALSE)&lt;&gt;""),"1상담"&amp;"/"&amp;VLOOKUP(B174,'이름 일치'!$B$3:$N$500,13,FALSE),IF(U174&gt;0,"1상담",IF(VLOOKUP(B174,'이름 일치'!$B$3:$N$500,13,FALSE)&lt;&gt;"",VLOOKUP(B174,'이름 일치'!$B$3:$N$500,13,FALSE),"")))</f>
        <v>1상담</v>
      </c>
      <c r="F174" s="11"/>
      <c r="G174" s="2"/>
      <c r="H174" s="13">
        <v>23</v>
      </c>
      <c r="I174" s="13">
        <v>23</v>
      </c>
      <c r="J174" s="13">
        <v>45</v>
      </c>
      <c r="K174" s="6">
        <v>0</v>
      </c>
      <c r="L174" s="6">
        <v>3</v>
      </c>
      <c r="M174" s="6">
        <v>3</v>
      </c>
      <c r="N174" s="6" t="s">
        <v>187</v>
      </c>
      <c r="O174" s="6" t="s">
        <v>191</v>
      </c>
      <c r="P174" s="6" t="s">
        <v>191</v>
      </c>
      <c r="Q174" s="6" t="s">
        <v>191</v>
      </c>
      <c r="R174" s="6" t="s">
        <v>187</v>
      </c>
      <c r="S174" s="108" t="s">
        <v>192</v>
      </c>
      <c r="T174" s="111">
        <f>VALUE(SUM(H174:J174))</f>
        <v>91</v>
      </c>
      <c r="U174" s="12">
        <f>IF(COUNTIF(N174:S174,"높음")&gt;=1,1,0)</f>
        <v>1</v>
      </c>
    </row>
    <row r="175" spans="1:21" x14ac:dyDescent="0.3">
      <c r="A175" s="2" t="s">
        <v>531</v>
      </c>
      <c r="B175" s="2">
        <v>10326</v>
      </c>
      <c r="C175" s="2">
        <v>1</v>
      </c>
      <c r="D175" s="2" t="s">
        <v>287</v>
      </c>
      <c r="E175" s="11" t="str">
        <f>IF(AND(U175&gt;0,VLOOKUP(B175,'이름 일치'!$B$3:$N$500,13,FALSE)&lt;&gt;""),"1상담"&amp;"/"&amp;VLOOKUP(B175,'이름 일치'!$B$3:$N$500,13,FALSE),IF(U175&gt;0,"1상담",IF(VLOOKUP(B175,'이름 일치'!$B$3:$N$500,13,FALSE)&lt;&gt;"",VLOOKUP(B175,'이름 일치'!$B$3:$N$500,13,FALSE),"")))</f>
        <v>1상담</v>
      </c>
      <c r="F175" s="11"/>
      <c r="G175" s="2"/>
      <c r="H175" s="13">
        <v>23</v>
      </c>
      <c r="I175" s="13">
        <v>23</v>
      </c>
      <c r="J175" s="13">
        <v>45</v>
      </c>
      <c r="K175" s="6">
        <v>0</v>
      </c>
      <c r="L175" s="6">
        <v>3</v>
      </c>
      <c r="M175" s="6">
        <v>3</v>
      </c>
      <c r="N175" s="6" t="s">
        <v>187</v>
      </c>
      <c r="O175" s="6" t="s">
        <v>191</v>
      </c>
      <c r="P175" s="6" t="s">
        <v>191</v>
      </c>
      <c r="Q175" s="6" t="s">
        <v>191</v>
      </c>
      <c r="R175" s="6" t="s">
        <v>187</v>
      </c>
      <c r="S175" s="108" t="s">
        <v>192</v>
      </c>
      <c r="T175" s="111">
        <f>VALUE(SUM(H175:J175))</f>
        <v>91</v>
      </c>
      <c r="U175" s="12">
        <f>IF(COUNTIF(N175:S175,"높음")&gt;=1,1,0)</f>
        <v>1</v>
      </c>
    </row>
    <row r="176" spans="1:21" x14ac:dyDescent="0.3">
      <c r="A176" s="2" t="s">
        <v>531</v>
      </c>
      <c r="B176" s="2">
        <v>10330</v>
      </c>
      <c r="C176" s="2">
        <v>1</v>
      </c>
      <c r="D176" s="2" t="s">
        <v>291</v>
      </c>
      <c r="E176" s="11" t="str">
        <f>IF(AND(U176&gt;0,VLOOKUP(B176,'이름 일치'!$B$3:$N$500,13,FALSE)&lt;&gt;""),"1상담"&amp;"/"&amp;VLOOKUP(B176,'이름 일치'!$B$3:$N$500,13,FALSE),IF(U176&gt;0,"1상담",IF(VLOOKUP(B176,'이름 일치'!$B$3:$N$500,13,FALSE)&lt;&gt;"",VLOOKUP(B176,'이름 일치'!$B$3:$N$500,13,FALSE),"")))</f>
        <v>1상담</v>
      </c>
      <c r="F176" s="11"/>
      <c r="G176" s="2"/>
      <c r="H176" s="13">
        <v>23</v>
      </c>
      <c r="I176" s="13">
        <v>23</v>
      </c>
      <c r="J176" s="13">
        <v>45</v>
      </c>
      <c r="K176" s="6">
        <v>0</v>
      </c>
      <c r="L176" s="6">
        <v>3</v>
      </c>
      <c r="M176" s="6">
        <v>3</v>
      </c>
      <c r="N176" s="6" t="s">
        <v>187</v>
      </c>
      <c r="O176" s="6" t="s">
        <v>191</v>
      </c>
      <c r="P176" s="6" t="s">
        <v>191</v>
      </c>
      <c r="Q176" s="6" t="s">
        <v>191</v>
      </c>
      <c r="R176" s="6" t="s">
        <v>187</v>
      </c>
      <c r="S176" s="108" t="s">
        <v>192</v>
      </c>
      <c r="T176" s="111">
        <f>VALUE(SUM(H176:J176))</f>
        <v>91</v>
      </c>
      <c r="U176" s="12">
        <f>IF(COUNTIF(N176:S176,"높음")&gt;=1,1,0)</f>
        <v>1</v>
      </c>
    </row>
    <row r="177" spans="1:25" x14ac:dyDescent="0.3">
      <c r="A177" s="2" t="s">
        <v>531</v>
      </c>
      <c r="B177" s="2">
        <v>10417</v>
      </c>
      <c r="C177" s="2">
        <v>1</v>
      </c>
      <c r="D177" s="2" t="s">
        <v>307</v>
      </c>
      <c r="E177" s="11" t="str">
        <f>IF(AND(U177&gt;0,VLOOKUP(B177,'이름 일치'!$B$3:$N$500,13,FALSE)&lt;&gt;""),"1상담"&amp;"/"&amp;VLOOKUP(B177,'이름 일치'!$B$3:$N$500,13,FALSE),IF(U177&gt;0,"1상담",IF(VLOOKUP(B177,'이름 일치'!$B$3:$N$500,13,FALSE)&lt;&gt;"",VLOOKUP(B177,'이름 일치'!$B$3:$N$500,13,FALSE),"")))</f>
        <v>1상담</v>
      </c>
      <c r="F177" s="11"/>
      <c r="G177" s="2"/>
      <c r="H177" s="13">
        <v>23</v>
      </c>
      <c r="I177" s="13">
        <v>23</v>
      </c>
      <c r="J177" s="13">
        <v>45</v>
      </c>
      <c r="K177" s="6">
        <v>0</v>
      </c>
      <c r="L177" s="6">
        <v>3</v>
      </c>
      <c r="M177" s="6">
        <v>3</v>
      </c>
      <c r="N177" s="6" t="s">
        <v>187</v>
      </c>
      <c r="O177" s="6" t="s">
        <v>191</v>
      </c>
      <c r="P177" s="6" t="s">
        <v>191</v>
      </c>
      <c r="Q177" s="6" t="s">
        <v>191</v>
      </c>
      <c r="R177" s="6" t="s">
        <v>187</v>
      </c>
      <c r="S177" s="108" t="s">
        <v>192</v>
      </c>
      <c r="T177" s="111">
        <f>VALUE(SUM(H177:J177))</f>
        <v>91</v>
      </c>
      <c r="U177" s="12">
        <f>IF(COUNTIF(N177:S177,"높음")&gt;=1,1,0)</f>
        <v>1</v>
      </c>
    </row>
    <row r="178" spans="1:25" x14ac:dyDescent="0.3">
      <c r="A178" s="2" t="s">
        <v>531</v>
      </c>
      <c r="B178" s="2">
        <v>10421</v>
      </c>
      <c r="C178" s="2">
        <v>1</v>
      </c>
      <c r="D178" s="2" t="s">
        <v>311</v>
      </c>
      <c r="E178" s="11" t="str">
        <f>IF(AND(U178&gt;0,VLOOKUP(B178,'이름 일치'!$B$3:$N$500,13,FALSE)&lt;&gt;""),"1상담"&amp;"/"&amp;VLOOKUP(B178,'이름 일치'!$B$3:$N$500,13,FALSE),IF(U178&gt;0,"1상담",IF(VLOOKUP(B178,'이름 일치'!$B$3:$N$500,13,FALSE)&lt;&gt;"",VLOOKUP(B178,'이름 일치'!$B$3:$N$500,13,FALSE),"")))</f>
        <v>1상담</v>
      </c>
      <c r="F178" s="11"/>
      <c r="G178" s="2"/>
      <c r="H178" s="13">
        <v>23</v>
      </c>
      <c r="I178" s="13">
        <v>23</v>
      </c>
      <c r="J178" s="13">
        <v>45</v>
      </c>
      <c r="K178" s="6">
        <v>0</v>
      </c>
      <c r="L178" s="6">
        <v>3</v>
      </c>
      <c r="M178" s="6">
        <v>3</v>
      </c>
      <c r="N178" s="6" t="s">
        <v>187</v>
      </c>
      <c r="O178" s="6" t="s">
        <v>191</v>
      </c>
      <c r="P178" s="6" t="s">
        <v>191</v>
      </c>
      <c r="Q178" s="6" t="s">
        <v>191</v>
      </c>
      <c r="R178" s="6" t="s">
        <v>187</v>
      </c>
      <c r="S178" s="108" t="s">
        <v>192</v>
      </c>
      <c r="T178" s="111">
        <f>VALUE(SUM(H178:J178))</f>
        <v>91</v>
      </c>
      <c r="U178" s="12">
        <f>IF(COUNTIF(N178:S178,"높음")&gt;=1,1,0)</f>
        <v>1</v>
      </c>
    </row>
    <row r="179" spans="1:25" x14ac:dyDescent="0.3">
      <c r="A179" s="11" t="s">
        <v>531</v>
      </c>
      <c r="B179" s="2">
        <v>10425</v>
      </c>
      <c r="C179" s="2">
        <v>1</v>
      </c>
      <c r="D179" s="2" t="s">
        <v>315</v>
      </c>
      <c r="E179" s="11" t="str">
        <f>IF(AND(U179&gt;0,VLOOKUP(B179,'이름 일치'!$B$3:$N$500,13,FALSE)&lt;&gt;""),"1상담"&amp;"/"&amp;VLOOKUP(B179,'이름 일치'!$B$3:$N$500,13,FALSE),IF(U179&gt;0,"1상담",IF(VLOOKUP(B179,'이름 일치'!$B$3:$N$500,13,FALSE)&lt;&gt;"",VLOOKUP(B179,'이름 일치'!$B$3:$N$500,13,FALSE),"")))</f>
        <v>1상담</v>
      </c>
      <c r="F179" s="11"/>
      <c r="G179" s="2"/>
      <c r="H179" s="13">
        <v>23</v>
      </c>
      <c r="I179" s="13">
        <v>23</v>
      </c>
      <c r="J179" s="13">
        <v>45</v>
      </c>
      <c r="K179" s="6">
        <v>0</v>
      </c>
      <c r="L179" s="6">
        <v>3</v>
      </c>
      <c r="M179" s="6">
        <v>3</v>
      </c>
      <c r="N179" s="6" t="s">
        <v>187</v>
      </c>
      <c r="O179" s="6" t="s">
        <v>191</v>
      </c>
      <c r="P179" s="6" t="s">
        <v>191</v>
      </c>
      <c r="Q179" s="6" t="s">
        <v>191</v>
      </c>
      <c r="R179" s="6" t="s">
        <v>187</v>
      </c>
      <c r="S179" s="108" t="s">
        <v>192</v>
      </c>
      <c r="T179" s="111">
        <f>VALUE(SUM(H179:J179))</f>
        <v>91</v>
      </c>
      <c r="U179" s="12">
        <f>IF(COUNTIF(N179:S179,"높음")&gt;=1,1,0)</f>
        <v>1</v>
      </c>
    </row>
    <row r="180" spans="1:25" x14ac:dyDescent="0.3">
      <c r="A180" s="2" t="s">
        <v>531</v>
      </c>
      <c r="B180" s="2">
        <v>10430</v>
      </c>
      <c r="C180" s="2">
        <v>1</v>
      </c>
      <c r="D180" s="2" t="s">
        <v>319</v>
      </c>
      <c r="E180" s="11" t="str">
        <f>IF(AND(U180&gt;0,VLOOKUP(B180,'이름 일치'!$B$3:$N$500,13,FALSE)&lt;&gt;""),"1상담"&amp;"/"&amp;VLOOKUP(B180,'이름 일치'!$B$3:$N$500,13,FALSE),IF(U180&gt;0,"1상담",IF(VLOOKUP(B180,'이름 일치'!$B$3:$N$500,13,FALSE)&lt;&gt;"",VLOOKUP(B180,'이름 일치'!$B$3:$N$500,13,FALSE),"")))</f>
        <v>1상담</v>
      </c>
      <c r="F180" s="11"/>
      <c r="G180" s="2"/>
      <c r="H180" s="13">
        <v>23</v>
      </c>
      <c r="I180" s="13">
        <v>23</v>
      </c>
      <c r="J180" s="13">
        <v>45</v>
      </c>
      <c r="K180" s="6">
        <v>0</v>
      </c>
      <c r="L180" s="6">
        <v>3</v>
      </c>
      <c r="M180" s="6">
        <v>3</v>
      </c>
      <c r="N180" s="6" t="s">
        <v>187</v>
      </c>
      <c r="O180" s="6" t="s">
        <v>191</v>
      </c>
      <c r="P180" s="6" t="s">
        <v>191</v>
      </c>
      <c r="Q180" s="6" t="s">
        <v>191</v>
      </c>
      <c r="R180" s="6" t="s">
        <v>187</v>
      </c>
      <c r="S180" s="108" t="s">
        <v>192</v>
      </c>
      <c r="T180" s="111">
        <f>VALUE(SUM(H180:J180))</f>
        <v>91</v>
      </c>
      <c r="U180" s="12">
        <f>IF(COUNTIF(N180:S180,"높음")&gt;=1,1,0)</f>
        <v>1</v>
      </c>
      <c r="X180" s="14"/>
      <c r="Y180" s="15"/>
    </row>
    <row r="181" spans="1:25" x14ac:dyDescent="0.3">
      <c r="A181" s="2" t="s">
        <v>531</v>
      </c>
      <c r="B181" s="2">
        <v>10516</v>
      </c>
      <c r="C181" s="2">
        <v>1</v>
      </c>
      <c r="D181" s="2" t="s">
        <v>334</v>
      </c>
      <c r="E181" s="11" t="str">
        <f>IF(AND(U181&gt;0,VLOOKUP(B181,'이름 일치'!$B$3:$N$500,13,FALSE)&lt;&gt;""),"1상담"&amp;"/"&amp;VLOOKUP(B181,'이름 일치'!$B$3:$N$500,13,FALSE),IF(U181&gt;0,"1상담",IF(VLOOKUP(B181,'이름 일치'!$B$3:$N$500,13,FALSE)&lt;&gt;"",VLOOKUP(B181,'이름 일치'!$B$3:$N$500,13,FALSE),"")))</f>
        <v>1상담</v>
      </c>
      <c r="F181" s="11"/>
      <c r="G181" s="2"/>
      <c r="H181" s="13">
        <v>23</v>
      </c>
      <c r="I181" s="13">
        <v>23</v>
      </c>
      <c r="J181" s="13">
        <v>45</v>
      </c>
      <c r="K181" s="6">
        <v>0</v>
      </c>
      <c r="L181" s="6">
        <v>3</v>
      </c>
      <c r="M181" s="6">
        <v>3</v>
      </c>
      <c r="N181" s="6" t="s">
        <v>187</v>
      </c>
      <c r="O181" s="6" t="s">
        <v>191</v>
      </c>
      <c r="P181" s="6" t="s">
        <v>191</v>
      </c>
      <c r="Q181" s="6" t="s">
        <v>191</v>
      </c>
      <c r="R181" s="6" t="s">
        <v>187</v>
      </c>
      <c r="S181" s="108" t="s">
        <v>192</v>
      </c>
      <c r="T181" s="111">
        <f>VALUE(SUM(H181:J181))</f>
        <v>91</v>
      </c>
      <c r="U181" s="12">
        <f>IF(COUNTIF(N181:S181,"높음")&gt;=1,1,0)</f>
        <v>1</v>
      </c>
    </row>
    <row r="182" spans="1:25" x14ac:dyDescent="0.3">
      <c r="A182" s="2" t="s">
        <v>531</v>
      </c>
      <c r="B182" s="2">
        <v>10520</v>
      </c>
      <c r="C182" s="2">
        <v>1</v>
      </c>
      <c r="D182" s="2" t="s">
        <v>338</v>
      </c>
      <c r="E182" s="11" t="str">
        <f>IF(AND(U182&gt;0,VLOOKUP(B182,'이름 일치'!$B$3:$N$500,13,FALSE)&lt;&gt;""),"1상담"&amp;"/"&amp;VLOOKUP(B182,'이름 일치'!$B$3:$N$500,13,FALSE),IF(U182&gt;0,"1상담",IF(VLOOKUP(B182,'이름 일치'!$B$3:$N$500,13,FALSE)&lt;&gt;"",VLOOKUP(B182,'이름 일치'!$B$3:$N$500,13,FALSE),"")))</f>
        <v>1상담</v>
      </c>
      <c r="F182" s="11"/>
      <c r="G182" s="2"/>
      <c r="H182" s="13">
        <v>23</v>
      </c>
      <c r="I182" s="13">
        <v>23</v>
      </c>
      <c r="J182" s="13">
        <v>45</v>
      </c>
      <c r="K182" s="6">
        <v>0</v>
      </c>
      <c r="L182" s="6">
        <v>3</v>
      </c>
      <c r="M182" s="6">
        <v>3</v>
      </c>
      <c r="N182" s="6" t="s">
        <v>187</v>
      </c>
      <c r="O182" s="6" t="s">
        <v>191</v>
      </c>
      <c r="P182" s="6" t="s">
        <v>191</v>
      </c>
      <c r="Q182" s="6" t="s">
        <v>191</v>
      </c>
      <c r="R182" s="6" t="s">
        <v>187</v>
      </c>
      <c r="S182" s="108" t="s">
        <v>192</v>
      </c>
      <c r="T182" s="111">
        <f>VALUE(SUM(H182:J182))</f>
        <v>91</v>
      </c>
      <c r="U182" s="12">
        <f>IF(COUNTIF(N182:S182,"높음")&gt;=1,1,0)</f>
        <v>1</v>
      </c>
    </row>
    <row r="183" spans="1:25" x14ac:dyDescent="0.3">
      <c r="A183" s="2" t="s">
        <v>531</v>
      </c>
      <c r="B183" s="2">
        <v>10524</v>
      </c>
      <c r="C183" s="2">
        <v>1</v>
      </c>
      <c r="D183" s="2" t="s">
        <v>342</v>
      </c>
      <c r="E183" s="11" t="str">
        <f>IF(AND(U183&gt;0,VLOOKUP(B183,'이름 일치'!$B$3:$N$500,13,FALSE)&lt;&gt;""),"1상담"&amp;"/"&amp;VLOOKUP(B183,'이름 일치'!$B$3:$N$500,13,FALSE),IF(U183&gt;0,"1상담",IF(VLOOKUP(B183,'이름 일치'!$B$3:$N$500,13,FALSE)&lt;&gt;"",VLOOKUP(B183,'이름 일치'!$B$3:$N$500,13,FALSE),"")))</f>
        <v>1상담</v>
      </c>
      <c r="F183" s="11"/>
      <c r="G183" s="2"/>
      <c r="H183" s="13">
        <v>23</v>
      </c>
      <c r="I183" s="13">
        <v>23</v>
      </c>
      <c r="J183" s="13">
        <v>45</v>
      </c>
      <c r="K183" s="6">
        <v>0</v>
      </c>
      <c r="L183" s="6">
        <v>3</v>
      </c>
      <c r="M183" s="6">
        <v>3</v>
      </c>
      <c r="N183" s="6" t="s">
        <v>187</v>
      </c>
      <c r="O183" s="6" t="s">
        <v>191</v>
      </c>
      <c r="P183" s="6" t="s">
        <v>191</v>
      </c>
      <c r="Q183" s="6" t="s">
        <v>191</v>
      </c>
      <c r="R183" s="6" t="s">
        <v>187</v>
      </c>
      <c r="S183" s="108" t="s">
        <v>192</v>
      </c>
      <c r="T183" s="111">
        <f>VALUE(SUM(H183:J183))</f>
        <v>91</v>
      </c>
      <c r="U183" s="12">
        <f>IF(COUNTIF(N183:S183,"높음")&gt;=1,1,0)</f>
        <v>1</v>
      </c>
    </row>
    <row r="184" spans="1:25" x14ac:dyDescent="0.3">
      <c r="A184" s="2" t="s">
        <v>531</v>
      </c>
      <c r="B184" s="2">
        <v>10528</v>
      </c>
      <c r="C184" s="2">
        <v>1</v>
      </c>
      <c r="D184" s="2" t="s">
        <v>346</v>
      </c>
      <c r="E184" s="11" t="str">
        <f>IF(AND(U184&gt;0,VLOOKUP(B184,'이름 일치'!$B$3:$N$500,13,FALSE)&lt;&gt;""),"1상담"&amp;"/"&amp;VLOOKUP(B184,'이름 일치'!$B$3:$N$500,13,FALSE),IF(U184&gt;0,"1상담",IF(VLOOKUP(B184,'이름 일치'!$B$3:$N$500,13,FALSE)&lt;&gt;"",VLOOKUP(B184,'이름 일치'!$B$3:$N$500,13,FALSE),"")))</f>
        <v>1상담</v>
      </c>
      <c r="F184" s="11"/>
      <c r="G184" s="2"/>
      <c r="H184" s="13">
        <v>23</v>
      </c>
      <c r="I184" s="13">
        <v>23</v>
      </c>
      <c r="J184" s="13">
        <v>45</v>
      </c>
      <c r="K184" s="6">
        <v>0</v>
      </c>
      <c r="L184" s="6">
        <v>3</v>
      </c>
      <c r="M184" s="6">
        <v>3</v>
      </c>
      <c r="N184" s="6" t="s">
        <v>187</v>
      </c>
      <c r="O184" s="6" t="s">
        <v>191</v>
      </c>
      <c r="P184" s="6" t="s">
        <v>191</v>
      </c>
      <c r="Q184" s="6" t="s">
        <v>191</v>
      </c>
      <c r="R184" s="6" t="s">
        <v>187</v>
      </c>
      <c r="S184" s="108" t="s">
        <v>192</v>
      </c>
      <c r="T184" s="111">
        <f>VALUE(SUM(H184:J184))</f>
        <v>91</v>
      </c>
      <c r="U184" s="12">
        <f>IF(COUNTIF(N184:S184,"높음")&gt;=1,1,0)</f>
        <v>1</v>
      </c>
    </row>
    <row r="185" spans="1:25" x14ac:dyDescent="0.3">
      <c r="A185" s="11" t="s">
        <v>531</v>
      </c>
      <c r="B185" s="2">
        <v>10618</v>
      </c>
      <c r="C185" s="2">
        <v>1</v>
      </c>
      <c r="D185" s="2" t="s">
        <v>364</v>
      </c>
      <c r="E185" s="11" t="str">
        <f>IF(AND(U185&gt;0,VLOOKUP(B185,'이름 일치'!$B$3:$N$500,13,FALSE)&lt;&gt;""),"1상담"&amp;"/"&amp;VLOOKUP(B185,'이름 일치'!$B$3:$N$500,13,FALSE),IF(U185&gt;0,"1상담",IF(VLOOKUP(B185,'이름 일치'!$B$3:$N$500,13,FALSE)&lt;&gt;"",VLOOKUP(B185,'이름 일치'!$B$3:$N$500,13,FALSE),"")))</f>
        <v>1상담</v>
      </c>
      <c r="F185" s="11"/>
      <c r="G185" s="2"/>
      <c r="H185" s="13">
        <v>23</v>
      </c>
      <c r="I185" s="13">
        <v>23</v>
      </c>
      <c r="J185" s="13">
        <v>45</v>
      </c>
      <c r="K185" s="6">
        <v>0</v>
      </c>
      <c r="L185" s="6">
        <v>3</v>
      </c>
      <c r="M185" s="6">
        <v>3</v>
      </c>
      <c r="N185" s="6" t="s">
        <v>187</v>
      </c>
      <c r="O185" s="6" t="s">
        <v>191</v>
      </c>
      <c r="P185" s="6" t="s">
        <v>191</v>
      </c>
      <c r="Q185" s="6" t="s">
        <v>191</v>
      </c>
      <c r="R185" s="6" t="s">
        <v>187</v>
      </c>
      <c r="S185" s="108" t="s">
        <v>192</v>
      </c>
      <c r="T185" s="111">
        <f>VALUE(SUM(H185:J185))</f>
        <v>91</v>
      </c>
      <c r="U185" s="12">
        <f>IF(COUNTIF(N185:S185,"높음")&gt;=1,1,0)</f>
        <v>1</v>
      </c>
    </row>
    <row r="186" spans="1:25" x14ac:dyDescent="0.3">
      <c r="A186" s="11" t="s">
        <v>531</v>
      </c>
      <c r="B186" s="2">
        <v>10622</v>
      </c>
      <c r="C186" s="2">
        <v>1</v>
      </c>
      <c r="D186" s="2" t="s">
        <v>368</v>
      </c>
      <c r="E186" s="11" t="str">
        <f>IF(AND(U186&gt;0,VLOOKUP(B186,'이름 일치'!$B$3:$N$500,13,FALSE)&lt;&gt;""),"1상담"&amp;"/"&amp;VLOOKUP(B186,'이름 일치'!$B$3:$N$500,13,FALSE),IF(U186&gt;0,"1상담",IF(VLOOKUP(B186,'이름 일치'!$B$3:$N$500,13,FALSE)&lt;&gt;"",VLOOKUP(B186,'이름 일치'!$B$3:$N$500,13,FALSE),"")))</f>
        <v>1상담</v>
      </c>
      <c r="F186" s="11"/>
      <c r="G186" s="2"/>
      <c r="H186" s="13">
        <v>23</v>
      </c>
      <c r="I186" s="13">
        <v>23</v>
      </c>
      <c r="J186" s="13">
        <v>45</v>
      </c>
      <c r="K186" s="6">
        <v>0</v>
      </c>
      <c r="L186" s="6">
        <v>3</v>
      </c>
      <c r="M186" s="6">
        <v>3</v>
      </c>
      <c r="N186" s="6" t="s">
        <v>187</v>
      </c>
      <c r="O186" s="6" t="s">
        <v>191</v>
      </c>
      <c r="P186" s="6" t="s">
        <v>191</v>
      </c>
      <c r="Q186" s="6" t="s">
        <v>191</v>
      </c>
      <c r="R186" s="6" t="s">
        <v>187</v>
      </c>
      <c r="S186" s="108" t="s">
        <v>192</v>
      </c>
      <c r="T186" s="111">
        <f>VALUE(SUM(H186:J186))</f>
        <v>91</v>
      </c>
      <c r="U186" s="12">
        <f>IF(COUNTIF(N186:S186,"높음")&gt;=1,1,0)</f>
        <v>1</v>
      </c>
    </row>
    <row r="187" spans="1:25" x14ac:dyDescent="0.3">
      <c r="A187" s="2" t="s">
        <v>531</v>
      </c>
      <c r="B187" s="2">
        <v>10626</v>
      </c>
      <c r="C187" s="2">
        <v>1</v>
      </c>
      <c r="D187" s="2" t="s">
        <v>372</v>
      </c>
      <c r="E187" s="11" t="str">
        <f>IF(AND(U187&gt;0,VLOOKUP(B187,'이름 일치'!$B$3:$N$500,13,FALSE)&lt;&gt;""),"1상담"&amp;"/"&amp;VLOOKUP(B187,'이름 일치'!$B$3:$N$500,13,FALSE),IF(U187&gt;0,"1상담",IF(VLOOKUP(B187,'이름 일치'!$B$3:$N$500,13,FALSE)&lt;&gt;"",VLOOKUP(B187,'이름 일치'!$B$3:$N$500,13,FALSE),"")))</f>
        <v>1상담</v>
      </c>
      <c r="F187" s="11"/>
      <c r="G187" s="2"/>
      <c r="H187" s="13">
        <v>23</v>
      </c>
      <c r="I187" s="13">
        <v>23</v>
      </c>
      <c r="J187" s="13">
        <v>45</v>
      </c>
      <c r="K187" s="6">
        <v>0</v>
      </c>
      <c r="L187" s="6">
        <v>3</v>
      </c>
      <c r="M187" s="6">
        <v>3</v>
      </c>
      <c r="N187" s="6" t="s">
        <v>187</v>
      </c>
      <c r="O187" s="6" t="s">
        <v>191</v>
      </c>
      <c r="P187" s="6" t="s">
        <v>191</v>
      </c>
      <c r="Q187" s="6" t="s">
        <v>191</v>
      </c>
      <c r="R187" s="6" t="s">
        <v>187</v>
      </c>
      <c r="S187" s="108" t="s">
        <v>192</v>
      </c>
      <c r="T187" s="111">
        <f>VALUE(SUM(H187:J187))</f>
        <v>91</v>
      </c>
      <c r="U187" s="12">
        <f>IF(COUNTIF(N187:S187,"높음")&gt;=1,1,0)</f>
        <v>1</v>
      </c>
    </row>
    <row r="188" spans="1:25" x14ac:dyDescent="0.3">
      <c r="A188" s="2" t="s">
        <v>531</v>
      </c>
      <c r="B188" s="2">
        <v>10717</v>
      </c>
      <c r="C188" s="2">
        <v>1</v>
      </c>
      <c r="D188" s="2" t="s">
        <v>392</v>
      </c>
      <c r="E188" s="11" t="str">
        <f>IF(AND(U188&gt;0,VLOOKUP(B188,'이름 일치'!$B$3:$N$500,13,FALSE)&lt;&gt;""),"1상담"&amp;"/"&amp;VLOOKUP(B188,'이름 일치'!$B$3:$N$500,13,FALSE),IF(U188&gt;0,"1상담",IF(VLOOKUP(B188,'이름 일치'!$B$3:$N$500,13,FALSE)&lt;&gt;"",VLOOKUP(B188,'이름 일치'!$B$3:$N$500,13,FALSE),"")))</f>
        <v>1상담</v>
      </c>
      <c r="F188" s="11"/>
      <c r="G188" s="2"/>
      <c r="H188" s="13">
        <v>23</v>
      </c>
      <c r="I188" s="13">
        <v>23</v>
      </c>
      <c r="J188" s="13">
        <v>45</v>
      </c>
      <c r="K188" s="6">
        <v>0</v>
      </c>
      <c r="L188" s="6">
        <v>3</v>
      </c>
      <c r="M188" s="6">
        <v>3</v>
      </c>
      <c r="N188" s="6" t="s">
        <v>187</v>
      </c>
      <c r="O188" s="6" t="s">
        <v>191</v>
      </c>
      <c r="P188" s="6" t="s">
        <v>191</v>
      </c>
      <c r="Q188" s="6" t="s">
        <v>191</v>
      </c>
      <c r="R188" s="6" t="s">
        <v>187</v>
      </c>
      <c r="S188" s="108" t="s">
        <v>192</v>
      </c>
      <c r="T188" s="111">
        <f>VALUE(SUM(H188:J188))</f>
        <v>91</v>
      </c>
      <c r="U188" s="12">
        <f>IF(COUNTIF(N188:S188,"높음")&gt;=1,1,0)</f>
        <v>1</v>
      </c>
    </row>
    <row r="189" spans="1:25" x14ac:dyDescent="0.3">
      <c r="A189" s="2" t="s">
        <v>531</v>
      </c>
      <c r="B189" s="2">
        <v>10721</v>
      </c>
      <c r="C189" s="2">
        <v>1</v>
      </c>
      <c r="D189" s="2" t="s">
        <v>396</v>
      </c>
      <c r="E189" s="11" t="str">
        <f>IF(AND(U189&gt;0,VLOOKUP(B189,'이름 일치'!$B$3:$N$500,13,FALSE)&lt;&gt;""),"1상담"&amp;"/"&amp;VLOOKUP(B189,'이름 일치'!$B$3:$N$500,13,FALSE),IF(U189&gt;0,"1상담",IF(VLOOKUP(B189,'이름 일치'!$B$3:$N$500,13,FALSE)&lt;&gt;"",VLOOKUP(B189,'이름 일치'!$B$3:$N$500,13,FALSE),"")))</f>
        <v>1상담</v>
      </c>
      <c r="F189" s="11"/>
      <c r="G189" s="2"/>
      <c r="H189" s="13">
        <v>23</v>
      </c>
      <c r="I189" s="13">
        <v>23</v>
      </c>
      <c r="J189" s="13">
        <v>45</v>
      </c>
      <c r="K189" s="6">
        <v>0</v>
      </c>
      <c r="L189" s="6">
        <v>3</v>
      </c>
      <c r="M189" s="6">
        <v>3</v>
      </c>
      <c r="N189" s="6" t="s">
        <v>187</v>
      </c>
      <c r="O189" s="6" t="s">
        <v>191</v>
      </c>
      <c r="P189" s="6" t="s">
        <v>191</v>
      </c>
      <c r="Q189" s="6" t="s">
        <v>191</v>
      </c>
      <c r="R189" s="6" t="s">
        <v>187</v>
      </c>
      <c r="S189" s="108" t="s">
        <v>192</v>
      </c>
      <c r="T189" s="111">
        <f>VALUE(SUM(H189:J189))</f>
        <v>91</v>
      </c>
      <c r="U189" s="12">
        <f>IF(COUNTIF(N189:S189,"높음")&gt;=1,1,0)</f>
        <v>1</v>
      </c>
    </row>
    <row r="190" spans="1:25" x14ac:dyDescent="0.3">
      <c r="A190" s="2" t="s">
        <v>531</v>
      </c>
      <c r="B190" s="2">
        <v>10725</v>
      </c>
      <c r="C190" s="2">
        <v>1</v>
      </c>
      <c r="D190" s="2" t="s">
        <v>400</v>
      </c>
      <c r="E190" s="11" t="str">
        <f>IF(AND(U190&gt;0,VLOOKUP(B190,'이름 일치'!$B$3:$N$500,13,FALSE)&lt;&gt;""),"1상담"&amp;"/"&amp;VLOOKUP(B190,'이름 일치'!$B$3:$N$500,13,FALSE),IF(U190&gt;0,"1상담",IF(VLOOKUP(B190,'이름 일치'!$B$3:$N$500,13,FALSE)&lt;&gt;"",VLOOKUP(B190,'이름 일치'!$B$3:$N$500,13,FALSE),"")))</f>
        <v>1상담</v>
      </c>
      <c r="F190" s="11"/>
      <c r="G190" s="2"/>
      <c r="H190" s="13">
        <v>23</v>
      </c>
      <c r="I190" s="13">
        <v>23</v>
      </c>
      <c r="J190" s="13">
        <v>45</v>
      </c>
      <c r="K190" s="6">
        <v>0</v>
      </c>
      <c r="L190" s="6">
        <v>3</v>
      </c>
      <c r="M190" s="6">
        <v>3</v>
      </c>
      <c r="N190" s="6" t="s">
        <v>187</v>
      </c>
      <c r="O190" s="6" t="s">
        <v>191</v>
      </c>
      <c r="P190" s="6" t="s">
        <v>191</v>
      </c>
      <c r="Q190" s="6" t="s">
        <v>191</v>
      </c>
      <c r="R190" s="6" t="s">
        <v>187</v>
      </c>
      <c r="S190" s="108" t="s">
        <v>192</v>
      </c>
      <c r="T190" s="111">
        <f>VALUE(SUM(H190:J190))</f>
        <v>91</v>
      </c>
      <c r="U190" s="12">
        <f>IF(COUNTIF(N190:S190,"높음")&gt;=1,1,0)</f>
        <v>1</v>
      </c>
    </row>
    <row r="191" spans="1:25" x14ac:dyDescent="0.3">
      <c r="A191" s="2" t="s">
        <v>531</v>
      </c>
      <c r="B191" s="2">
        <v>10729</v>
      </c>
      <c r="C191" s="2">
        <v>1</v>
      </c>
      <c r="D191" s="2" t="s">
        <v>404</v>
      </c>
      <c r="E191" s="11" t="str">
        <f>IF(AND(U191&gt;0,VLOOKUP(B191,'이름 일치'!$B$3:$N$500,13,FALSE)&lt;&gt;""),"1상담"&amp;"/"&amp;VLOOKUP(B191,'이름 일치'!$B$3:$N$500,13,FALSE),IF(U191&gt;0,"1상담",IF(VLOOKUP(B191,'이름 일치'!$B$3:$N$500,13,FALSE)&lt;&gt;"",VLOOKUP(B191,'이름 일치'!$B$3:$N$500,13,FALSE),"")))</f>
        <v>1상담</v>
      </c>
      <c r="F191" s="11"/>
      <c r="G191" s="2"/>
      <c r="H191" s="13">
        <v>23</v>
      </c>
      <c r="I191" s="13">
        <v>23</v>
      </c>
      <c r="J191" s="13">
        <v>45</v>
      </c>
      <c r="K191" s="6">
        <v>0</v>
      </c>
      <c r="L191" s="6">
        <v>3</v>
      </c>
      <c r="M191" s="6">
        <v>3</v>
      </c>
      <c r="N191" s="6" t="s">
        <v>187</v>
      </c>
      <c r="O191" s="6" t="s">
        <v>191</v>
      </c>
      <c r="P191" s="6" t="s">
        <v>191</v>
      </c>
      <c r="Q191" s="6" t="s">
        <v>191</v>
      </c>
      <c r="R191" s="6" t="s">
        <v>187</v>
      </c>
      <c r="S191" s="108" t="s">
        <v>192</v>
      </c>
      <c r="T191" s="111">
        <f>VALUE(SUM(H191:J191))</f>
        <v>91</v>
      </c>
      <c r="U191" s="12">
        <f>IF(COUNTIF(N191:S191,"높음")&gt;=1,1,0)</f>
        <v>1</v>
      </c>
    </row>
    <row r="192" spans="1:25" x14ac:dyDescent="0.3">
      <c r="A192" s="2" t="s">
        <v>531</v>
      </c>
      <c r="B192" s="2">
        <v>10816</v>
      </c>
      <c r="C192" s="2">
        <v>1</v>
      </c>
      <c r="D192" s="2" t="s">
        <v>420</v>
      </c>
      <c r="E192" s="11" t="str">
        <f>IF(AND(U192&gt;0,VLOOKUP(B192,'이름 일치'!$B$3:$N$500,13,FALSE)&lt;&gt;""),"1상담"&amp;"/"&amp;VLOOKUP(B192,'이름 일치'!$B$3:$N$500,13,FALSE),IF(U192&gt;0,"1상담",IF(VLOOKUP(B192,'이름 일치'!$B$3:$N$500,13,FALSE)&lt;&gt;"",VLOOKUP(B192,'이름 일치'!$B$3:$N$500,13,FALSE),"")))</f>
        <v>1상담</v>
      </c>
      <c r="F192" s="11"/>
      <c r="G192" s="2"/>
      <c r="H192" s="13">
        <v>23</v>
      </c>
      <c r="I192" s="13">
        <v>23</v>
      </c>
      <c r="J192" s="13">
        <v>45</v>
      </c>
      <c r="K192" s="6">
        <v>0</v>
      </c>
      <c r="L192" s="6">
        <v>3</v>
      </c>
      <c r="M192" s="6">
        <v>3</v>
      </c>
      <c r="N192" s="6" t="s">
        <v>187</v>
      </c>
      <c r="O192" s="6" t="s">
        <v>191</v>
      </c>
      <c r="P192" s="6" t="s">
        <v>191</v>
      </c>
      <c r="Q192" s="6" t="s">
        <v>191</v>
      </c>
      <c r="R192" s="6" t="s">
        <v>187</v>
      </c>
      <c r="S192" s="108" t="s">
        <v>192</v>
      </c>
      <c r="T192" s="111">
        <f>VALUE(SUM(H192:J192))</f>
        <v>91</v>
      </c>
      <c r="U192" s="12">
        <f>IF(COUNTIF(N192:S192,"높음")&gt;=1,1,0)</f>
        <v>1</v>
      </c>
    </row>
    <row r="193" spans="1:25" x14ac:dyDescent="0.3">
      <c r="A193" s="11" t="s">
        <v>531</v>
      </c>
      <c r="B193" s="2">
        <v>10820</v>
      </c>
      <c r="C193" s="2">
        <v>1</v>
      </c>
      <c r="D193" s="2" t="s">
        <v>424</v>
      </c>
      <c r="E193" s="11" t="str">
        <f>IF(AND(U193&gt;0,VLOOKUP(B193,'이름 일치'!$B$3:$N$500,13,FALSE)&lt;&gt;""),"1상담"&amp;"/"&amp;VLOOKUP(B193,'이름 일치'!$B$3:$N$500,13,FALSE),IF(U193&gt;0,"1상담",IF(VLOOKUP(B193,'이름 일치'!$B$3:$N$500,13,FALSE)&lt;&gt;"",VLOOKUP(B193,'이름 일치'!$B$3:$N$500,13,FALSE),"")))</f>
        <v>1상담</v>
      </c>
      <c r="F193" s="11"/>
      <c r="G193" s="2"/>
      <c r="H193" s="13">
        <v>23</v>
      </c>
      <c r="I193" s="13">
        <v>23</v>
      </c>
      <c r="J193" s="13">
        <v>45</v>
      </c>
      <c r="K193" s="6">
        <v>0</v>
      </c>
      <c r="L193" s="6">
        <v>3</v>
      </c>
      <c r="M193" s="6">
        <v>3</v>
      </c>
      <c r="N193" s="6" t="s">
        <v>187</v>
      </c>
      <c r="O193" s="6" t="s">
        <v>191</v>
      </c>
      <c r="P193" s="6" t="s">
        <v>191</v>
      </c>
      <c r="Q193" s="6" t="s">
        <v>191</v>
      </c>
      <c r="R193" s="6" t="s">
        <v>187</v>
      </c>
      <c r="S193" s="108" t="s">
        <v>192</v>
      </c>
      <c r="T193" s="111">
        <f>VALUE(SUM(H193:J193))</f>
        <v>91</v>
      </c>
      <c r="U193" s="12">
        <f>IF(COUNTIF(N193:S193,"높음")&gt;=1,1,0)</f>
        <v>1</v>
      </c>
    </row>
    <row r="194" spans="1:25" x14ac:dyDescent="0.3">
      <c r="A194" s="2" t="s">
        <v>531</v>
      </c>
      <c r="B194" s="2">
        <v>10824</v>
      </c>
      <c r="C194" s="2">
        <v>1</v>
      </c>
      <c r="D194" s="2" t="s">
        <v>428</v>
      </c>
      <c r="E194" s="11" t="str">
        <f>IF(AND(U194&gt;0,VLOOKUP(B194,'이름 일치'!$B$3:$N$500,13,FALSE)&lt;&gt;""),"1상담"&amp;"/"&amp;VLOOKUP(B194,'이름 일치'!$B$3:$N$500,13,FALSE),IF(U194&gt;0,"1상담",IF(VLOOKUP(B194,'이름 일치'!$B$3:$N$500,13,FALSE)&lt;&gt;"",VLOOKUP(B194,'이름 일치'!$B$3:$N$500,13,FALSE),"")))</f>
        <v>1상담</v>
      </c>
      <c r="F194" s="11"/>
      <c r="G194" s="2"/>
      <c r="H194" s="13">
        <v>23</v>
      </c>
      <c r="I194" s="13">
        <v>23</v>
      </c>
      <c r="J194" s="13">
        <v>45</v>
      </c>
      <c r="K194" s="6">
        <v>0</v>
      </c>
      <c r="L194" s="6">
        <v>3</v>
      </c>
      <c r="M194" s="6">
        <v>3</v>
      </c>
      <c r="N194" s="6" t="s">
        <v>187</v>
      </c>
      <c r="O194" s="6" t="s">
        <v>191</v>
      </c>
      <c r="P194" s="6" t="s">
        <v>191</v>
      </c>
      <c r="Q194" s="6" t="s">
        <v>191</v>
      </c>
      <c r="R194" s="6" t="s">
        <v>187</v>
      </c>
      <c r="S194" s="108" t="s">
        <v>192</v>
      </c>
      <c r="T194" s="111">
        <f>VALUE(SUM(H194:J194))</f>
        <v>91</v>
      </c>
      <c r="U194" s="12">
        <f>IF(COUNTIF(N194:S194,"높음")&gt;=1,1,0)</f>
        <v>1</v>
      </c>
    </row>
    <row r="195" spans="1:25" x14ac:dyDescent="0.3">
      <c r="A195" s="2" t="s">
        <v>531</v>
      </c>
      <c r="B195" s="2">
        <v>10828</v>
      </c>
      <c r="C195" s="2">
        <v>1</v>
      </c>
      <c r="D195" s="2" t="s">
        <v>432</v>
      </c>
      <c r="E195" s="11" t="str">
        <f>IF(AND(U195&gt;0,VLOOKUP(B195,'이름 일치'!$B$3:$N$500,13,FALSE)&lt;&gt;""),"1상담"&amp;"/"&amp;VLOOKUP(B195,'이름 일치'!$B$3:$N$500,13,FALSE),IF(U195&gt;0,"1상담",IF(VLOOKUP(B195,'이름 일치'!$B$3:$N$500,13,FALSE)&lt;&gt;"",VLOOKUP(B195,'이름 일치'!$B$3:$N$500,13,FALSE),"")))</f>
        <v>1상담</v>
      </c>
      <c r="F195" s="11"/>
      <c r="G195" s="2"/>
      <c r="H195" s="13">
        <v>23</v>
      </c>
      <c r="I195" s="13">
        <v>23</v>
      </c>
      <c r="J195" s="13">
        <v>45</v>
      </c>
      <c r="K195" s="6">
        <v>0</v>
      </c>
      <c r="L195" s="6">
        <v>3</v>
      </c>
      <c r="M195" s="6">
        <v>3</v>
      </c>
      <c r="N195" s="6" t="s">
        <v>187</v>
      </c>
      <c r="O195" s="6" t="s">
        <v>191</v>
      </c>
      <c r="P195" s="6" t="s">
        <v>191</v>
      </c>
      <c r="Q195" s="6" t="s">
        <v>191</v>
      </c>
      <c r="R195" s="6" t="s">
        <v>187</v>
      </c>
      <c r="S195" s="108" t="s">
        <v>192</v>
      </c>
      <c r="T195" s="111">
        <f>VALUE(SUM(H195:J195))</f>
        <v>91</v>
      </c>
      <c r="U195" s="12">
        <f>IF(COUNTIF(N195:S195,"높음")&gt;=1,1,0)</f>
        <v>1</v>
      </c>
    </row>
    <row r="196" spans="1:25" x14ac:dyDescent="0.3">
      <c r="A196" s="11" t="s">
        <v>531</v>
      </c>
      <c r="B196" s="2">
        <v>10919</v>
      </c>
      <c r="C196" s="2">
        <v>1</v>
      </c>
      <c r="D196" s="2" t="s">
        <v>450</v>
      </c>
      <c r="E196" s="11" t="str">
        <f>IF(AND(U196&gt;0,VLOOKUP(B196,'이름 일치'!$B$3:$N$500,13,FALSE)&lt;&gt;""),"1상담"&amp;"/"&amp;VLOOKUP(B196,'이름 일치'!$B$3:$N$500,13,FALSE),IF(U196&gt;0,"1상담",IF(VLOOKUP(B196,'이름 일치'!$B$3:$N$500,13,FALSE)&lt;&gt;"",VLOOKUP(B196,'이름 일치'!$B$3:$N$500,13,FALSE),"")))</f>
        <v>1상담</v>
      </c>
      <c r="F196" s="11"/>
      <c r="G196" s="2"/>
      <c r="H196" s="13">
        <v>23</v>
      </c>
      <c r="I196" s="13">
        <v>23</v>
      </c>
      <c r="J196" s="13">
        <v>45</v>
      </c>
      <c r="K196" s="6">
        <v>0</v>
      </c>
      <c r="L196" s="6">
        <v>3</v>
      </c>
      <c r="M196" s="6">
        <v>3</v>
      </c>
      <c r="N196" s="6" t="s">
        <v>187</v>
      </c>
      <c r="O196" s="6" t="s">
        <v>191</v>
      </c>
      <c r="P196" s="6" t="s">
        <v>191</v>
      </c>
      <c r="Q196" s="6" t="s">
        <v>191</v>
      </c>
      <c r="R196" s="6" t="s">
        <v>187</v>
      </c>
      <c r="S196" s="108" t="s">
        <v>192</v>
      </c>
      <c r="T196" s="111">
        <f>VALUE(SUM(H196:J196))</f>
        <v>91</v>
      </c>
      <c r="U196" s="12">
        <f>IF(COUNTIF(N196:S196,"높음")&gt;=1,1,0)</f>
        <v>1</v>
      </c>
    </row>
    <row r="197" spans="1:25" x14ac:dyDescent="0.3">
      <c r="A197" s="2" t="s">
        <v>531</v>
      </c>
      <c r="B197" s="2">
        <v>10923</v>
      </c>
      <c r="C197" s="2">
        <v>1</v>
      </c>
      <c r="D197" s="2" t="s">
        <v>454</v>
      </c>
      <c r="E197" s="11" t="str">
        <f>IF(AND(U197&gt;0,VLOOKUP(B197,'이름 일치'!$B$3:$N$500,13,FALSE)&lt;&gt;""),"1상담"&amp;"/"&amp;VLOOKUP(B197,'이름 일치'!$B$3:$N$500,13,FALSE),IF(U197&gt;0,"1상담",IF(VLOOKUP(B197,'이름 일치'!$B$3:$N$500,13,FALSE)&lt;&gt;"",VLOOKUP(B197,'이름 일치'!$B$3:$N$500,13,FALSE),"")))</f>
        <v>1상담</v>
      </c>
      <c r="F197" s="11"/>
      <c r="G197" s="2"/>
      <c r="H197" s="13">
        <v>23</v>
      </c>
      <c r="I197" s="13">
        <v>23</v>
      </c>
      <c r="J197" s="13">
        <v>45</v>
      </c>
      <c r="K197" s="6">
        <v>0</v>
      </c>
      <c r="L197" s="6">
        <v>3</v>
      </c>
      <c r="M197" s="6">
        <v>3</v>
      </c>
      <c r="N197" s="6" t="s">
        <v>187</v>
      </c>
      <c r="O197" s="6" t="s">
        <v>191</v>
      </c>
      <c r="P197" s="6" t="s">
        <v>191</v>
      </c>
      <c r="Q197" s="6" t="s">
        <v>191</v>
      </c>
      <c r="R197" s="6" t="s">
        <v>187</v>
      </c>
      <c r="S197" s="108" t="s">
        <v>192</v>
      </c>
      <c r="T197" s="111">
        <f>VALUE(SUM(H197:J197))</f>
        <v>91</v>
      </c>
      <c r="U197" s="12">
        <f>IF(COUNTIF(N197:S197,"높음")&gt;=1,1,0)</f>
        <v>1</v>
      </c>
    </row>
    <row r="198" spans="1:25" x14ac:dyDescent="0.3">
      <c r="A198" s="11" t="s">
        <v>531</v>
      </c>
      <c r="B198" s="2">
        <v>10927</v>
      </c>
      <c r="C198" s="2">
        <v>1</v>
      </c>
      <c r="D198" s="2" t="s">
        <v>458</v>
      </c>
      <c r="E198" s="11" t="str">
        <f>IF(AND(U198&gt;0,VLOOKUP(B198,'이름 일치'!$B$3:$N$500,13,FALSE)&lt;&gt;""),"1상담"&amp;"/"&amp;VLOOKUP(B198,'이름 일치'!$B$3:$N$500,13,FALSE),IF(U198&gt;0,"1상담",IF(VLOOKUP(B198,'이름 일치'!$B$3:$N$500,13,FALSE)&lt;&gt;"",VLOOKUP(B198,'이름 일치'!$B$3:$N$500,13,FALSE),"")))</f>
        <v>1상담</v>
      </c>
      <c r="F198" s="11"/>
      <c r="G198" s="2"/>
      <c r="H198" s="13">
        <v>23</v>
      </c>
      <c r="I198" s="13">
        <v>23</v>
      </c>
      <c r="J198" s="13">
        <v>45</v>
      </c>
      <c r="K198" s="6">
        <v>0</v>
      </c>
      <c r="L198" s="6">
        <v>3</v>
      </c>
      <c r="M198" s="6">
        <v>3</v>
      </c>
      <c r="N198" s="6" t="s">
        <v>187</v>
      </c>
      <c r="O198" s="6" t="s">
        <v>191</v>
      </c>
      <c r="P198" s="6" t="s">
        <v>191</v>
      </c>
      <c r="Q198" s="6" t="s">
        <v>191</v>
      </c>
      <c r="R198" s="6" t="s">
        <v>187</v>
      </c>
      <c r="S198" s="108" t="s">
        <v>192</v>
      </c>
      <c r="T198" s="111">
        <f>VALUE(SUM(H198:J198))</f>
        <v>91</v>
      </c>
      <c r="U198" s="12">
        <f>IF(COUNTIF(N198:S198,"높음")&gt;=1,1,0)</f>
        <v>1</v>
      </c>
      <c r="X198" s="14"/>
      <c r="Y198" s="15"/>
    </row>
    <row r="199" spans="1:25" x14ac:dyDescent="0.3">
      <c r="A199" s="11" t="s">
        <v>531</v>
      </c>
      <c r="B199" s="2">
        <v>11017</v>
      </c>
      <c r="C199" s="2">
        <v>1</v>
      </c>
      <c r="D199" s="2" t="s">
        <v>476</v>
      </c>
      <c r="E199" s="11" t="str">
        <f>IF(AND(U199&gt;0,VLOOKUP(B199,'이름 일치'!$B$3:$N$500,13,FALSE)&lt;&gt;""),"1상담"&amp;"/"&amp;VLOOKUP(B199,'이름 일치'!$B$3:$N$500,13,FALSE),IF(U199&gt;0,"1상담",IF(VLOOKUP(B199,'이름 일치'!$B$3:$N$500,13,FALSE)&lt;&gt;"",VLOOKUP(B199,'이름 일치'!$B$3:$N$500,13,FALSE),"")))</f>
        <v>1상담</v>
      </c>
      <c r="F199" s="11"/>
      <c r="G199" s="2"/>
      <c r="H199" s="13">
        <v>23</v>
      </c>
      <c r="I199" s="13">
        <v>23</v>
      </c>
      <c r="J199" s="13">
        <v>45</v>
      </c>
      <c r="K199" s="6">
        <v>0</v>
      </c>
      <c r="L199" s="6">
        <v>3</v>
      </c>
      <c r="M199" s="6">
        <v>3</v>
      </c>
      <c r="N199" s="6" t="s">
        <v>187</v>
      </c>
      <c r="O199" s="6" t="s">
        <v>191</v>
      </c>
      <c r="P199" s="6" t="s">
        <v>191</v>
      </c>
      <c r="Q199" s="6" t="s">
        <v>191</v>
      </c>
      <c r="R199" s="6" t="s">
        <v>187</v>
      </c>
      <c r="S199" s="108" t="s">
        <v>192</v>
      </c>
      <c r="T199" s="111">
        <f>VALUE(SUM(H199:J199))</f>
        <v>91</v>
      </c>
      <c r="U199" s="12">
        <f>IF(COUNTIF(N199:S199,"높음")&gt;=1,1,0)</f>
        <v>1</v>
      </c>
    </row>
    <row r="200" spans="1:25" x14ac:dyDescent="0.3">
      <c r="A200" s="2" t="s">
        <v>531</v>
      </c>
      <c r="B200" s="2">
        <v>11022</v>
      </c>
      <c r="C200" s="2">
        <v>1</v>
      </c>
      <c r="D200" s="2" t="s">
        <v>480</v>
      </c>
      <c r="E200" s="11" t="str">
        <f>IF(AND(U200&gt;0,VLOOKUP(B200,'이름 일치'!$B$3:$N$500,13,FALSE)&lt;&gt;""),"1상담"&amp;"/"&amp;VLOOKUP(B200,'이름 일치'!$B$3:$N$500,13,FALSE),IF(U200&gt;0,"1상담",IF(VLOOKUP(B200,'이름 일치'!$B$3:$N$500,13,FALSE)&lt;&gt;"",VLOOKUP(B200,'이름 일치'!$B$3:$N$500,13,FALSE),"")))</f>
        <v>1상담</v>
      </c>
      <c r="F200" s="11"/>
      <c r="G200" s="2"/>
      <c r="H200" s="13">
        <v>23</v>
      </c>
      <c r="I200" s="13">
        <v>23</v>
      </c>
      <c r="J200" s="13">
        <v>45</v>
      </c>
      <c r="K200" s="6">
        <v>0</v>
      </c>
      <c r="L200" s="6">
        <v>3</v>
      </c>
      <c r="M200" s="6">
        <v>3</v>
      </c>
      <c r="N200" s="6" t="s">
        <v>187</v>
      </c>
      <c r="O200" s="6" t="s">
        <v>191</v>
      </c>
      <c r="P200" s="6" t="s">
        <v>191</v>
      </c>
      <c r="Q200" s="6" t="s">
        <v>191</v>
      </c>
      <c r="R200" s="6" t="s">
        <v>187</v>
      </c>
      <c r="S200" s="108" t="s">
        <v>192</v>
      </c>
      <c r="T200" s="111">
        <f>VALUE(SUM(H200:J200))</f>
        <v>91</v>
      </c>
      <c r="U200" s="12">
        <f>IF(COUNTIF(N200:S200,"높음")&gt;=1,1,0)</f>
        <v>1</v>
      </c>
    </row>
    <row r="201" spans="1:25" x14ac:dyDescent="0.3">
      <c r="A201" s="2" t="s">
        <v>531</v>
      </c>
      <c r="B201" s="2">
        <v>11026</v>
      </c>
      <c r="C201" s="2">
        <v>1</v>
      </c>
      <c r="D201" s="2" t="s">
        <v>484</v>
      </c>
      <c r="E201" s="11" t="str">
        <f>IF(AND(U201&gt;0,VLOOKUP(B201,'이름 일치'!$B$3:$N$500,13,FALSE)&lt;&gt;""),"1상담"&amp;"/"&amp;VLOOKUP(B201,'이름 일치'!$B$3:$N$500,13,FALSE),IF(U201&gt;0,"1상담",IF(VLOOKUP(B201,'이름 일치'!$B$3:$N$500,13,FALSE)&lt;&gt;"",VLOOKUP(B201,'이름 일치'!$B$3:$N$500,13,FALSE),"")))</f>
        <v>1상담</v>
      </c>
      <c r="F201" s="11"/>
      <c r="G201" s="2"/>
      <c r="H201" s="13">
        <v>23</v>
      </c>
      <c r="I201" s="13">
        <v>23</v>
      </c>
      <c r="J201" s="13">
        <v>45</v>
      </c>
      <c r="K201" s="6">
        <v>0</v>
      </c>
      <c r="L201" s="6">
        <v>3</v>
      </c>
      <c r="M201" s="6">
        <v>3</v>
      </c>
      <c r="N201" s="6" t="s">
        <v>187</v>
      </c>
      <c r="O201" s="6" t="s">
        <v>191</v>
      </c>
      <c r="P201" s="6" t="s">
        <v>191</v>
      </c>
      <c r="Q201" s="6" t="s">
        <v>191</v>
      </c>
      <c r="R201" s="6" t="s">
        <v>187</v>
      </c>
      <c r="S201" s="108" t="s">
        <v>192</v>
      </c>
      <c r="T201" s="111">
        <f>VALUE(SUM(H201:J201))</f>
        <v>91</v>
      </c>
      <c r="U201" s="12">
        <f>IF(COUNTIF(N201:S201,"높음")&gt;=1,1,0)</f>
        <v>1</v>
      </c>
    </row>
    <row r="202" spans="1:25" x14ac:dyDescent="0.3">
      <c r="A202" s="2" t="s">
        <v>531</v>
      </c>
      <c r="B202" s="2">
        <v>10119</v>
      </c>
      <c r="C202" s="2">
        <v>1</v>
      </c>
      <c r="D202" s="2" t="s">
        <v>221</v>
      </c>
      <c r="E202" s="11" t="str">
        <f>IF(AND(U202&gt;0,VLOOKUP(B202,'이름 일치'!$B$3:$N$500,13,FALSE)&lt;&gt;""),"1상담"&amp;"/"&amp;VLOOKUP(B202,'이름 일치'!$B$3:$N$500,13,FALSE),IF(U202&gt;0,"1상담",IF(VLOOKUP(B202,'이름 일치'!$B$3:$N$500,13,FALSE)&lt;&gt;"",VLOOKUP(B202,'이름 일치'!$B$3:$N$500,13,FALSE),"")))</f>
        <v>1상담</v>
      </c>
      <c r="F202" s="11"/>
      <c r="G202" s="2"/>
      <c r="H202" s="13">
        <v>77</v>
      </c>
      <c r="I202" s="13">
        <v>65</v>
      </c>
      <c r="J202" s="13">
        <v>76</v>
      </c>
      <c r="K202" s="6">
        <v>0</v>
      </c>
      <c r="L202" s="6">
        <v>5</v>
      </c>
      <c r="M202" s="6">
        <v>0</v>
      </c>
      <c r="N202" s="6" t="s">
        <v>192</v>
      </c>
      <c r="O202" s="6" t="s">
        <v>192</v>
      </c>
      <c r="P202" s="6" t="s">
        <v>192</v>
      </c>
      <c r="Q202" s="6" t="s">
        <v>192</v>
      </c>
      <c r="R202" s="6" t="s">
        <v>192</v>
      </c>
      <c r="S202" s="108" t="s">
        <v>192</v>
      </c>
      <c r="T202" s="111">
        <f>VALUE(SUM(H202:J202))</f>
        <v>218</v>
      </c>
      <c r="U202" s="12">
        <f>IF(COUNTIF(N202:S202,"높음")&gt;=1,1,0)</f>
        <v>1</v>
      </c>
    </row>
    <row r="203" spans="1:25" x14ac:dyDescent="0.3">
      <c r="A203" s="2" t="s">
        <v>531</v>
      </c>
      <c r="B203" s="2">
        <v>10123</v>
      </c>
      <c r="C203" s="2">
        <v>1</v>
      </c>
      <c r="D203" s="2" t="s">
        <v>225</v>
      </c>
      <c r="E203" s="11" t="str">
        <f>IF(AND(U203&gt;0,VLOOKUP(B203,'이름 일치'!$B$3:$N$500,13,FALSE)&lt;&gt;""),"1상담"&amp;"/"&amp;VLOOKUP(B203,'이름 일치'!$B$3:$N$500,13,FALSE),IF(U203&gt;0,"1상담",IF(VLOOKUP(B203,'이름 일치'!$B$3:$N$500,13,FALSE)&lt;&gt;"",VLOOKUP(B203,'이름 일치'!$B$3:$N$500,13,FALSE),"")))</f>
        <v>1상담</v>
      </c>
      <c r="F203" s="11"/>
      <c r="G203" s="2"/>
      <c r="H203" s="13">
        <v>77</v>
      </c>
      <c r="I203" s="13">
        <v>65</v>
      </c>
      <c r="J203" s="13">
        <v>76</v>
      </c>
      <c r="K203" s="6">
        <v>0</v>
      </c>
      <c r="L203" s="6">
        <v>5</v>
      </c>
      <c r="M203" s="6">
        <v>0</v>
      </c>
      <c r="N203" s="6" t="s">
        <v>192</v>
      </c>
      <c r="O203" s="6" t="s">
        <v>192</v>
      </c>
      <c r="P203" s="6" t="s">
        <v>192</v>
      </c>
      <c r="Q203" s="6" t="s">
        <v>192</v>
      </c>
      <c r="R203" s="6" t="s">
        <v>192</v>
      </c>
      <c r="S203" s="108" t="s">
        <v>192</v>
      </c>
      <c r="T203" s="111">
        <f>VALUE(SUM(H203:J203))</f>
        <v>218</v>
      </c>
      <c r="U203" s="12">
        <f>IF(COUNTIF(N203:S203,"높음")&gt;=1,1,0)</f>
        <v>1</v>
      </c>
    </row>
    <row r="204" spans="1:25" x14ac:dyDescent="0.3">
      <c r="A204" s="2" t="s">
        <v>531</v>
      </c>
      <c r="B204" s="2">
        <v>10127</v>
      </c>
      <c r="C204" s="2">
        <v>1</v>
      </c>
      <c r="D204" s="2" t="s">
        <v>229</v>
      </c>
      <c r="E204" s="11" t="str">
        <f>IF(AND(U204&gt;0,VLOOKUP(B204,'이름 일치'!$B$3:$N$500,13,FALSE)&lt;&gt;""),"1상담"&amp;"/"&amp;VLOOKUP(B204,'이름 일치'!$B$3:$N$500,13,FALSE),IF(U204&gt;0,"1상담",IF(VLOOKUP(B204,'이름 일치'!$B$3:$N$500,13,FALSE)&lt;&gt;"",VLOOKUP(B204,'이름 일치'!$B$3:$N$500,13,FALSE),"")))</f>
        <v>1상담</v>
      </c>
      <c r="F204" s="11"/>
      <c r="G204" s="2"/>
      <c r="H204" s="13">
        <v>77</v>
      </c>
      <c r="I204" s="13">
        <v>65</v>
      </c>
      <c r="J204" s="13">
        <v>76</v>
      </c>
      <c r="K204" s="6">
        <v>0</v>
      </c>
      <c r="L204" s="6">
        <v>5</v>
      </c>
      <c r="M204" s="6">
        <v>0</v>
      </c>
      <c r="N204" s="6" t="s">
        <v>192</v>
      </c>
      <c r="O204" s="6" t="s">
        <v>192</v>
      </c>
      <c r="P204" s="6" t="s">
        <v>192</v>
      </c>
      <c r="Q204" s="6" t="s">
        <v>192</v>
      </c>
      <c r="R204" s="6" t="s">
        <v>192</v>
      </c>
      <c r="S204" s="108" t="s">
        <v>192</v>
      </c>
      <c r="T204" s="111">
        <f>VALUE(SUM(H204:J204))</f>
        <v>218</v>
      </c>
      <c r="U204" s="12">
        <f>IF(COUNTIF(N204:S204,"높음")&gt;=1,1,0)</f>
        <v>1</v>
      </c>
    </row>
    <row r="205" spans="1:25" x14ac:dyDescent="0.3">
      <c r="A205" s="2" t="s">
        <v>531</v>
      </c>
      <c r="B205" s="2">
        <v>10218</v>
      </c>
      <c r="C205" s="2">
        <v>1</v>
      </c>
      <c r="D205" s="2" t="s">
        <v>249</v>
      </c>
      <c r="E205" s="11" t="str">
        <f>IF(AND(U205&gt;0,VLOOKUP(B205,'이름 일치'!$B$3:$N$500,13,FALSE)&lt;&gt;""),"1상담"&amp;"/"&amp;VLOOKUP(B205,'이름 일치'!$B$3:$N$500,13,FALSE),IF(U205&gt;0,"1상담",IF(VLOOKUP(B205,'이름 일치'!$B$3:$N$500,13,FALSE)&lt;&gt;"",VLOOKUP(B205,'이름 일치'!$B$3:$N$500,13,FALSE),"")))</f>
        <v>1상담</v>
      </c>
      <c r="F205" s="11"/>
      <c r="G205" s="2"/>
      <c r="H205" s="13">
        <v>77</v>
      </c>
      <c r="I205" s="13">
        <v>65</v>
      </c>
      <c r="J205" s="13">
        <v>76</v>
      </c>
      <c r="K205" s="6">
        <v>0</v>
      </c>
      <c r="L205" s="6">
        <v>5</v>
      </c>
      <c r="M205" s="6">
        <v>0</v>
      </c>
      <c r="N205" s="6" t="s">
        <v>192</v>
      </c>
      <c r="O205" s="6" t="s">
        <v>192</v>
      </c>
      <c r="P205" s="6" t="s">
        <v>192</v>
      </c>
      <c r="Q205" s="6" t="s">
        <v>192</v>
      </c>
      <c r="R205" s="6" t="s">
        <v>192</v>
      </c>
      <c r="S205" s="108" t="s">
        <v>192</v>
      </c>
      <c r="T205" s="111">
        <f>VALUE(SUM(H205:J205))</f>
        <v>218</v>
      </c>
      <c r="U205" s="12">
        <f>IF(COUNTIF(N205:S205,"높음")&gt;=1,1,0)</f>
        <v>1</v>
      </c>
    </row>
    <row r="206" spans="1:25" x14ac:dyDescent="0.3">
      <c r="A206" s="2" t="s">
        <v>531</v>
      </c>
      <c r="B206" s="2">
        <v>10222</v>
      </c>
      <c r="C206" s="2">
        <v>1</v>
      </c>
      <c r="D206" s="2" t="s">
        <v>253</v>
      </c>
      <c r="E206" s="11" t="str">
        <f>IF(AND(U206&gt;0,VLOOKUP(B206,'이름 일치'!$B$3:$N$500,13,FALSE)&lt;&gt;""),"1상담"&amp;"/"&amp;VLOOKUP(B206,'이름 일치'!$B$3:$N$500,13,FALSE),IF(U206&gt;0,"1상담",IF(VLOOKUP(B206,'이름 일치'!$B$3:$N$500,13,FALSE)&lt;&gt;"",VLOOKUP(B206,'이름 일치'!$B$3:$N$500,13,FALSE),"")))</f>
        <v>1상담</v>
      </c>
      <c r="F206" s="11"/>
      <c r="G206" s="2"/>
      <c r="H206" s="13">
        <v>77</v>
      </c>
      <c r="I206" s="13">
        <v>65</v>
      </c>
      <c r="J206" s="13">
        <v>76</v>
      </c>
      <c r="K206" s="6">
        <v>0</v>
      </c>
      <c r="L206" s="6">
        <v>5</v>
      </c>
      <c r="M206" s="6">
        <v>0</v>
      </c>
      <c r="N206" s="6" t="s">
        <v>192</v>
      </c>
      <c r="O206" s="6" t="s">
        <v>192</v>
      </c>
      <c r="P206" s="6" t="s">
        <v>192</v>
      </c>
      <c r="Q206" s="6" t="s">
        <v>192</v>
      </c>
      <c r="R206" s="6" t="s">
        <v>192</v>
      </c>
      <c r="S206" s="108" t="s">
        <v>192</v>
      </c>
      <c r="T206" s="111">
        <f>VALUE(SUM(H206:J206))</f>
        <v>218</v>
      </c>
      <c r="U206" s="12">
        <f>IF(COUNTIF(N206:S206,"높음")&gt;=1,1,0)</f>
        <v>1</v>
      </c>
    </row>
    <row r="207" spans="1:25" x14ac:dyDescent="0.3">
      <c r="A207" s="2" t="s">
        <v>531</v>
      </c>
      <c r="B207" s="2">
        <v>10227</v>
      </c>
      <c r="C207" s="2">
        <v>1</v>
      </c>
      <c r="D207" s="2" t="s">
        <v>257</v>
      </c>
      <c r="E207" s="11" t="str">
        <f>IF(AND(U207&gt;0,VLOOKUP(B207,'이름 일치'!$B$3:$N$500,13,FALSE)&lt;&gt;""),"1상담"&amp;"/"&amp;VLOOKUP(B207,'이름 일치'!$B$3:$N$500,13,FALSE),IF(U207&gt;0,"1상담",IF(VLOOKUP(B207,'이름 일치'!$B$3:$N$500,13,FALSE)&lt;&gt;"",VLOOKUP(B207,'이름 일치'!$B$3:$N$500,13,FALSE),"")))</f>
        <v>1상담</v>
      </c>
      <c r="F207" s="11"/>
      <c r="G207" s="2"/>
      <c r="H207" s="13">
        <v>77</v>
      </c>
      <c r="I207" s="13">
        <v>65</v>
      </c>
      <c r="J207" s="13">
        <v>76</v>
      </c>
      <c r="K207" s="6">
        <v>0</v>
      </c>
      <c r="L207" s="6">
        <v>5</v>
      </c>
      <c r="M207" s="6">
        <v>0</v>
      </c>
      <c r="N207" s="6" t="s">
        <v>192</v>
      </c>
      <c r="O207" s="6" t="s">
        <v>192</v>
      </c>
      <c r="P207" s="6" t="s">
        <v>192</v>
      </c>
      <c r="Q207" s="6" t="s">
        <v>192</v>
      </c>
      <c r="R207" s="6" t="s">
        <v>192</v>
      </c>
      <c r="S207" s="108" t="s">
        <v>192</v>
      </c>
      <c r="T207" s="111">
        <f>VALUE(SUM(H207:J207))</f>
        <v>218</v>
      </c>
      <c r="U207" s="12">
        <f>IF(COUNTIF(N207:S207,"높음")&gt;=1,1,0)</f>
        <v>1</v>
      </c>
    </row>
    <row r="208" spans="1:25" x14ac:dyDescent="0.3">
      <c r="A208" s="2" t="s">
        <v>531</v>
      </c>
      <c r="B208" s="2">
        <v>10231</v>
      </c>
      <c r="C208" s="2">
        <v>1</v>
      </c>
      <c r="D208" s="2" t="s">
        <v>261</v>
      </c>
      <c r="E208" s="11" t="str">
        <f>IF(AND(U208&gt;0,VLOOKUP(B208,'이름 일치'!$B$3:$N$500,13,FALSE)&lt;&gt;""),"1상담"&amp;"/"&amp;VLOOKUP(B208,'이름 일치'!$B$3:$N$500,13,FALSE),IF(U208&gt;0,"1상담",IF(VLOOKUP(B208,'이름 일치'!$B$3:$N$500,13,FALSE)&lt;&gt;"",VLOOKUP(B208,'이름 일치'!$B$3:$N$500,13,FALSE),"")))</f>
        <v>1상담</v>
      </c>
      <c r="F208" s="11"/>
      <c r="G208" s="2"/>
      <c r="H208" s="13">
        <v>77</v>
      </c>
      <c r="I208" s="13">
        <v>65</v>
      </c>
      <c r="J208" s="13">
        <v>76</v>
      </c>
      <c r="K208" s="6">
        <v>0</v>
      </c>
      <c r="L208" s="6">
        <v>5</v>
      </c>
      <c r="M208" s="6">
        <v>0</v>
      </c>
      <c r="N208" s="6" t="s">
        <v>192</v>
      </c>
      <c r="O208" s="6" t="s">
        <v>192</v>
      </c>
      <c r="P208" s="6" t="s">
        <v>192</v>
      </c>
      <c r="Q208" s="6" t="s">
        <v>192</v>
      </c>
      <c r="R208" s="6" t="s">
        <v>192</v>
      </c>
      <c r="S208" s="108" t="s">
        <v>192</v>
      </c>
      <c r="T208" s="111">
        <f>VALUE(SUM(H208:J208))</f>
        <v>218</v>
      </c>
      <c r="U208" s="12">
        <f>IF(COUNTIF(N208:S208,"높음")&gt;=1,1,0)</f>
        <v>1</v>
      </c>
    </row>
    <row r="209" spans="1:25" x14ac:dyDescent="0.3">
      <c r="A209" s="2" t="s">
        <v>531</v>
      </c>
      <c r="B209" s="2">
        <v>10316</v>
      </c>
      <c r="C209" s="2">
        <v>1</v>
      </c>
      <c r="D209" s="2" t="s">
        <v>277</v>
      </c>
      <c r="E209" s="11" t="str">
        <f>IF(AND(U209&gt;0,VLOOKUP(B209,'이름 일치'!$B$3:$N$500,13,FALSE)&lt;&gt;""),"1상담"&amp;"/"&amp;VLOOKUP(B209,'이름 일치'!$B$3:$N$500,13,FALSE),IF(U209&gt;0,"1상담",IF(VLOOKUP(B209,'이름 일치'!$B$3:$N$500,13,FALSE)&lt;&gt;"",VLOOKUP(B209,'이름 일치'!$B$3:$N$500,13,FALSE),"")))</f>
        <v>1상담</v>
      </c>
      <c r="F209" s="11"/>
      <c r="G209" s="2"/>
      <c r="H209" s="13">
        <v>77</v>
      </c>
      <c r="I209" s="13">
        <v>65</v>
      </c>
      <c r="J209" s="13">
        <v>76</v>
      </c>
      <c r="K209" s="6">
        <v>0</v>
      </c>
      <c r="L209" s="6">
        <v>5</v>
      </c>
      <c r="M209" s="6">
        <v>0</v>
      </c>
      <c r="N209" s="6" t="s">
        <v>192</v>
      </c>
      <c r="O209" s="6" t="s">
        <v>192</v>
      </c>
      <c r="P209" s="6" t="s">
        <v>192</v>
      </c>
      <c r="Q209" s="6" t="s">
        <v>192</v>
      </c>
      <c r="R209" s="6" t="s">
        <v>192</v>
      </c>
      <c r="S209" s="108" t="s">
        <v>192</v>
      </c>
      <c r="T209" s="111">
        <f>VALUE(SUM(H209:J209))</f>
        <v>218</v>
      </c>
      <c r="U209" s="12">
        <f>IF(COUNTIF(N209:S209,"높음")&gt;=1,1,0)</f>
        <v>1</v>
      </c>
    </row>
    <row r="210" spans="1:25" x14ac:dyDescent="0.3">
      <c r="A210" s="2" t="s">
        <v>531</v>
      </c>
      <c r="B210" s="2">
        <v>10320</v>
      </c>
      <c r="C210" s="2">
        <v>1</v>
      </c>
      <c r="D210" s="2" t="s">
        <v>281</v>
      </c>
      <c r="E210" s="11" t="str">
        <f>IF(AND(U210&gt;0,VLOOKUP(B210,'이름 일치'!$B$3:$N$500,13,FALSE)&lt;&gt;""),"1상담"&amp;"/"&amp;VLOOKUP(B210,'이름 일치'!$B$3:$N$500,13,FALSE),IF(U210&gt;0,"1상담",IF(VLOOKUP(B210,'이름 일치'!$B$3:$N$500,13,FALSE)&lt;&gt;"",VLOOKUP(B210,'이름 일치'!$B$3:$N$500,13,FALSE),"")))</f>
        <v>1상담</v>
      </c>
      <c r="F210" s="11"/>
      <c r="G210" s="2"/>
      <c r="H210" s="13">
        <v>77</v>
      </c>
      <c r="I210" s="13">
        <v>65</v>
      </c>
      <c r="J210" s="13">
        <v>76</v>
      </c>
      <c r="K210" s="6">
        <v>0</v>
      </c>
      <c r="L210" s="6">
        <v>5</v>
      </c>
      <c r="M210" s="6">
        <v>0</v>
      </c>
      <c r="N210" s="6" t="s">
        <v>192</v>
      </c>
      <c r="O210" s="6" t="s">
        <v>192</v>
      </c>
      <c r="P210" s="6" t="s">
        <v>192</v>
      </c>
      <c r="Q210" s="6" t="s">
        <v>192</v>
      </c>
      <c r="R210" s="6" t="s">
        <v>192</v>
      </c>
      <c r="S210" s="108" t="s">
        <v>192</v>
      </c>
      <c r="T210" s="111">
        <f>VALUE(SUM(H210:J210))</f>
        <v>218</v>
      </c>
      <c r="U210" s="12">
        <f>IF(COUNTIF(N210:S210,"높음")&gt;=1,1,0)</f>
        <v>1</v>
      </c>
    </row>
    <row r="211" spans="1:25" x14ac:dyDescent="0.3">
      <c r="A211" s="2" t="s">
        <v>531</v>
      </c>
      <c r="B211" s="2">
        <v>10324</v>
      </c>
      <c r="C211" s="2">
        <v>1</v>
      </c>
      <c r="D211" s="2" t="s">
        <v>285</v>
      </c>
      <c r="E211" s="11" t="str">
        <f>IF(AND(U211&gt;0,VLOOKUP(B211,'이름 일치'!$B$3:$N$500,13,FALSE)&lt;&gt;""),"1상담"&amp;"/"&amp;VLOOKUP(B211,'이름 일치'!$B$3:$N$500,13,FALSE),IF(U211&gt;0,"1상담",IF(VLOOKUP(B211,'이름 일치'!$B$3:$N$500,13,FALSE)&lt;&gt;"",VLOOKUP(B211,'이름 일치'!$B$3:$N$500,13,FALSE),"")))</f>
        <v>1상담</v>
      </c>
      <c r="F211" s="11"/>
      <c r="G211" s="2"/>
      <c r="H211" s="13">
        <v>77</v>
      </c>
      <c r="I211" s="13">
        <v>65</v>
      </c>
      <c r="J211" s="13">
        <v>76</v>
      </c>
      <c r="K211" s="6">
        <v>0</v>
      </c>
      <c r="L211" s="6">
        <v>5</v>
      </c>
      <c r="M211" s="6">
        <v>0</v>
      </c>
      <c r="N211" s="6" t="s">
        <v>192</v>
      </c>
      <c r="O211" s="6" t="s">
        <v>192</v>
      </c>
      <c r="P211" s="6" t="s">
        <v>192</v>
      </c>
      <c r="Q211" s="6" t="s">
        <v>192</v>
      </c>
      <c r="R211" s="6" t="s">
        <v>192</v>
      </c>
      <c r="S211" s="108" t="s">
        <v>192</v>
      </c>
      <c r="T211" s="111">
        <f>VALUE(SUM(H211:J211))</f>
        <v>218</v>
      </c>
      <c r="U211" s="12">
        <f>IF(COUNTIF(N211:S211,"높음")&gt;=1,1,0)</f>
        <v>1</v>
      </c>
    </row>
    <row r="212" spans="1:25" x14ac:dyDescent="0.3">
      <c r="A212" s="2" t="s">
        <v>531</v>
      </c>
      <c r="B212" s="2">
        <v>10328</v>
      </c>
      <c r="C212" s="2">
        <v>1</v>
      </c>
      <c r="D212" s="2" t="s">
        <v>289</v>
      </c>
      <c r="E212" s="11" t="str">
        <f>IF(AND(U212&gt;0,VLOOKUP(B212,'이름 일치'!$B$3:$N$500,13,FALSE)&lt;&gt;""),"1상담"&amp;"/"&amp;VLOOKUP(B212,'이름 일치'!$B$3:$N$500,13,FALSE),IF(U212&gt;0,"1상담",IF(VLOOKUP(B212,'이름 일치'!$B$3:$N$500,13,FALSE)&lt;&gt;"",VLOOKUP(B212,'이름 일치'!$B$3:$N$500,13,FALSE),"")))</f>
        <v>1상담</v>
      </c>
      <c r="F212" s="11"/>
      <c r="G212" s="2"/>
      <c r="H212" s="13">
        <v>77</v>
      </c>
      <c r="I212" s="13">
        <v>65</v>
      </c>
      <c r="J212" s="13">
        <v>76</v>
      </c>
      <c r="K212" s="6">
        <v>0</v>
      </c>
      <c r="L212" s="6">
        <v>5</v>
      </c>
      <c r="M212" s="6">
        <v>0</v>
      </c>
      <c r="N212" s="6" t="s">
        <v>192</v>
      </c>
      <c r="O212" s="6" t="s">
        <v>192</v>
      </c>
      <c r="P212" s="6" t="s">
        <v>192</v>
      </c>
      <c r="Q212" s="6" t="s">
        <v>192</v>
      </c>
      <c r="R212" s="6" t="s">
        <v>192</v>
      </c>
      <c r="S212" s="108" t="s">
        <v>192</v>
      </c>
      <c r="T212" s="111">
        <f>VALUE(SUM(H212:J212))</f>
        <v>218</v>
      </c>
      <c r="U212" s="12">
        <f>IF(COUNTIF(N212:S212,"높음")&gt;=1,1,0)</f>
        <v>1</v>
      </c>
    </row>
    <row r="213" spans="1:25" x14ac:dyDescent="0.3">
      <c r="A213" s="2" t="s">
        <v>531</v>
      </c>
      <c r="B213" s="2">
        <v>10419</v>
      </c>
      <c r="C213" s="2">
        <v>1</v>
      </c>
      <c r="D213" s="2" t="s">
        <v>309</v>
      </c>
      <c r="E213" s="11" t="str">
        <f>IF(AND(U213&gt;0,VLOOKUP(B213,'이름 일치'!$B$3:$N$500,13,FALSE)&lt;&gt;""),"1상담"&amp;"/"&amp;VLOOKUP(B213,'이름 일치'!$B$3:$N$500,13,FALSE),IF(U213&gt;0,"1상담",IF(VLOOKUP(B213,'이름 일치'!$B$3:$N$500,13,FALSE)&lt;&gt;"",VLOOKUP(B213,'이름 일치'!$B$3:$N$500,13,FALSE),"")))</f>
        <v>1상담</v>
      </c>
      <c r="F213" s="11"/>
      <c r="G213" s="2"/>
      <c r="H213" s="13">
        <v>77</v>
      </c>
      <c r="I213" s="13">
        <v>65</v>
      </c>
      <c r="J213" s="13">
        <v>76</v>
      </c>
      <c r="K213" s="6">
        <v>0</v>
      </c>
      <c r="L213" s="6">
        <v>5</v>
      </c>
      <c r="M213" s="6">
        <v>0</v>
      </c>
      <c r="N213" s="6" t="s">
        <v>192</v>
      </c>
      <c r="O213" s="6" t="s">
        <v>192</v>
      </c>
      <c r="P213" s="6" t="s">
        <v>192</v>
      </c>
      <c r="Q213" s="6" t="s">
        <v>192</v>
      </c>
      <c r="R213" s="6" t="s">
        <v>192</v>
      </c>
      <c r="S213" s="108" t="s">
        <v>192</v>
      </c>
      <c r="T213" s="111">
        <f>VALUE(SUM(H213:J213))</f>
        <v>218</v>
      </c>
      <c r="U213" s="12">
        <f>IF(COUNTIF(N213:S213,"높음")&gt;=1,1,0)</f>
        <v>1</v>
      </c>
    </row>
    <row r="214" spans="1:25" x14ac:dyDescent="0.3">
      <c r="A214" s="2" t="s">
        <v>531</v>
      </c>
      <c r="B214" s="2">
        <v>10423</v>
      </c>
      <c r="C214" s="2">
        <v>1</v>
      </c>
      <c r="D214" s="2" t="s">
        <v>313</v>
      </c>
      <c r="E214" s="11" t="str">
        <f>IF(AND(U214&gt;0,VLOOKUP(B214,'이름 일치'!$B$3:$N$500,13,FALSE)&lt;&gt;""),"1상담"&amp;"/"&amp;VLOOKUP(B214,'이름 일치'!$B$3:$N$500,13,FALSE),IF(U214&gt;0,"1상담",IF(VLOOKUP(B214,'이름 일치'!$B$3:$N$500,13,FALSE)&lt;&gt;"",VLOOKUP(B214,'이름 일치'!$B$3:$N$500,13,FALSE),"")))</f>
        <v>1상담</v>
      </c>
      <c r="F214" s="11"/>
      <c r="G214" s="2"/>
      <c r="H214" s="13">
        <v>77</v>
      </c>
      <c r="I214" s="13">
        <v>65</v>
      </c>
      <c r="J214" s="13">
        <v>76</v>
      </c>
      <c r="K214" s="6">
        <v>0</v>
      </c>
      <c r="L214" s="6">
        <v>5</v>
      </c>
      <c r="M214" s="6">
        <v>0</v>
      </c>
      <c r="N214" s="6" t="s">
        <v>192</v>
      </c>
      <c r="O214" s="6" t="s">
        <v>192</v>
      </c>
      <c r="P214" s="6" t="s">
        <v>192</v>
      </c>
      <c r="Q214" s="6" t="s">
        <v>192</v>
      </c>
      <c r="R214" s="6" t="s">
        <v>192</v>
      </c>
      <c r="S214" s="108" t="s">
        <v>192</v>
      </c>
      <c r="T214" s="111">
        <f>VALUE(SUM(H214:J214))</f>
        <v>218</v>
      </c>
      <c r="U214" s="12">
        <f>IF(COUNTIF(N214:S214,"높음")&gt;=1,1,0)</f>
        <v>1</v>
      </c>
    </row>
    <row r="215" spans="1:25" x14ac:dyDescent="0.3">
      <c r="A215" s="2" t="s">
        <v>531</v>
      </c>
      <c r="B215" s="2">
        <v>10428</v>
      </c>
      <c r="C215" s="2">
        <v>1</v>
      </c>
      <c r="D215" s="2" t="s">
        <v>317</v>
      </c>
      <c r="E215" s="11" t="str">
        <f>IF(AND(U215&gt;0,VLOOKUP(B215,'이름 일치'!$B$3:$N$500,13,FALSE)&lt;&gt;""),"1상담"&amp;"/"&amp;VLOOKUP(B215,'이름 일치'!$B$3:$N$500,13,FALSE),IF(U215&gt;0,"1상담",IF(VLOOKUP(B215,'이름 일치'!$B$3:$N$500,13,FALSE)&lt;&gt;"",VLOOKUP(B215,'이름 일치'!$B$3:$N$500,13,FALSE),"")))</f>
        <v>1상담</v>
      </c>
      <c r="F215" s="11"/>
      <c r="G215" s="2"/>
      <c r="H215" s="13">
        <v>77</v>
      </c>
      <c r="I215" s="13">
        <v>65</v>
      </c>
      <c r="J215" s="13">
        <v>76</v>
      </c>
      <c r="K215" s="6">
        <v>0</v>
      </c>
      <c r="L215" s="6">
        <v>5</v>
      </c>
      <c r="M215" s="6">
        <v>0</v>
      </c>
      <c r="N215" s="6" t="s">
        <v>192</v>
      </c>
      <c r="O215" s="6" t="s">
        <v>192</v>
      </c>
      <c r="P215" s="6" t="s">
        <v>192</v>
      </c>
      <c r="Q215" s="6" t="s">
        <v>192</v>
      </c>
      <c r="R215" s="6" t="s">
        <v>192</v>
      </c>
      <c r="S215" s="108" t="s">
        <v>192</v>
      </c>
      <c r="T215" s="111">
        <f>VALUE(SUM(H215:J215))</f>
        <v>218</v>
      </c>
      <c r="U215" s="12">
        <f>IF(COUNTIF(N215:S215,"높음")&gt;=1,1,0)</f>
        <v>1</v>
      </c>
      <c r="X215" s="14"/>
      <c r="Y215" s="15"/>
    </row>
    <row r="216" spans="1:25" x14ac:dyDescent="0.3">
      <c r="A216" s="2" t="s">
        <v>531</v>
      </c>
      <c r="B216" s="2">
        <v>10518</v>
      </c>
      <c r="C216" s="2">
        <v>1</v>
      </c>
      <c r="D216" s="2" t="s">
        <v>336</v>
      </c>
      <c r="E216" s="11" t="str">
        <f>IF(AND(U216&gt;0,VLOOKUP(B216,'이름 일치'!$B$3:$N$500,13,FALSE)&lt;&gt;""),"1상담"&amp;"/"&amp;VLOOKUP(B216,'이름 일치'!$B$3:$N$500,13,FALSE),IF(U216&gt;0,"1상담",IF(VLOOKUP(B216,'이름 일치'!$B$3:$N$500,13,FALSE)&lt;&gt;"",VLOOKUP(B216,'이름 일치'!$B$3:$N$500,13,FALSE),"")))</f>
        <v>1상담</v>
      </c>
      <c r="F216" s="11"/>
      <c r="G216" s="2"/>
      <c r="H216" s="13">
        <v>77</v>
      </c>
      <c r="I216" s="13">
        <v>65</v>
      </c>
      <c r="J216" s="13">
        <v>76</v>
      </c>
      <c r="K216" s="6">
        <v>0</v>
      </c>
      <c r="L216" s="6">
        <v>5</v>
      </c>
      <c r="M216" s="6">
        <v>0</v>
      </c>
      <c r="N216" s="6" t="s">
        <v>192</v>
      </c>
      <c r="O216" s="6" t="s">
        <v>192</v>
      </c>
      <c r="P216" s="6" t="s">
        <v>192</v>
      </c>
      <c r="Q216" s="6" t="s">
        <v>192</v>
      </c>
      <c r="R216" s="6" t="s">
        <v>192</v>
      </c>
      <c r="S216" s="108" t="s">
        <v>192</v>
      </c>
      <c r="T216" s="111">
        <f>VALUE(SUM(H216:J216))</f>
        <v>218</v>
      </c>
      <c r="U216" s="12">
        <f>IF(COUNTIF(N216:S216,"높음")&gt;=1,1,0)</f>
        <v>1</v>
      </c>
    </row>
    <row r="217" spans="1:25" x14ac:dyDescent="0.3">
      <c r="A217" s="2" t="s">
        <v>531</v>
      </c>
      <c r="B217" s="2">
        <v>10522</v>
      </c>
      <c r="C217" s="2">
        <v>1</v>
      </c>
      <c r="D217" s="2" t="s">
        <v>340</v>
      </c>
      <c r="E217" s="11" t="str">
        <f>IF(AND(U217&gt;0,VLOOKUP(B217,'이름 일치'!$B$3:$N$500,13,FALSE)&lt;&gt;""),"1상담"&amp;"/"&amp;VLOOKUP(B217,'이름 일치'!$B$3:$N$500,13,FALSE),IF(U217&gt;0,"1상담",IF(VLOOKUP(B217,'이름 일치'!$B$3:$N$500,13,FALSE)&lt;&gt;"",VLOOKUP(B217,'이름 일치'!$B$3:$N$500,13,FALSE),"")))</f>
        <v>1상담</v>
      </c>
      <c r="F217" s="11"/>
      <c r="G217" s="2"/>
      <c r="H217" s="13">
        <v>77</v>
      </c>
      <c r="I217" s="13">
        <v>65</v>
      </c>
      <c r="J217" s="13">
        <v>76</v>
      </c>
      <c r="K217" s="6">
        <v>0</v>
      </c>
      <c r="L217" s="6">
        <v>5</v>
      </c>
      <c r="M217" s="6">
        <v>0</v>
      </c>
      <c r="N217" s="6" t="s">
        <v>192</v>
      </c>
      <c r="O217" s="6" t="s">
        <v>192</v>
      </c>
      <c r="P217" s="6" t="s">
        <v>192</v>
      </c>
      <c r="Q217" s="6" t="s">
        <v>192</v>
      </c>
      <c r="R217" s="6" t="s">
        <v>192</v>
      </c>
      <c r="S217" s="108" t="s">
        <v>192</v>
      </c>
      <c r="T217" s="111">
        <f>VALUE(SUM(H217:J217))</f>
        <v>218</v>
      </c>
      <c r="U217" s="12">
        <f>IF(COUNTIF(N217:S217,"높음")&gt;=1,1,0)</f>
        <v>1</v>
      </c>
    </row>
    <row r="218" spans="1:25" x14ac:dyDescent="0.3">
      <c r="A218" s="2" t="s">
        <v>531</v>
      </c>
      <c r="B218" s="2">
        <v>10526</v>
      </c>
      <c r="C218" s="2">
        <v>1</v>
      </c>
      <c r="D218" s="2" t="s">
        <v>344</v>
      </c>
      <c r="E218" s="11" t="str">
        <f>IF(AND(U218&gt;0,VLOOKUP(B218,'이름 일치'!$B$3:$N$500,13,FALSE)&lt;&gt;""),"1상담"&amp;"/"&amp;VLOOKUP(B218,'이름 일치'!$B$3:$N$500,13,FALSE),IF(U218&gt;0,"1상담",IF(VLOOKUP(B218,'이름 일치'!$B$3:$N$500,13,FALSE)&lt;&gt;"",VLOOKUP(B218,'이름 일치'!$B$3:$N$500,13,FALSE),"")))</f>
        <v>1상담</v>
      </c>
      <c r="F218" s="11"/>
      <c r="G218" s="2"/>
      <c r="H218" s="13">
        <v>77</v>
      </c>
      <c r="I218" s="13">
        <v>65</v>
      </c>
      <c r="J218" s="13">
        <v>76</v>
      </c>
      <c r="K218" s="6">
        <v>0</v>
      </c>
      <c r="L218" s="6">
        <v>5</v>
      </c>
      <c r="M218" s="6">
        <v>0</v>
      </c>
      <c r="N218" s="6" t="s">
        <v>192</v>
      </c>
      <c r="O218" s="6" t="s">
        <v>192</v>
      </c>
      <c r="P218" s="6" t="s">
        <v>192</v>
      </c>
      <c r="Q218" s="6" t="s">
        <v>192</v>
      </c>
      <c r="R218" s="6" t="s">
        <v>192</v>
      </c>
      <c r="S218" s="108" t="s">
        <v>192</v>
      </c>
      <c r="T218" s="111">
        <f>VALUE(SUM(H218:J218))</f>
        <v>218</v>
      </c>
      <c r="U218" s="12">
        <f>IF(COUNTIF(N218:S218,"높음")&gt;=1,1,0)</f>
        <v>1</v>
      </c>
    </row>
    <row r="219" spans="1:25" x14ac:dyDescent="0.3">
      <c r="A219" s="2" t="s">
        <v>531</v>
      </c>
      <c r="B219" s="2">
        <v>10616</v>
      </c>
      <c r="C219" s="2">
        <v>1</v>
      </c>
      <c r="D219" s="2" t="s">
        <v>362</v>
      </c>
      <c r="E219" s="11" t="str">
        <f>IF(AND(U219&gt;0,VLOOKUP(B219,'이름 일치'!$B$3:$N$500,13,FALSE)&lt;&gt;""),"1상담"&amp;"/"&amp;VLOOKUP(B219,'이름 일치'!$B$3:$N$500,13,FALSE),IF(U219&gt;0,"1상담",IF(VLOOKUP(B219,'이름 일치'!$B$3:$N$500,13,FALSE)&lt;&gt;"",VLOOKUP(B219,'이름 일치'!$B$3:$N$500,13,FALSE),"")))</f>
        <v>1상담</v>
      </c>
      <c r="F219" s="11"/>
      <c r="G219" s="2"/>
      <c r="H219" s="13">
        <v>77</v>
      </c>
      <c r="I219" s="13">
        <v>65</v>
      </c>
      <c r="J219" s="13">
        <v>76</v>
      </c>
      <c r="K219" s="6">
        <v>0</v>
      </c>
      <c r="L219" s="6">
        <v>5</v>
      </c>
      <c r="M219" s="6">
        <v>0</v>
      </c>
      <c r="N219" s="6" t="s">
        <v>192</v>
      </c>
      <c r="O219" s="6" t="s">
        <v>192</v>
      </c>
      <c r="P219" s="6" t="s">
        <v>192</v>
      </c>
      <c r="Q219" s="6" t="s">
        <v>192</v>
      </c>
      <c r="R219" s="6" t="s">
        <v>192</v>
      </c>
      <c r="S219" s="108" t="s">
        <v>192</v>
      </c>
      <c r="T219" s="111">
        <f>VALUE(SUM(H219:J219))</f>
        <v>218</v>
      </c>
      <c r="U219" s="12">
        <f>IF(COUNTIF(N219:S219,"높음")&gt;=1,1,0)</f>
        <v>1</v>
      </c>
    </row>
    <row r="220" spans="1:25" x14ac:dyDescent="0.3">
      <c r="A220" s="2" t="s">
        <v>531</v>
      </c>
      <c r="B220" s="2">
        <v>10620</v>
      </c>
      <c r="C220" s="2">
        <v>1</v>
      </c>
      <c r="D220" s="2" t="s">
        <v>366</v>
      </c>
      <c r="E220" s="11" t="str">
        <f>IF(AND(U220&gt;0,VLOOKUP(B220,'이름 일치'!$B$3:$N$500,13,FALSE)&lt;&gt;""),"1상담"&amp;"/"&amp;VLOOKUP(B220,'이름 일치'!$B$3:$N$500,13,FALSE),IF(U220&gt;0,"1상담",IF(VLOOKUP(B220,'이름 일치'!$B$3:$N$500,13,FALSE)&lt;&gt;"",VLOOKUP(B220,'이름 일치'!$B$3:$N$500,13,FALSE),"")))</f>
        <v>1상담</v>
      </c>
      <c r="F220" s="11"/>
      <c r="G220" s="2"/>
      <c r="H220" s="13">
        <v>77</v>
      </c>
      <c r="I220" s="13">
        <v>65</v>
      </c>
      <c r="J220" s="13">
        <v>76</v>
      </c>
      <c r="K220" s="6">
        <v>0</v>
      </c>
      <c r="L220" s="6">
        <v>5</v>
      </c>
      <c r="M220" s="6">
        <v>0</v>
      </c>
      <c r="N220" s="6" t="s">
        <v>192</v>
      </c>
      <c r="O220" s="6" t="s">
        <v>192</v>
      </c>
      <c r="P220" s="6" t="s">
        <v>192</v>
      </c>
      <c r="Q220" s="6" t="s">
        <v>192</v>
      </c>
      <c r="R220" s="6" t="s">
        <v>192</v>
      </c>
      <c r="S220" s="108" t="s">
        <v>192</v>
      </c>
      <c r="T220" s="111">
        <f>VALUE(SUM(H220:J220))</f>
        <v>218</v>
      </c>
      <c r="U220" s="12">
        <f>IF(COUNTIF(N220:S220,"높음")&gt;=1,1,0)</f>
        <v>1</v>
      </c>
    </row>
    <row r="221" spans="1:25" x14ac:dyDescent="0.3">
      <c r="A221" s="2" t="s">
        <v>531</v>
      </c>
      <c r="B221" s="2">
        <v>10624</v>
      </c>
      <c r="C221" s="2">
        <v>1</v>
      </c>
      <c r="D221" s="2" t="s">
        <v>370</v>
      </c>
      <c r="E221" s="11" t="str">
        <f>IF(AND(U221&gt;0,VLOOKUP(B221,'이름 일치'!$B$3:$N$500,13,FALSE)&lt;&gt;""),"1상담"&amp;"/"&amp;VLOOKUP(B221,'이름 일치'!$B$3:$N$500,13,FALSE),IF(U221&gt;0,"1상담",IF(VLOOKUP(B221,'이름 일치'!$B$3:$N$500,13,FALSE)&lt;&gt;"",VLOOKUP(B221,'이름 일치'!$B$3:$N$500,13,FALSE),"")))</f>
        <v>1상담</v>
      </c>
      <c r="F221" s="11"/>
      <c r="G221" s="2"/>
      <c r="H221" s="13">
        <v>77</v>
      </c>
      <c r="I221" s="13">
        <v>65</v>
      </c>
      <c r="J221" s="13">
        <v>76</v>
      </c>
      <c r="K221" s="6">
        <v>0</v>
      </c>
      <c r="L221" s="6">
        <v>5</v>
      </c>
      <c r="M221" s="6">
        <v>0</v>
      </c>
      <c r="N221" s="6" t="s">
        <v>192</v>
      </c>
      <c r="O221" s="6" t="s">
        <v>192</v>
      </c>
      <c r="P221" s="6" t="s">
        <v>192</v>
      </c>
      <c r="Q221" s="6" t="s">
        <v>192</v>
      </c>
      <c r="R221" s="6" t="s">
        <v>192</v>
      </c>
      <c r="S221" s="108" t="s">
        <v>192</v>
      </c>
      <c r="T221" s="111">
        <f>VALUE(SUM(H221:J221))</f>
        <v>218</v>
      </c>
      <c r="U221" s="12">
        <f>IF(COUNTIF(N221:S221,"높음")&gt;=1,1,0)</f>
        <v>1</v>
      </c>
    </row>
    <row r="222" spans="1:25" x14ac:dyDescent="0.3">
      <c r="A222" s="2" t="s">
        <v>531</v>
      </c>
      <c r="B222" s="2">
        <v>10628</v>
      </c>
      <c r="C222" s="2">
        <v>1</v>
      </c>
      <c r="D222" s="2" t="s">
        <v>374</v>
      </c>
      <c r="E222" s="11" t="str">
        <f>IF(AND(U222&gt;0,VLOOKUP(B222,'이름 일치'!$B$3:$N$500,13,FALSE)&lt;&gt;""),"1상담"&amp;"/"&amp;VLOOKUP(B222,'이름 일치'!$B$3:$N$500,13,FALSE),IF(U222&gt;0,"1상담",IF(VLOOKUP(B222,'이름 일치'!$B$3:$N$500,13,FALSE)&lt;&gt;"",VLOOKUP(B222,'이름 일치'!$B$3:$N$500,13,FALSE),"")))</f>
        <v>1상담</v>
      </c>
      <c r="F222" s="11"/>
      <c r="G222" s="2"/>
      <c r="H222" s="13">
        <v>77</v>
      </c>
      <c r="I222" s="13">
        <v>65</v>
      </c>
      <c r="J222" s="13">
        <v>76</v>
      </c>
      <c r="K222" s="6">
        <v>0</v>
      </c>
      <c r="L222" s="6">
        <v>5</v>
      </c>
      <c r="M222" s="6">
        <v>0</v>
      </c>
      <c r="N222" s="6" t="s">
        <v>192</v>
      </c>
      <c r="O222" s="6" t="s">
        <v>192</v>
      </c>
      <c r="P222" s="6" t="s">
        <v>192</v>
      </c>
      <c r="Q222" s="6" t="s">
        <v>192</v>
      </c>
      <c r="R222" s="6" t="s">
        <v>192</v>
      </c>
      <c r="S222" s="108" t="s">
        <v>192</v>
      </c>
      <c r="T222" s="111">
        <f>VALUE(SUM(H222:J222))</f>
        <v>218</v>
      </c>
      <c r="U222" s="12">
        <f>IF(COUNTIF(N222:S222,"높음")&gt;=1,1,0)</f>
        <v>1</v>
      </c>
    </row>
    <row r="223" spans="1:25" x14ac:dyDescent="0.3">
      <c r="A223" s="2" t="s">
        <v>531</v>
      </c>
      <c r="B223" s="2">
        <v>10715</v>
      </c>
      <c r="C223" s="2">
        <v>1</v>
      </c>
      <c r="D223" s="2" t="s">
        <v>390</v>
      </c>
      <c r="E223" s="11" t="str">
        <f>IF(AND(U223&gt;0,VLOOKUP(B223,'이름 일치'!$B$3:$N$500,13,FALSE)&lt;&gt;""),"1상담"&amp;"/"&amp;VLOOKUP(B223,'이름 일치'!$B$3:$N$500,13,FALSE),IF(U223&gt;0,"1상담",IF(VLOOKUP(B223,'이름 일치'!$B$3:$N$500,13,FALSE)&lt;&gt;"",VLOOKUP(B223,'이름 일치'!$B$3:$N$500,13,FALSE),"")))</f>
        <v>1상담</v>
      </c>
      <c r="F223" s="11"/>
      <c r="G223" s="2"/>
      <c r="H223" s="13">
        <v>77</v>
      </c>
      <c r="I223" s="13">
        <v>65</v>
      </c>
      <c r="J223" s="13">
        <v>76</v>
      </c>
      <c r="K223" s="6">
        <v>0</v>
      </c>
      <c r="L223" s="6">
        <v>5</v>
      </c>
      <c r="M223" s="6">
        <v>0</v>
      </c>
      <c r="N223" s="6" t="s">
        <v>192</v>
      </c>
      <c r="O223" s="6" t="s">
        <v>192</v>
      </c>
      <c r="P223" s="6" t="s">
        <v>192</v>
      </c>
      <c r="Q223" s="6" t="s">
        <v>192</v>
      </c>
      <c r="R223" s="6" t="s">
        <v>192</v>
      </c>
      <c r="S223" s="108" t="s">
        <v>192</v>
      </c>
      <c r="T223" s="111">
        <f>VALUE(SUM(H223:J223))</f>
        <v>218</v>
      </c>
      <c r="U223" s="12">
        <f>IF(COUNTIF(N223:S223,"높음")&gt;=1,1,0)</f>
        <v>1</v>
      </c>
    </row>
    <row r="224" spans="1:25" x14ac:dyDescent="0.3">
      <c r="A224" s="2" t="s">
        <v>531</v>
      </c>
      <c r="B224" s="2">
        <v>10719</v>
      </c>
      <c r="C224" s="2">
        <v>1</v>
      </c>
      <c r="D224" s="2" t="s">
        <v>394</v>
      </c>
      <c r="E224" s="11" t="str">
        <f>IF(AND(U224&gt;0,VLOOKUP(B224,'이름 일치'!$B$3:$N$500,13,FALSE)&lt;&gt;""),"1상담"&amp;"/"&amp;VLOOKUP(B224,'이름 일치'!$B$3:$N$500,13,FALSE),IF(U224&gt;0,"1상담",IF(VLOOKUP(B224,'이름 일치'!$B$3:$N$500,13,FALSE)&lt;&gt;"",VLOOKUP(B224,'이름 일치'!$B$3:$N$500,13,FALSE),"")))</f>
        <v>1상담</v>
      </c>
      <c r="F224" s="11"/>
      <c r="G224" s="2"/>
      <c r="H224" s="13">
        <v>77</v>
      </c>
      <c r="I224" s="13">
        <v>65</v>
      </c>
      <c r="J224" s="13">
        <v>76</v>
      </c>
      <c r="K224" s="6">
        <v>0</v>
      </c>
      <c r="L224" s="6">
        <v>5</v>
      </c>
      <c r="M224" s="6">
        <v>0</v>
      </c>
      <c r="N224" s="6" t="s">
        <v>192</v>
      </c>
      <c r="O224" s="6" t="s">
        <v>192</v>
      </c>
      <c r="P224" s="6" t="s">
        <v>192</v>
      </c>
      <c r="Q224" s="6" t="s">
        <v>192</v>
      </c>
      <c r="R224" s="6" t="s">
        <v>192</v>
      </c>
      <c r="S224" s="108" t="s">
        <v>192</v>
      </c>
      <c r="T224" s="111">
        <f>VALUE(SUM(H224:J224))</f>
        <v>218</v>
      </c>
      <c r="U224" s="12">
        <f>IF(COUNTIF(N224:S224,"높음")&gt;=1,1,0)</f>
        <v>1</v>
      </c>
    </row>
    <row r="225" spans="1:21" x14ac:dyDescent="0.3">
      <c r="A225" s="2" t="s">
        <v>531</v>
      </c>
      <c r="B225" s="2">
        <v>10723</v>
      </c>
      <c r="C225" s="2">
        <v>1</v>
      </c>
      <c r="D225" s="2" t="s">
        <v>398</v>
      </c>
      <c r="E225" s="11" t="str">
        <f>IF(AND(U225&gt;0,VLOOKUP(B225,'이름 일치'!$B$3:$N$500,13,FALSE)&lt;&gt;""),"1상담"&amp;"/"&amp;VLOOKUP(B225,'이름 일치'!$B$3:$N$500,13,FALSE),IF(U225&gt;0,"1상담",IF(VLOOKUP(B225,'이름 일치'!$B$3:$N$500,13,FALSE)&lt;&gt;"",VLOOKUP(B225,'이름 일치'!$B$3:$N$500,13,FALSE),"")))</f>
        <v>1상담</v>
      </c>
      <c r="F225" s="11"/>
      <c r="G225" s="2"/>
      <c r="H225" s="13">
        <v>77</v>
      </c>
      <c r="I225" s="13">
        <v>65</v>
      </c>
      <c r="J225" s="13">
        <v>76</v>
      </c>
      <c r="K225" s="6">
        <v>0</v>
      </c>
      <c r="L225" s="6">
        <v>5</v>
      </c>
      <c r="M225" s="6">
        <v>0</v>
      </c>
      <c r="N225" s="6" t="s">
        <v>192</v>
      </c>
      <c r="O225" s="6" t="s">
        <v>192</v>
      </c>
      <c r="P225" s="6" t="s">
        <v>192</v>
      </c>
      <c r="Q225" s="6" t="s">
        <v>192</v>
      </c>
      <c r="R225" s="6" t="s">
        <v>192</v>
      </c>
      <c r="S225" s="108" t="s">
        <v>192</v>
      </c>
      <c r="T225" s="111">
        <f>VALUE(SUM(H225:J225))</f>
        <v>218</v>
      </c>
      <c r="U225" s="12">
        <f>IF(COUNTIF(N225:S225,"높음")&gt;=1,1,0)</f>
        <v>1</v>
      </c>
    </row>
    <row r="226" spans="1:21" x14ac:dyDescent="0.3">
      <c r="A226" s="2" t="s">
        <v>531</v>
      </c>
      <c r="B226" s="2">
        <v>10727</v>
      </c>
      <c r="C226" s="2">
        <v>1</v>
      </c>
      <c r="D226" s="2" t="s">
        <v>402</v>
      </c>
      <c r="E226" s="11" t="str">
        <f>IF(AND(U226&gt;0,VLOOKUP(B226,'이름 일치'!$B$3:$N$500,13,FALSE)&lt;&gt;""),"1상담"&amp;"/"&amp;VLOOKUP(B226,'이름 일치'!$B$3:$N$500,13,FALSE),IF(U226&gt;0,"1상담",IF(VLOOKUP(B226,'이름 일치'!$B$3:$N$500,13,FALSE)&lt;&gt;"",VLOOKUP(B226,'이름 일치'!$B$3:$N$500,13,FALSE),"")))</f>
        <v>1상담</v>
      </c>
      <c r="F226" s="11"/>
      <c r="G226" s="2"/>
      <c r="H226" s="13">
        <v>77</v>
      </c>
      <c r="I226" s="13">
        <v>65</v>
      </c>
      <c r="J226" s="13">
        <v>76</v>
      </c>
      <c r="K226" s="6">
        <v>0</v>
      </c>
      <c r="L226" s="6">
        <v>5</v>
      </c>
      <c r="M226" s="6">
        <v>0</v>
      </c>
      <c r="N226" s="6" t="s">
        <v>192</v>
      </c>
      <c r="O226" s="6" t="s">
        <v>192</v>
      </c>
      <c r="P226" s="6" t="s">
        <v>192</v>
      </c>
      <c r="Q226" s="6" t="s">
        <v>192</v>
      </c>
      <c r="R226" s="6" t="s">
        <v>192</v>
      </c>
      <c r="S226" s="108" t="s">
        <v>192</v>
      </c>
      <c r="T226" s="111">
        <f>VALUE(SUM(H226:J226))</f>
        <v>218</v>
      </c>
      <c r="U226" s="12">
        <f>IF(COUNTIF(N226:S226,"높음")&gt;=1,1,0)</f>
        <v>1</v>
      </c>
    </row>
    <row r="227" spans="1:21" x14ac:dyDescent="0.3">
      <c r="A227" s="2" t="s">
        <v>531</v>
      </c>
      <c r="B227" s="2">
        <v>10818</v>
      </c>
      <c r="C227" s="2">
        <v>1</v>
      </c>
      <c r="D227" s="2" t="s">
        <v>422</v>
      </c>
      <c r="E227" s="11" t="str">
        <f>IF(AND(U227&gt;0,VLOOKUP(B227,'이름 일치'!$B$3:$N$500,13,FALSE)&lt;&gt;""),"1상담"&amp;"/"&amp;VLOOKUP(B227,'이름 일치'!$B$3:$N$500,13,FALSE),IF(U227&gt;0,"1상담",IF(VLOOKUP(B227,'이름 일치'!$B$3:$N$500,13,FALSE)&lt;&gt;"",VLOOKUP(B227,'이름 일치'!$B$3:$N$500,13,FALSE),"")))</f>
        <v>1상담</v>
      </c>
      <c r="F227" s="11"/>
      <c r="G227" s="2"/>
      <c r="H227" s="13">
        <v>77</v>
      </c>
      <c r="I227" s="13">
        <v>65</v>
      </c>
      <c r="J227" s="13">
        <v>76</v>
      </c>
      <c r="K227" s="6">
        <v>0</v>
      </c>
      <c r="L227" s="6">
        <v>5</v>
      </c>
      <c r="M227" s="6">
        <v>0</v>
      </c>
      <c r="N227" s="6" t="s">
        <v>192</v>
      </c>
      <c r="O227" s="6" t="s">
        <v>192</v>
      </c>
      <c r="P227" s="6" t="s">
        <v>192</v>
      </c>
      <c r="Q227" s="6" t="s">
        <v>192</v>
      </c>
      <c r="R227" s="6" t="s">
        <v>192</v>
      </c>
      <c r="S227" s="108" t="s">
        <v>192</v>
      </c>
      <c r="T227" s="111">
        <f>VALUE(SUM(H227:J227))</f>
        <v>218</v>
      </c>
      <c r="U227" s="12">
        <f>IF(COUNTIF(N227:S227,"높음")&gt;=1,1,0)</f>
        <v>1</v>
      </c>
    </row>
    <row r="228" spans="1:21" x14ac:dyDescent="0.3">
      <c r="A228" s="2" t="s">
        <v>531</v>
      </c>
      <c r="B228" s="2">
        <v>10822</v>
      </c>
      <c r="C228" s="2">
        <v>1</v>
      </c>
      <c r="D228" s="2" t="s">
        <v>426</v>
      </c>
      <c r="E228" s="11" t="str">
        <f>IF(AND(U228&gt;0,VLOOKUP(B228,'이름 일치'!$B$3:$N$500,13,FALSE)&lt;&gt;""),"1상담"&amp;"/"&amp;VLOOKUP(B228,'이름 일치'!$B$3:$N$500,13,FALSE),IF(U228&gt;0,"1상담",IF(VLOOKUP(B228,'이름 일치'!$B$3:$N$500,13,FALSE)&lt;&gt;"",VLOOKUP(B228,'이름 일치'!$B$3:$N$500,13,FALSE),"")))</f>
        <v>1상담</v>
      </c>
      <c r="F228" s="11"/>
      <c r="G228" s="2"/>
      <c r="H228" s="13">
        <v>77</v>
      </c>
      <c r="I228" s="13">
        <v>65</v>
      </c>
      <c r="J228" s="13">
        <v>76</v>
      </c>
      <c r="K228" s="6">
        <v>0</v>
      </c>
      <c r="L228" s="6">
        <v>5</v>
      </c>
      <c r="M228" s="6">
        <v>0</v>
      </c>
      <c r="N228" s="6" t="s">
        <v>192</v>
      </c>
      <c r="O228" s="6" t="s">
        <v>192</v>
      </c>
      <c r="P228" s="6" t="s">
        <v>192</v>
      </c>
      <c r="Q228" s="6" t="s">
        <v>192</v>
      </c>
      <c r="R228" s="6" t="s">
        <v>192</v>
      </c>
      <c r="S228" s="108" t="s">
        <v>192</v>
      </c>
      <c r="T228" s="111">
        <f>VALUE(SUM(H228:J228))</f>
        <v>218</v>
      </c>
      <c r="U228" s="12">
        <f>IF(COUNTIF(N228:S228,"높음")&gt;=1,1,0)</f>
        <v>1</v>
      </c>
    </row>
    <row r="229" spans="1:21" x14ac:dyDescent="0.3">
      <c r="A229" s="11" t="s">
        <v>531</v>
      </c>
      <c r="B229" s="2">
        <v>10826</v>
      </c>
      <c r="C229" s="2">
        <v>1</v>
      </c>
      <c r="D229" s="2" t="s">
        <v>430</v>
      </c>
      <c r="E229" s="11" t="str">
        <f>IF(AND(U229&gt;0,VLOOKUP(B229,'이름 일치'!$B$3:$N$500,13,FALSE)&lt;&gt;""),"1상담"&amp;"/"&amp;VLOOKUP(B229,'이름 일치'!$B$3:$N$500,13,FALSE),IF(U229&gt;0,"1상담",IF(VLOOKUP(B229,'이름 일치'!$B$3:$N$500,13,FALSE)&lt;&gt;"",VLOOKUP(B229,'이름 일치'!$B$3:$N$500,13,FALSE),"")))</f>
        <v>1상담</v>
      </c>
      <c r="F229" s="11"/>
      <c r="G229" s="2"/>
      <c r="H229" s="13">
        <v>77</v>
      </c>
      <c r="I229" s="13">
        <v>65</v>
      </c>
      <c r="J229" s="13">
        <v>76</v>
      </c>
      <c r="K229" s="6">
        <v>0</v>
      </c>
      <c r="L229" s="6">
        <v>5</v>
      </c>
      <c r="M229" s="6">
        <v>0</v>
      </c>
      <c r="N229" s="6" t="s">
        <v>192</v>
      </c>
      <c r="O229" s="6" t="s">
        <v>192</v>
      </c>
      <c r="P229" s="6" t="s">
        <v>192</v>
      </c>
      <c r="Q229" s="6" t="s">
        <v>192</v>
      </c>
      <c r="R229" s="6" t="s">
        <v>192</v>
      </c>
      <c r="S229" s="108" t="s">
        <v>192</v>
      </c>
      <c r="T229" s="111">
        <f>VALUE(SUM(H229:J229))</f>
        <v>218</v>
      </c>
      <c r="U229" s="12">
        <f>IF(COUNTIF(N229:S229,"높음")&gt;=1,1,0)</f>
        <v>1</v>
      </c>
    </row>
    <row r="230" spans="1:21" x14ac:dyDescent="0.3">
      <c r="A230" s="2" t="s">
        <v>531</v>
      </c>
      <c r="B230" s="2">
        <v>10917</v>
      </c>
      <c r="C230" s="2">
        <v>1</v>
      </c>
      <c r="D230" s="2" t="s">
        <v>448</v>
      </c>
      <c r="E230" s="11" t="str">
        <f>IF(AND(U230&gt;0,VLOOKUP(B230,'이름 일치'!$B$3:$N$500,13,FALSE)&lt;&gt;""),"1상담"&amp;"/"&amp;VLOOKUP(B230,'이름 일치'!$B$3:$N$500,13,FALSE),IF(U230&gt;0,"1상담",IF(VLOOKUP(B230,'이름 일치'!$B$3:$N$500,13,FALSE)&lt;&gt;"",VLOOKUP(B230,'이름 일치'!$B$3:$N$500,13,FALSE),"")))</f>
        <v>1상담</v>
      </c>
      <c r="F230" s="11"/>
      <c r="G230" s="2"/>
      <c r="H230" s="13">
        <v>77</v>
      </c>
      <c r="I230" s="13">
        <v>65</v>
      </c>
      <c r="J230" s="13">
        <v>76</v>
      </c>
      <c r="K230" s="6">
        <v>0</v>
      </c>
      <c r="L230" s="6">
        <v>5</v>
      </c>
      <c r="M230" s="6">
        <v>0</v>
      </c>
      <c r="N230" s="6" t="s">
        <v>192</v>
      </c>
      <c r="O230" s="6" t="s">
        <v>192</v>
      </c>
      <c r="P230" s="6" t="s">
        <v>192</v>
      </c>
      <c r="Q230" s="6" t="s">
        <v>192</v>
      </c>
      <c r="R230" s="6" t="s">
        <v>192</v>
      </c>
      <c r="S230" s="108" t="s">
        <v>192</v>
      </c>
      <c r="T230" s="111">
        <f>VALUE(SUM(H230:J230))</f>
        <v>218</v>
      </c>
      <c r="U230" s="12">
        <f>IF(COUNTIF(N230:S230,"높음")&gt;=1,1,0)</f>
        <v>1</v>
      </c>
    </row>
    <row r="231" spans="1:21" x14ac:dyDescent="0.3">
      <c r="A231" s="2" t="s">
        <v>531</v>
      </c>
      <c r="B231" s="2">
        <v>10921</v>
      </c>
      <c r="C231" s="2">
        <v>1</v>
      </c>
      <c r="D231" s="2" t="s">
        <v>452</v>
      </c>
      <c r="E231" s="11" t="str">
        <f>IF(AND(U231&gt;0,VLOOKUP(B231,'이름 일치'!$B$3:$N$500,13,FALSE)&lt;&gt;""),"1상담"&amp;"/"&amp;VLOOKUP(B231,'이름 일치'!$B$3:$N$500,13,FALSE),IF(U231&gt;0,"1상담",IF(VLOOKUP(B231,'이름 일치'!$B$3:$N$500,13,FALSE)&lt;&gt;"",VLOOKUP(B231,'이름 일치'!$B$3:$N$500,13,FALSE),"")))</f>
        <v>1상담</v>
      </c>
      <c r="F231" s="11"/>
      <c r="G231" s="2"/>
      <c r="H231" s="13">
        <v>77</v>
      </c>
      <c r="I231" s="13">
        <v>65</v>
      </c>
      <c r="J231" s="13">
        <v>76</v>
      </c>
      <c r="K231" s="6">
        <v>0</v>
      </c>
      <c r="L231" s="6">
        <v>5</v>
      </c>
      <c r="M231" s="6">
        <v>0</v>
      </c>
      <c r="N231" s="6" t="s">
        <v>192</v>
      </c>
      <c r="O231" s="6" t="s">
        <v>192</v>
      </c>
      <c r="P231" s="6" t="s">
        <v>192</v>
      </c>
      <c r="Q231" s="6" t="s">
        <v>192</v>
      </c>
      <c r="R231" s="6" t="s">
        <v>192</v>
      </c>
      <c r="S231" s="108" t="s">
        <v>192</v>
      </c>
      <c r="T231" s="111">
        <f>VALUE(SUM(H231:J231))</f>
        <v>218</v>
      </c>
      <c r="U231" s="12">
        <f>IF(COUNTIF(N231:S231,"높음")&gt;=1,1,0)</f>
        <v>1</v>
      </c>
    </row>
    <row r="232" spans="1:21" x14ac:dyDescent="0.3">
      <c r="A232" s="2" t="s">
        <v>531</v>
      </c>
      <c r="B232" s="2">
        <v>10925</v>
      </c>
      <c r="C232" s="2">
        <v>1</v>
      </c>
      <c r="D232" s="2" t="s">
        <v>456</v>
      </c>
      <c r="E232" s="11" t="str">
        <f>IF(AND(U232&gt;0,VLOOKUP(B232,'이름 일치'!$B$3:$N$500,13,FALSE)&lt;&gt;""),"1상담"&amp;"/"&amp;VLOOKUP(B232,'이름 일치'!$B$3:$N$500,13,FALSE),IF(U232&gt;0,"1상담",IF(VLOOKUP(B232,'이름 일치'!$B$3:$N$500,13,FALSE)&lt;&gt;"",VLOOKUP(B232,'이름 일치'!$B$3:$N$500,13,FALSE),"")))</f>
        <v>1상담</v>
      </c>
      <c r="F232" s="11"/>
      <c r="G232" s="2"/>
      <c r="H232" s="13">
        <v>77</v>
      </c>
      <c r="I232" s="13">
        <v>65</v>
      </c>
      <c r="J232" s="13">
        <v>76</v>
      </c>
      <c r="K232" s="6">
        <v>0</v>
      </c>
      <c r="L232" s="6">
        <v>5</v>
      </c>
      <c r="M232" s="6">
        <v>0</v>
      </c>
      <c r="N232" s="6" t="s">
        <v>192</v>
      </c>
      <c r="O232" s="6" t="s">
        <v>192</v>
      </c>
      <c r="P232" s="6" t="s">
        <v>192</v>
      </c>
      <c r="Q232" s="6" t="s">
        <v>192</v>
      </c>
      <c r="R232" s="6" t="s">
        <v>192</v>
      </c>
      <c r="S232" s="108" t="s">
        <v>192</v>
      </c>
      <c r="T232" s="111">
        <f>VALUE(SUM(H232:J232))</f>
        <v>218</v>
      </c>
      <c r="U232" s="12">
        <f>IF(COUNTIF(N232:S232,"높음")&gt;=1,1,0)</f>
        <v>1</v>
      </c>
    </row>
    <row r="233" spans="1:21" x14ac:dyDescent="0.3">
      <c r="A233" s="2" t="s">
        <v>531</v>
      </c>
      <c r="B233" s="2">
        <v>11015</v>
      </c>
      <c r="C233" s="2">
        <v>1</v>
      </c>
      <c r="D233" s="2" t="s">
        <v>474</v>
      </c>
      <c r="E233" s="11" t="str">
        <f>IF(AND(U233&gt;0,VLOOKUP(B233,'이름 일치'!$B$3:$N$500,13,FALSE)&lt;&gt;""),"1상담"&amp;"/"&amp;VLOOKUP(B233,'이름 일치'!$B$3:$N$500,13,FALSE),IF(U233&gt;0,"1상담",IF(VLOOKUP(B233,'이름 일치'!$B$3:$N$500,13,FALSE)&lt;&gt;"",VLOOKUP(B233,'이름 일치'!$B$3:$N$500,13,FALSE),"")))</f>
        <v>1상담</v>
      </c>
      <c r="F233" s="11"/>
      <c r="G233" s="2"/>
      <c r="H233" s="13">
        <v>77</v>
      </c>
      <c r="I233" s="13">
        <v>65</v>
      </c>
      <c r="J233" s="13">
        <v>76</v>
      </c>
      <c r="K233" s="6">
        <v>0</v>
      </c>
      <c r="L233" s="6">
        <v>5</v>
      </c>
      <c r="M233" s="6">
        <v>0</v>
      </c>
      <c r="N233" s="6" t="s">
        <v>192</v>
      </c>
      <c r="O233" s="6" t="s">
        <v>192</v>
      </c>
      <c r="P233" s="6" t="s">
        <v>192</v>
      </c>
      <c r="Q233" s="6" t="s">
        <v>192</v>
      </c>
      <c r="R233" s="6" t="s">
        <v>192</v>
      </c>
      <c r="S233" s="108" t="s">
        <v>192</v>
      </c>
      <c r="T233" s="111">
        <f>VALUE(SUM(H233:J233))</f>
        <v>218</v>
      </c>
      <c r="U233" s="12">
        <f>IF(COUNTIF(N233:S233,"높음")&gt;=1,1,0)</f>
        <v>1</v>
      </c>
    </row>
    <row r="234" spans="1:21" x14ac:dyDescent="0.3">
      <c r="A234" s="2" t="s">
        <v>531</v>
      </c>
      <c r="B234" s="2">
        <v>11020</v>
      </c>
      <c r="C234" s="2">
        <v>1</v>
      </c>
      <c r="D234" s="2" t="s">
        <v>478</v>
      </c>
      <c r="E234" s="11" t="str">
        <f>IF(AND(U234&gt;0,VLOOKUP(B234,'이름 일치'!$B$3:$N$500,13,FALSE)&lt;&gt;""),"1상담"&amp;"/"&amp;VLOOKUP(B234,'이름 일치'!$B$3:$N$500,13,FALSE),IF(U234&gt;0,"1상담",IF(VLOOKUP(B234,'이름 일치'!$B$3:$N$500,13,FALSE)&lt;&gt;"",VLOOKUP(B234,'이름 일치'!$B$3:$N$500,13,FALSE),"")))</f>
        <v>1상담</v>
      </c>
      <c r="F234" s="11"/>
      <c r="G234" s="2"/>
      <c r="H234" s="13">
        <v>77</v>
      </c>
      <c r="I234" s="13">
        <v>65</v>
      </c>
      <c r="J234" s="13">
        <v>76</v>
      </c>
      <c r="K234" s="6">
        <v>0</v>
      </c>
      <c r="L234" s="6">
        <v>5</v>
      </c>
      <c r="M234" s="6">
        <v>0</v>
      </c>
      <c r="N234" s="6" t="s">
        <v>192</v>
      </c>
      <c r="O234" s="6" t="s">
        <v>192</v>
      </c>
      <c r="P234" s="6" t="s">
        <v>192</v>
      </c>
      <c r="Q234" s="6" t="s">
        <v>192</v>
      </c>
      <c r="R234" s="6" t="s">
        <v>192</v>
      </c>
      <c r="S234" s="108" t="s">
        <v>192</v>
      </c>
      <c r="T234" s="111">
        <f>VALUE(SUM(H234:J234))</f>
        <v>218</v>
      </c>
      <c r="U234" s="12">
        <f>IF(COUNTIF(N234:S234,"높음")&gt;=1,1,0)</f>
        <v>1</v>
      </c>
    </row>
    <row r="235" spans="1:21" x14ac:dyDescent="0.3">
      <c r="A235" s="2" t="s">
        <v>531</v>
      </c>
      <c r="B235" s="2">
        <v>11024</v>
      </c>
      <c r="C235" s="2">
        <v>1</v>
      </c>
      <c r="D235" s="2" t="s">
        <v>482</v>
      </c>
      <c r="E235" s="11" t="str">
        <f>IF(AND(U235&gt;0,VLOOKUP(B235,'이름 일치'!$B$3:$N$500,13,FALSE)&lt;&gt;""),"1상담"&amp;"/"&amp;VLOOKUP(B235,'이름 일치'!$B$3:$N$500,13,FALSE),IF(U235&gt;0,"1상담",IF(VLOOKUP(B235,'이름 일치'!$B$3:$N$500,13,FALSE)&lt;&gt;"",VLOOKUP(B235,'이름 일치'!$B$3:$N$500,13,FALSE),"")))</f>
        <v>1상담</v>
      </c>
      <c r="F235" s="11"/>
      <c r="G235" s="2"/>
      <c r="H235" s="13">
        <v>77</v>
      </c>
      <c r="I235" s="13">
        <v>65</v>
      </c>
      <c r="J235" s="13">
        <v>76</v>
      </c>
      <c r="K235" s="6">
        <v>0</v>
      </c>
      <c r="L235" s="6">
        <v>5</v>
      </c>
      <c r="M235" s="6">
        <v>0</v>
      </c>
      <c r="N235" s="6" t="s">
        <v>192</v>
      </c>
      <c r="O235" s="6" t="s">
        <v>192</v>
      </c>
      <c r="P235" s="6" t="s">
        <v>192</v>
      </c>
      <c r="Q235" s="6" t="s">
        <v>192</v>
      </c>
      <c r="R235" s="6" t="s">
        <v>192</v>
      </c>
      <c r="S235" s="108" t="s">
        <v>192</v>
      </c>
      <c r="T235" s="111">
        <f>VALUE(SUM(H235:J235))</f>
        <v>218</v>
      </c>
      <c r="U235" s="12">
        <f>IF(COUNTIF(N235:S235,"높음")&gt;=1,1,0)</f>
        <v>1</v>
      </c>
    </row>
    <row r="236" spans="1:21" x14ac:dyDescent="0.3">
      <c r="A236" s="11" t="s">
        <v>531</v>
      </c>
      <c r="B236" s="2">
        <v>11028</v>
      </c>
      <c r="C236" s="2">
        <v>1</v>
      </c>
      <c r="D236" s="2" t="s">
        <v>486</v>
      </c>
      <c r="E236" s="11" t="str">
        <f>IF(AND(U236&gt;0,VLOOKUP(B236,'이름 일치'!$B$3:$N$500,13,FALSE)&lt;&gt;""),"1상담"&amp;"/"&amp;VLOOKUP(B236,'이름 일치'!$B$3:$N$500,13,FALSE),IF(U236&gt;0,"1상담",IF(VLOOKUP(B236,'이름 일치'!$B$3:$N$500,13,FALSE)&lt;&gt;"",VLOOKUP(B236,'이름 일치'!$B$3:$N$500,13,FALSE),"")))</f>
        <v>1상담</v>
      </c>
      <c r="F236" s="11"/>
      <c r="G236" s="2"/>
      <c r="H236" s="13">
        <v>77</v>
      </c>
      <c r="I236" s="13">
        <v>65</v>
      </c>
      <c r="J236" s="13">
        <v>76</v>
      </c>
      <c r="K236" s="6">
        <v>0</v>
      </c>
      <c r="L236" s="6">
        <v>5</v>
      </c>
      <c r="M236" s="6">
        <v>0</v>
      </c>
      <c r="N236" s="6" t="s">
        <v>192</v>
      </c>
      <c r="O236" s="6" t="s">
        <v>192</v>
      </c>
      <c r="P236" s="6" t="s">
        <v>192</v>
      </c>
      <c r="Q236" s="6" t="s">
        <v>192</v>
      </c>
      <c r="R236" s="6" t="s">
        <v>192</v>
      </c>
      <c r="S236" s="108" t="s">
        <v>192</v>
      </c>
      <c r="T236" s="111">
        <f>VALUE(SUM(H236:J236))</f>
        <v>218</v>
      </c>
      <c r="U236" s="12">
        <f>IF(COUNTIF(N236:S236,"높음")&gt;=1,1,0)</f>
        <v>1</v>
      </c>
    </row>
    <row r="237" spans="1:21" x14ac:dyDescent="0.3">
      <c r="A237" s="11" t="s">
        <v>531</v>
      </c>
      <c r="B237" s="2">
        <v>10101</v>
      </c>
      <c r="C237" s="2">
        <v>2</v>
      </c>
      <c r="D237" s="2" t="s">
        <v>183</v>
      </c>
      <c r="E237" s="11" t="str">
        <f>IF(AND(U237&gt;0,VLOOKUP(B237,'이름 일치'!$B$3:$N$500,13,FALSE)&lt;&gt;""),"1상담"&amp;"/"&amp;VLOOKUP(B237,'이름 일치'!$B$3:$N$500,13,FALSE),IF(U237&gt;0,"1상담",IF(VLOOKUP(B237,'이름 일치'!$B$3:$N$500,13,FALSE)&lt;&gt;"",VLOOKUP(B237,'이름 일치'!$B$3:$N$500,13,FALSE),"")))</f>
        <v>1상담</v>
      </c>
      <c r="F237" s="11"/>
      <c r="G237" s="2"/>
      <c r="H237" s="13">
        <v>23</v>
      </c>
      <c r="I237" s="13">
        <v>23</v>
      </c>
      <c r="J237" s="13">
        <v>45</v>
      </c>
      <c r="K237" s="6">
        <v>0</v>
      </c>
      <c r="L237" s="6">
        <v>3</v>
      </c>
      <c r="M237" s="6">
        <v>3</v>
      </c>
      <c r="N237" s="6" t="s">
        <v>187</v>
      </c>
      <c r="O237" s="6" t="s">
        <v>191</v>
      </c>
      <c r="P237" s="6" t="s">
        <v>191</v>
      </c>
      <c r="Q237" s="6" t="s">
        <v>191</v>
      </c>
      <c r="R237" s="6" t="s">
        <v>187</v>
      </c>
      <c r="S237" s="108" t="s">
        <v>192</v>
      </c>
      <c r="T237" s="111">
        <f>VALUE(SUM(H237:J237))</f>
        <v>91</v>
      </c>
      <c r="U237" s="12">
        <f>IF(COUNTIF(N237:S237,"높음")&gt;=1,1,0)</f>
        <v>1</v>
      </c>
    </row>
    <row r="238" spans="1:21" x14ac:dyDescent="0.3">
      <c r="A238" s="2" t="s">
        <v>531</v>
      </c>
      <c r="B238" s="2">
        <v>10105</v>
      </c>
      <c r="C238" s="2">
        <v>2</v>
      </c>
      <c r="D238" s="2" t="s">
        <v>207</v>
      </c>
      <c r="E238" s="11" t="str">
        <f>IF(AND(U238&gt;0,VLOOKUP(B238,'이름 일치'!$B$3:$N$500,13,FALSE)&lt;&gt;""),"1상담"&amp;"/"&amp;VLOOKUP(B238,'이름 일치'!$B$3:$N$500,13,FALSE),IF(U238&gt;0,"1상담",IF(VLOOKUP(B238,'이름 일치'!$B$3:$N$500,13,FALSE)&lt;&gt;"",VLOOKUP(B238,'이름 일치'!$B$3:$N$500,13,FALSE),"")))</f>
        <v>1상담</v>
      </c>
      <c r="F238" s="11"/>
      <c r="G238" s="2"/>
      <c r="H238" s="13">
        <v>23</v>
      </c>
      <c r="I238" s="13">
        <v>23</v>
      </c>
      <c r="J238" s="13">
        <v>45</v>
      </c>
      <c r="K238" s="6">
        <v>0</v>
      </c>
      <c r="L238" s="6">
        <v>3</v>
      </c>
      <c r="M238" s="6">
        <v>3</v>
      </c>
      <c r="N238" s="6" t="s">
        <v>187</v>
      </c>
      <c r="O238" s="6" t="s">
        <v>191</v>
      </c>
      <c r="P238" s="6" t="s">
        <v>191</v>
      </c>
      <c r="Q238" s="6" t="s">
        <v>191</v>
      </c>
      <c r="R238" s="6" t="s">
        <v>187</v>
      </c>
      <c r="S238" s="108" t="s">
        <v>192</v>
      </c>
      <c r="T238" s="111">
        <f>VALUE(SUM(H238:J238))</f>
        <v>91</v>
      </c>
      <c r="U238" s="12">
        <f>IF(COUNTIF(N238:S238,"높음")&gt;=1,1,0)</f>
        <v>1</v>
      </c>
    </row>
    <row r="239" spans="1:21" x14ac:dyDescent="0.3">
      <c r="A239" s="2" t="s">
        <v>531</v>
      </c>
      <c r="B239" s="2">
        <v>10109</v>
      </c>
      <c r="C239" s="2">
        <v>2</v>
      </c>
      <c r="D239" s="2" t="s">
        <v>211</v>
      </c>
      <c r="E239" s="11" t="str">
        <f>IF(AND(U239&gt;0,VLOOKUP(B239,'이름 일치'!$B$3:$N$500,13,FALSE)&lt;&gt;""),"1상담"&amp;"/"&amp;VLOOKUP(B239,'이름 일치'!$B$3:$N$500,13,FALSE),IF(U239&gt;0,"1상담",IF(VLOOKUP(B239,'이름 일치'!$B$3:$N$500,13,FALSE)&lt;&gt;"",VLOOKUP(B239,'이름 일치'!$B$3:$N$500,13,FALSE),"")))</f>
        <v>1상담</v>
      </c>
      <c r="F239" s="11"/>
      <c r="G239" s="2"/>
      <c r="H239" s="13">
        <v>23</v>
      </c>
      <c r="I239" s="13">
        <v>23</v>
      </c>
      <c r="J239" s="13">
        <v>45</v>
      </c>
      <c r="K239" s="6">
        <v>0</v>
      </c>
      <c r="L239" s="6">
        <v>3</v>
      </c>
      <c r="M239" s="6">
        <v>3</v>
      </c>
      <c r="N239" s="6" t="s">
        <v>187</v>
      </c>
      <c r="O239" s="6" t="s">
        <v>191</v>
      </c>
      <c r="P239" s="6" t="s">
        <v>191</v>
      </c>
      <c r="Q239" s="6" t="s">
        <v>191</v>
      </c>
      <c r="R239" s="6" t="s">
        <v>187</v>
      </c>
      <c r="S239" s="108" t="s">
        <v>192</v>
      </c>
      <c r="T239" s="111">
        <f>VALUE(SUM(H239:J239))</f>
        <v>91</v>
      </c>
      <c r="U239" s="12">
        <f>IF(COUNTIF(N239:S239,"높음")&gt;=1,1,0)</f>
        <v>1</v>
      </c>
    </row>
    <row r="240" spans="1:21" x14ac:dyDescent="0.3">
      <c r="A240" s="2" t="s">
        <v>531</v>
      </c>
      <c r="B240" s="2">
        <v>10113</v>
      </c>
      <c r="C240" s="2">
        <v>2</v>
      </c>
      <c r="D240" s="2" t="s">
        <v>215</v>
      </c>
      <c r="E240" s="11" t="str">
        <f>IF(AND(U240&gt;0,VLOOKUP(B240,'이름 일치'!$B$3:$N$500,13,FALSE)&lt;&gt;""),"1상담"&amp;"/"&amp;VLOOKUP(B240,'이름 일치'!$B$3:$N$500,13,FALSE),IF(U240&gt;0,"1상담",IF(VLOOKUP(B240,'이름 일치'!$B$3:$N$500,13,FALSE)&lt;&gt;"",VLOOKUP(B240,'이름 일치'!$B$3:$N$500,13,FALSE),"")))</f>
        <v>1상담</v>
      </c>
      <c r="F240" s="11"/>
      <c r="G240" s="2"/>
      <c r="H240" s="13">
        <v>23</v>
      </c>
      <c r="I240" s="13">
        <v>23</v>
      </c>
      <c r="J240" s="13">
        <v>45</v>
      </c>
      <c r="K240" s="6">
        <v>0</v>
      </c>
      <c r="L240" s="6">
        <v>3</v>
      </c>
      <c r="M240" s="6">
        <v>3</v>
      </c>
      <c r="N240" s="6" t="s">
        <v>187</v>
      </c>
      <c r="O240" s="6" t="s">
        <v>191</v>
      </c>
      <c r="P240" s="6" t="s">
        <v>191</v>
      </c>
      <c r="Q240" s="6" t="s">
        <v>191</v>
      </c>
      <c r="R240" s="6" t="s">
        <v>187</v>
      </c>
      <c r="S240" s="108" t="s">
        <v>192</v>
      </c>
      <c r="T240" s="111">
        <f>VALUE(SUM(H240:J240))</f>
        <v>91</v>
      </c>
      <c r="U240" s="12">
        <f>IF(COUNTIF(N240:S240,"높음")&gt;=1,1,0)</f>
        <v>1</v>
      </c>
    </row>
    <row r="241" spans="1:21" x14ac:dyDescent="0.3">
      <c r="A241" s="2" t="s">
        <v>531</v>
      </c>
      <c r="B241" s="2">
        <v>10204</v>
      </c>
      <c r="C241" s="2">
        <v>2</v>
      </c>
      <c r="D241" s="2" t="s">
        <v>235</v>
      </c>
      <c r="E241" s="11" t="str">
        <f>IF(AND(U241&gt;0,VLOOKUP(B241,'이름 일치'!$B$3:$N$500,13,FALSE)&lt;&gt;""),"1상담"&amp;"/"&amp;VLOOKUP(B241,'이름 일치'!$B$3:$N$500,13,FALSE),IF(U241&gt;0,"1상담",IF(VLOOKUP(B241,'이름 일치'!$B$3:$N$500,13,FALSE)&lt;&gt;"",VLOOKUP(B241,'이름 일치'!$B$3:$N$500,13,FALSE),"")))</f>
        <v>1상담</v>
      </c>
      <c r="F241" s="11"/>
      <c r="G241" s="2"/>
      <c r="H241" s="13">
        <v>23</v>
      </c>
      <c r="I241" s="13">
        <v>23</v>
      </c>
      <c r="J241" s="13">
        <v>45</v>
      </c>
      <c r="K241" s="6">
        <v>0</v>
      </c>
      <c r="L241" s="6">
        <v>3</v>
      </c>
      <c r="M241" s="6">
        <v>3</v>
      </c>
      <c r="N241" s="6" t="s">
        <v>187</v>
      </c>
      <c r="O241" s="6" t="s">
        <v>191</v>
      </c>
      <c r="P241" s="6" t="s">
        <v>191</v>
      </c>
      <c r="Q241" s="6" t="s">
        <v>191</v>
      </c>
      <c r="R241" s="6" t="s">
        <v>187</v>
      </c>
      <c r="S241" s="108" t="s">
        <v>192</v>
      </c>
      <c r="T241" s="111">
        <f>VALUE(SUM(H241:J241))</f>
        <v>91</v>
      </c>
      <c r="U241" s="12">
        <f>IF(COUNTIF(N241:S241,"높음")&gt;=1,1,0)</f>
        <v>1</v>
      </c>
    </row>
    <row r="242" spans="1:21" x14ac:dyDescent="0.3">
      <c r="A242" s="2" t="s">
        <v>531</v>
      </c>
      <c r="B242" s="2">
        <v>10208</v>
      </c>
      <c r="C242" s="2">
        <v>2</v>
      </c>
      <c r="D242" s="2" t="s">
        <v>239</v>
      </c>
      <c r="E242" s="11" t="str">
        <f>IF(AND(U242&gt;0,VLOOKUP(B242,'이름 일치'!$B$3:$N$500,13,FALSE)&lt;&gt;""),"1상담"&amp;"/"&amp;VLOOKUP(B242,'이름 일치'!$B$3:$N$500,13,FALSE),IF(U242&gt;0,"1상담",IF(VLOOKUP(B242,'이름 일치'!$B$3:$N$500,13,FALSE)&lt;&gt;"",VLOOKUP(B242,'이름 일치'!$B$3:$N$500,13,FALSE),"")))</f>
        <v>1상담</v>
      </c>
      <c r="F242" s="11"/>
      <c r="G242" s="2"/>
      <c r="H242" s="13">
        <v>23</v>
      </c>
      <c r="I242" s="13">
        <v>23</v>
      </c>
      <c r="J242" s="13">
        <v>45</v>
      </c>
      <c r="K242" s="6">
        <v>0</v>
      </c>
      <c r="L242" s="6">
        <v>3</v>
      </c>
      <c r="M242" s="6">
        <v>3</v>
      </c>
      <c r="N242" s="6" t="s">
        <v>187</v>
      </c>
      <c r="O242" s="6" t="s">
        <v>191</v>
      </c>
      <c r="P242" s="6" t="s">
        <v>191</v>
      </c>
      <c r="Q242" s="6" t="s">
        <v>191</v>
      </c>
      <c r="R242" s="6" t="s">
        <v>187</v>
      </c>
      <c r="S242" s="108" t="s">
        <v>192</v>
      </c>
      <c r="T242" s="111">
        <f>VALUE(SUM(H242:J242))</f>
        <v>91</v>
      </c>
      <c r="U242" s="12">
        <f>IF(COUNTIF(N242:S242,"높음")&gt;=1,1,0)</f>
        <v>1</v>
      </c>
    </row>
    <row r="243" spans="1:21" x14ac:dyDescent="0.3">
      <c r="A243" s="11" t="s">
        <v>531</v>
      </c>
      <c r="B243" s="2">
        <v>10212</v>
      </c>
      <c r="C243" s="2">
        <v>2</v>
      </c>
      <c r="D243" s="2" t="s">
        <v>243</v>
      </c>
      <c r="E243" s="11" t="str">
        <f>IF(AND(U243&gt;0,VLOOKUP(B243,'이름 일치'!$B$3:$N$500,13,FALSE)&lt;&gt;""),"1상담"&amp;"/"&amp;VLOOKUP(B243,'이름 일치'!$B$3:$N$500,13,FALSE),IF(U243&gt;0,"1상담",IF(VLOOKUP(B243,'이름 일치'!$B$3:$N$500,13,FALSE)&lt;&gt;"",VLOOKUP(B243,'이름 일치'!$B$3:$N$500,13,FALSE),"")))</f>
        <v>1상담</v>
      </c>
      <c r="F243" s="11"/>
      <c r="G243" s="2"/>
      <c r="H243" s="13">
        <v>23</v>
      </c>
      <c r="I243" s="13">
        <v>23</v>
      </c>
      <c r="J243" s="13">
        <v>45</v>
      </c>
      <c r="K243" s="6">
        <v>0</v>
      </c>
      <c r="L243" s="6">
        <v>3</v>
      </c>
      <c r="M243" s="6">
        <v>3</v>
      </c>
      <c r="N243" s="6" t="s">
        <v>187</v>
      </c>
      <c r="O243" s="6" t="s">
        <v>191</v>
      </c>
      <c r="P243" s="6" t="s">
        <v>191</v>
      </c>
      <c r="Q243" s="6" t="s">
        <v>191</v>
      </c>
      <c r="R243" s="6" t="s">
        <v>187</v>
      </c>
      <c r="S243" s="108" t="s">
        <v>192</v>
      </c>
      <c r="T243" s="111">
        <f>VALUE(SUM(H243:J243))</f>
        <v>91</v>
      </c>
      <c r="U243" s="12">
        <f>IF(COUNTIF(N243:S243,"높음")&gt;=1,1,0)</f>
        <v>1</v>
      </c>
    </row>
    <row r="244" spans="1:21" x14ac:dyDescent="0.3">
      <c r="A244" s="2" t="s">
        <v>531</v>
      </c>
      <c r="B244" s="2">
        <v>10302</v>
      </c>
      <c r="C244" s="2">
        <v>2</v>
      </c>
      <c r="D244" s="2" t="s">
        <v>263</v>
      </c>
      <c r="E244" s="11" t="str">
        <f>IF(AND(U244&gt;0,VLOOKUP(B244,'이름 일치'!$B$3:$N$500,13,FALSE)&lt;&gt;""),"1상담"&amp;"/"&amp;VLOOKUP(B244,'이름 일치'!$B$3:$N$500,13,FALSE),IF(U244&gt;0,"1상담",IF(VLOOKUP(B244,'이름 일치'!$B$3:$N$500,13,FALSE)&lt;&gt;"",VLOOKUP(B244,'이름 일치'!$B$3:$N$500,13,FALSE),"")))</f>
        <v>1상담</v>
      </c>
      <c r="F244" s="11"/>
      <c r="G244" s="2"/>
      <c r="H244" s="13">
        <v>23</v>
      </c>
      <c r="I244" s="13">
        <v>23</v>
      </c>
      <c r="J244" s="13">
        <v>45</v>
      </c>
      <c r="K244" s="6">
        <v>0</v>
      </c>
      <c r="L244" s="6">
        <v>3</v>
      </c>
      <c r="M244" s="6">
        <v>3</v>
      </c>
      <c r="N244" s="6" t="s">
        <v>187</v>
      </c>
      <c r="O244" s="6" t="s">
        <v>191</v>
      </c>
      <c r="P244" s="6" t="s">
        <v>191</v>
      </c>
      <c r="Q244" s="6" t="s">
        <v>191</v>
      </c>
      <c r="R244" s="6" t="s">
        <v>187</v>
      </c>
      <c r="S244" s="108" t="s">
        <v>192</v>
      </c>
      <c r="T244" s="111">
        <f>VALUE(SUM(H244:J244))</f>
        <v>91</v>
      </c>
      <c r="U244" s="12">
        <f>IF(COUNTIF(N244:S244,"높음")&gt;=1,1,0)</f>
        <v>1</v>
      </c>
    </row>
    <row r="245" spans="1:21" x14ac:dyDescent="0.3">
      <c r="A245" s="2" t="s">
        <v>531</v>
      </c>
      <c r="B245" s="2">
        <v>10306</v>
      </c>
      <c r="C245" s="2">
        <v>2</v>
      </c>
      <c r="D245" s="2" t="s">
        <v>267</v>
      </c>
      <c r="E245" s="11" t="str">
        <f>IF(AND(U245&gt;0,VLOOKUP(B245,'이름 일치'!$B$3:$N$500,13,FALSE)&lt;&gt;""),"1상담"&amp;"/"&amp;VLOOKUP(B245,'이름 일치'!$B$3:$N$500,13,FALSE),IF(U245&gt;0,"1상담",IF(VLOOKUP(B245,'이름 일치'!$B$3:$N$500,13,FALSE)&lt;&gt;"",VLOOKUP(B245,'이름 일치'!$B$3:$N$500,13,FALSE),"")))</f>
        <v>1상담</v>
      </c>
      <c r="F245" s="11"/>
      <c r="G245" s="2"/>
      <c r="H245" s="13">
        <v>23</v>
      </c>
      <c r="I245" s="13">
        <v>23</v>
      </c>
      <c r="J245" s="13">
        <v>45</v>
      </c>
      <c r="K245" s="6">
        <v>0</v>
      </c>
      <c r="L245" s="6">
        <v>3</v>
      </c>
      <c r="M245" s="6">
        <v>3</v>
      </c>
      <c r="N245" s="6" t="s">
        <v>187</v>
      </c>
      <c r="O245" s="6" t="s">
        <v>191</v>
      </c>
      <c r="P245" s="6" t="s">
        <v>191</v>
      </c>
      <c r="Q245" s="6" t="s">
        <v>191</v>
      </c>
      <c r="R245" s="6" t="s">
        <v>187</v>
      </c>
      <c r="S245" s="108" t="s">
        <v>192</v>
      </c>
      <c r="T245" s="111">
        <f>VALUE(SUM(H245:J245))</f>
        <v>91</v>
      </c>
      <c r="U245" s="12">
        <f>IF(COUNTIF(N245:S245,"높음")&gt;=1,1,0)</f>
        <v>1</v>
      </c>
    </row>
    <row r="246" spans="1:21" x14ac:dyDescent="0.3">
      <c r="A246" s="2" t="s">
        <v>531</v>
      </c>
      <c r="B246" s="2">
        <v>10310</v>
      </c>
      <c r="C246" s="2">
        <v>2</v>
      </c>
      <c r="D246" s="2" t="s">
        <v>271</v>
      </c>
      <c r="E246" s="11" t="str">
        <f>IF(AND(U246&gt;0,VLOOKUP(B246,'이름 일치'!$B$3:$N$500,13,FALSE)&lt;&gt;""),"1상담"&amp;"/"&amp;VLOOKUP(B246,'이름 일치'!$B$3:$N$500,13,FALSE),IF(U246&gt;0,"1상담",IF(VLOOKUP(B246,'이름 일치'!$B$3:$N$500,13,FALSE)&lt;&gt;"",VLOOKUP(B246,'이름 일치'!$B$3:$N$500,13,FALSE),"")))</f>
        <v>1상담</v>
      </c>
      <c r="F246" s="11"/>
      <c r="G246" s="2"/>
      <c r="H246" s="13">
        <v>23</v>
      </c>
      <c r="I246" s="13">
        <v>23</v>
      </c>
      <c r="J246" s="13">
        <v>45</v>
      </c>
      <c r="K246" s="6">
        <v>0</v>
      </c>
      <c r="L246" s="6">
        <v>3</v>
      </c>
      <c r="M246" s="6">
        <v>3</v>
      </c>
      <c r="N246" s="6" t="s">
        <v>187</v>
      </c>
      <c r="O246" s="6" t="s">
        <v>191</v>
      </c>
      <c r="P246" s="6" t="s">
        <v>191</v>
      </c>
      <c r="Q246" s="6" t="s">
        <v>191</v>
      </c>
      <c r="R246" s="6" t="s">
        <v>187</v>
      </c>
      <c r="S246" s="108" t="s">
        <v>192</v>
      </c>
      <c r="T246" s="111">
        <f>VALUE(SUM(H246:J246))</f>
        <v>91</v>
      </c>
      <c r="U246" s="12">
        <f>IF(COUNTIF(N246:S246,"높음")&gt;=1,1,0)</f>
        <v>1</v>
      </c>
    </row>
    <row r="247" spans="1:21" x14ac:dyDescent="0.3">
      <c r="A247" s="2" t="s">
        <v>531</v>
      </c>
      <c r="B247" s="2">
        <v>10314</v>
      </c>
      <c r="C247" s="2">
        <v>2</v>
      </c>
      <c r="D247" s="2" t="s">
        <v>275</v>
      </c>
      <c r="E247" s="11" t="str">
        <f>IF(AND(U247&gt;0,VLOOKUP(B247,'이름 일치'!$B$3:$N$500,13,FALSE)&lt;&gt;""),"1상담"&amp;"/"&amp;VLOOKUP(B247,'이름 일치'!$B$3:$N$500,13,FALSE),IF(U247&gt;0,"1상담",IF(VLOOKUP(B247,'이름 일치'!$B$3:$N$500,13,FALSE)&lt;&gt;"",VLOOKUP(B247,'이름 일치'!$B$3:$N$500,13,FALSE),"")))</f>
        <v>1상담</v>
      </c>
      <c r="F247" s="11"/>
      <c r="G247" s="2"/>
      <c r="H247" s="13">
        <v>23</v>
      </c>
      <c r="I247" s="13">
        <v>23</v>
      </c>
      <c r="J247" s="13">
        <v>45</v>
      </c>
      <c r="K247" s="6">
        <v>0</v>
      </c>
      <c r="L247" s="6">
        <v>3</v>
      </c>
      <c r="M247" s="6">
        <v>3</v>
      </c>
      <c r="N247" s="6" t="s">
        <v>187</v>
      </c>
      <c r="O247" s="6" t="s">
        <v>191</v>
      </c>
      <c r="P247" s="6" t="s">
        <v>191</v>
      </c>
      <c r="Q247" s="6" t="s">
        <v>191</v>
      </c>
      <c r="R247" s="6" t="s">
        <v>187</v>
      </c>
      <c r="S247" s="108" t="s">
        <v>192</v>
      </c>
      <c r="T247" s="111">
        <f>VALUE(SUM(H247:J247))</f>
        <v>91</v>
      </c>
      <c r="U247" s="12">
        <f>IF(COUNTIF(N247:S247,"높음")&gt;=1,1,0)</f>
        <v>1</v>
      </c>
    </row>
    <row r="248" spans="1:21" x14ac:dyDescent="0.3">
      <c r="A248" s="2" t="s">
        <v>531</v>
      </c>
      <c r="B248" s="2">
        <v>10405</v>
      </c>
      <c r="C248" s="2">
        <v>2</v>
      </c>
      <c r="D248" s="2" t="s">
        <v>295</v>
      </c>
      <c r="E248" s="11" t="str">
        <f>IF(AND(U248&gt;0,VLOOKUP(B248,'이름 일치'!$B$3:$N$500,13,FALSE)&lt;&gt;""),"1상담"&amp;"/"&amp;VLOOKUP(B248,'이름 일치'!$B$3:$N$500,13,FALSE),IF(U248&gt;0,"1상담",IF(VLOOKUP(B248,'이름 일치'!$B$3:$N$500,13,FALSE)&lt;&gt;"",VLOOKUP(B248,'이름 일치'!$B$3:$N$500,13,FALSE),"")))</f>
        <v>1상담</v>
      </c>
      <c r="F248" s="11"/>
      <c r="G248" s="2"/>
      <c r="H248" s="13">
        <v>23</v>
      </c>
      <c r="I248" s="13">
        <v>23</v>
      </c>
      <c r="J248" s="13">
        <v>45</v>
      </c>
      <c r="K248" s="6">
        <v>0</v>
      </c>
      <c r="L248" s="6">
        <v>3</v>
      </c>
      <c r="M248" s="6">
        <v>3</v>
      </c>
      <c r="N248" s="6" t="s">
        <v>187</v>
      </c>
      <c r="O248" s="6" t="s">
        <v>191</v>
      </c>
      <c r="P248" s="6" t="s">
        <v>191</v>
      </c>
      <c r="Q248" s="6" t="s">
        <v>191</v>
      </c>
      <c r="R248" s="6" t="s">
        <v>187</v>
      </c>
      <c r="S248" s="108" t="s">
        <v>192</v>
      </c>
      <c r="T248" s="111">
        <f>VALUE(SUM(H248:J248))</f>
        <v>91</v>
      </c>
      <c r="U248" s="12">
        <f>IF(COUNTIF(N248:S248,"높음")&gt;=1,1,0)</f>
        <v>1</v>
      </c>
    </row>
    <row r="249" spans="1:21" x14ac:dyDescent="0.3">
      <c r="A249" s="11" t="s">
        <v>531</v>
      </c>
      <c r="B249" s="2">
        <v>10409</v>
      </c>
      <c r="C249" s="2">
        <v>2</v>
      </c>
      <c r="D249" s="2" t="s">
        <v>299</v>
      </c>
      <c r="E249" s="11" t="str">
        <f>IF(AND(U249&gt;0,VLOOKUP(B249,'이름 일치'!$B$3:$N$500,13,FALSE)&lt;&gt;""),"1상담"&amp;"/"&amp;VLOOKUP(B249,'이름 일치'!$B$3:$N$500,13,FALSE),IF(U249&gt;0,"1상담",IF(VLOOKUP(B249,'이름 일치'!$B$3:$N$500,13,FALSE)&lt;&gt;"",VLOOKUP(B249,'이름 일치'!$B$3:$N$500,13,FALSE),"")))</f>
        <v>1상담</v>
      </c>
      <c r="F249" s="11"/>
      <c r="G249" s="2"/>
      <c r="H249" s="13">
        <v>23</v>
      </c>
      <c r="I249" s="13">
        <v>23</v>
      </c>
      <c r="J249" s="13">
        <v>45</v>
      </c>
      <c r="K249" s="6">
        <v>0</v>
      </c>
      <c r="L249" s="6">
        <v>3</v>
      </c>
      <c r="M249" s="6">
        <v>3</v>
      </c>
      <c r="N249" s="6" t="s">
        <v>187</v>
      </c>
      <c r="O249" s="6" t="s">
        <v>191</v>
      </c>
      <c r="P249" s="6" t="s">
        <v>191</v>
      </c>
      <c r="Q249" s="6" t="s">
        <v>191</v>
      </c>
      <c r="R249" s="6" t="s">
        <v>187</v>
      </c>
      <c r="S249" s="108" t="s">
        <v>192</v>
      </c>
      <c r="T249" s="111">
        <f>VALUE(SUM(H249:J249))</f>
        <v>91</v>
      </c>
      <c r="U249" s="12">
        <f>IF(COUNTIF(N249:S249,"높음")&gt;=1,1,0)</f>
        <v>1</v>
      </c>
    </row>
    <row r="250" spans="1:21" x14ac:dyDescent="0.3">
      <c r="A250" s="2" t="s">
        <v>531</v>
      </c>
      <c r="B250" s="2">
        <v>10413</v>
      </c>
      <c r="C250" s="2">
        <v>2</v>
      </c>
      <c r="D250" s="2" t="s">
        <v>303</v>
      </c>
      <c r="E250" s="11" t="str">
        <f>IF(AND(U250&gt;0,VLOOKUP(B250,'이름 일치'!$B$3:$N$500,13,FALSE)&lt;&gt;""),"1상담"&amp;"/"&amp;VLOOKUP(B250,'이름 일치'!$B$3:$N$500,13,FALSE),IF(U250&gt;0,"1상담",IF(VLOOKUP(B250,'이름 일치'!$B$3:$N$500,13,FALSE)&lt;&gt;"",VLOOKUP(B250,'이름 일치'!$B$3:$N$500,13,FALSE),"")))</f>
        <v>1상담</v>
      </c>
      <c r="F250" s="11"/>
      <c r="G250" s="2"/>
      <c r="H250" s="13">
        <v>23</v>
      </c>
      <c r="I250" s="13">
        <v>23</v>
      </c>
      <c r="J250" s="13">
        <v>45</v>
      </c>
      <c r="K250" s="6">
        <v>0</v>
      </c>
      <c r="L250" s="6">
        <v>3</v>
      </c>
      <c r="M250" s="6">
        <v>3</v>
      </c>
      <c r="N250" s="6" t="s">
        <v>187</v>
      </c>
      <c r="O250" s="6" t="s">
        <v>191</v>
      </c>
      <c r="P250" s="6" t="s">
        <v>191</v>
      </c>
      <c r="Q250" s="6" t="s">
        <v>191</v>
      </c>
      <c r="R250" s="6" t="s">
        <v>187</v>
      </c>
      <c r="S250" s="108" t="s">
        <v>192</v>
      </c>
      <c r="T250" s="111">
        <f>VALUE(SUM(H250:J250))</f>
        <v>91</v>
      </c>
      <c r="U250" s="12">
        <f>IF(COUNTIF(N250:S250,"높음")&gt;=1,1,0)</f>
        <v>1</v>
      </c>
    </row>
    <row r="251" spans="1:21" x14ac:dyDescent="0.3">
      <c r="A251" s="2" t="s">
        <v>531</v>
      </c>
      <c r="B251" s="2">
        <v>10504</v>
      </c>
      <c r="C251" s="2">
        <v>2</v>
      </c>
      <c r="D251" s="2" t="s">
        <v>323</v>
      </c>
      <c r="E251" s="11" t="str">
        <f>IF(AND(U251&gt;0,VLOOKUP(B251,'이름 일치'!$B$3:$N$500,13,FALSE)&lt;&gt;""),"1상담"&amp;"/"&amp;VLOOKUP(B251,'이름 일치'!$B$3:$N$500,13,FALSE),IF(U251&gt;0,"1상담",IF(VLOOKUP(B251,'이름 일치'!$B$3:$N$500,13,FALSE)&lt;&gt;"",VLOOKUP(B251,'이름 일치'!$B$3:$N$500,13,FALSE),"")))</f>
        <v>1상담</v>
      </c>
      <c r="F251" s="11"/>
      <c r="G251" s="2"/>
      <c r="H251" s="13">
        <v>23</v>
      </c>
      <c r="I251" s="13">
        <v>23</v>
      </c>
      <c r="J251" s="13">
        <v>45</v>
      </c>
      <c r="K251" s="6">
        <v>0</v>
      </c>
      <c r="L251" s="6">
        <v>3</v>
      </c>
      <c r="M251" s="6">
        <v>3</v>
      </c>
      <c r="N251" s="6" t="s">
        <v>187</v>
      </c>
      <c r="O251" s="6" t="s">
        <v>191</v>
      </c>
      <c r="P251" s="6" t="s">
        <v>191</v>
      </c>
      <c r="Q251" s="6" t="s">
        <v>191</v>
      </c>
      <c r="R251" s="6" t="s">
        <v>187</v>
      </c>
      <c r="S251" s="108" t="s">
        <v>192</v>
      </c>
      <c r="T251" s="111">
        <f>VALUE(SUM(H251:J251))</f>
        <v>91</v>
      </c>
      <c r="U251" s="12">
        <f>IF(COUNTIF(N251:S251,"높음")&gt;=1,1,0)</f>
        <v>1</v>
      </c>
    </row>
    <row r="252" spans="1:21" x14ac:dyDescent="0.3">
      <c r="A252" s="2" t="s">
        <v>531</v>
      </c>
      <c r="B252" s="2">
        <v>10508</v>
      </c>
      <c r="C252" s="2">
        <v>2</v>
      </c>
      <c r="D252" s="2" t="s">
        <v>326</v>
      </c>
      <c r="E252" s="11" t="str">
        <f>IF(AND(U252&gt;0,VLOOKUP(B252,'이름 일치'!$B$3:$N$500,13,FALSE)&lt;&gt;""),"1상담"&amp;"/"&amp;VLOOKUP(B252,'이름 일치'!$B$3:$N$500,13,FALSE),IF(U252&gt;0,"1상담",IF(VLOOKUP(B252,'이름 일치'!$B$3:$N$500,13,FALSE)&lt;&gt;"",VLOOKUP(B252,'이름 일치'!$B$3:$N$500,13,FALSE),"")))</f>
        <v>1상담</v>
      </c>
      <c r="F252" s="11"/>
      <c r="G252" s="2"/>
      <c r="H252" s="13">
        <v>23</v>
      </c>
      <c r="I252" s="13">
        <v>23</v>
      </c>
      <c r="J252" s="13">
        <v>45</v>
      </c>
      <c r="K252" s="6">
        <v>0</v>
      </c>
      <c r="L252" s="6">
        <v>3</v>
      </c>
      <c r="M252" s="6">
        <v>3</v>
      </c>
      <c r="N252" s="6" t="s">
        <v>187</v>
      </c>
      <c r="O252" s="6" t="s">
        <v>191</v>
      </c>
      <c r="P252" s="6" t="s">
        <v>191</v>
      </c>
      <c r="Q252" s="6" t="s">
        <v>191</v>
      </c>
      <c r="R252" s="6" t="s">
        <v>187</v>
      </c>
      <c r="S252" s="108" t="s">
        <v>192</v>
      </c>
      <c r="T252" s="111">
        <f>VALUE(SUM(H252:J252))</f>
        <v>91</v>
      </c>
      <c r="U252" s="12">
        <f>IF(COUNTIF(N252:S252,"높음")&gt;=1,1,0)</f>
        <v>1</v>
      </c>
    </row>
    <row r="253" spans="1:21" x14ac:dyDescent="0.3">
      <c r="A253" s="2" t="s">
        <v>531</v>
      </c>
      <c r="B253" s="2">
        <v>10512</v>
      </c>
      <c r="C253" s="2">
        <v>2</v>
      </c>
      <c r="D253" s="2" t="s">
        <v>330</v>
      </c>
      <c r="E253" s="11" t="str">
        <f>IF(AND(U253&gt;0,VLOOKUP(B253,'이름 일치'!$B$3:$N$500,13,FALSE)&lt;&gt;""),"1상담"&amp;"/"&amp;VLOOKUP(B253,'이름 일치'!$B$3:$N$500,13,FALSE),IF(U253&gt;0,"1상담",IF(VLOOKUP(B253,'이름 일치'!$B$3:$N$500,13,FALSE)&lt;&gt;"",VLOOKUP(B253,'이름 일치'!$B$3:$N$500,13,FALSE),"")))</f>
        <v>1상담</v>
      </c>
      <c r="F253" s="11"/>
      <c r="G253" s="2"/>
      <c r="H253" s="13">
        <v>23</v>
      </c>
      <c r="I253" s="13">
        <v>23</v>
      </c>
      <c r="J253" s="13">
        <v>45</v>
      </c>
      <c r="K253" s="6">
        <v>0</v>
      </c>
      <c r="L253" s="6">
        <v>3</v>
      </c>
      <c r="M253" s="6">
        <v>3</v>
      </c>
      <c r="N253" s="6" t="s">
        <v>187</v>
      </c>
      <c r="O253" s="6" t="s">
        <v>191</v>
      </c>
      <c r="P253" s="6" t="s">
        <v>191</v>
      </c>
      <c r="Q253" s="6" t="s">
        <v>191</v>
      </c>
      <c r="R253" s="6" t="s">
        <v>187</v>
      </c>
      <c r="S253" s="108" t="s">
        <v>192</v>
      </c>
      <c r="T253" s="111">
        <f>VALUE(SUM(H253:J253))</f>
        <v>91</v>
      </c>
      <c r="U253" s="12">
        <f>IF(COUNTIF(N253:S253,"높음")&gt;=1,1,0)</f>
        <v>1</v>
      </c>
    </row>
    <row r="254" spans="1:21" x14ac:dyDescent="0.3">
      <c r="A254" s="2" t="s">
        <v>531</v>
      </c>
      <c r="B254" s="2">
        <v>10602</v>
      </c>
      <c r="C254" s="2">
        <v>2</v>
      </c>
      <c r="D254" s="2" t="s">
        <v>350</v>
      </c>
      <c r="E254" s="11" t="str">
        <f>IF(AND(U254&gt;0,VLOOKUP(B254,'이름 일치'!$B$3:$N$500,13,FALSE)&lt;&gt;""),"1상담"&amp;"/"&amp;VLOOKUP(B254,'이름 일치'!$B$3:$N$500,13,FALSE),IF(U254&gt;0,"1상담",IF(VLOOKUP(B254,'이름 일치'!$B$3:$N$500,13,FALSE)&lt;&gt;"",VLOOKUP(B254,'이름 일치'!$B$3:$N$500,13,FALSE),"")))</f>
        <v>1상담</v>
      </c>
      <c r="F254" s="11"/>
      <c r="G254" s="2"/>
      <c r="H254" s="13">
        <v>23</v>
      </c>
      <c r="I254" s="13">
        <v>23</v>
      </c>
      <c r="J254" s="13">
        <v>45</v>
      </c>
      <c r="K254" s="6">
        <v>0</v>
      </c>
      <c r="L254" s="6">
        <v>3</v>
      </c>
      <c r="M254" s="6">
        <v>3</v>
      </c>
      <c r="N254" s="6" t="s">
        <v>187</v>
      </c>
      <c r="O254" s="6" t="s">
        <v>191</v>
      </c>
      <c r="P254" s="6" t="s">
        <v>191</v>
      </c>
      <c r="Q254" s="6" t="s">
        <v>191</v>
      </c>
      <c r="R254" s="6" t="s">
        <v>187</v>
      </c>
      <c r="S254" s="108" t="s">
        <v>192</v>
      </c>
      <c r="T254" s="111">
        <f>VALUE(SUM(H254:J254))</f>
        <v>91</v>
      </c>
      <c r="U254" s="12">
        <f>IF(COUNTIF(N254:S254,"높음")&gt;=1,1,0)</f>
        <v>1</v>
      </c>
    </row>
    <row r="255" spans="1:21" x14ac:dyDescent="0.3">
      <c r="A255" s="11" t="s">
        <v>531</v>
      </c>
      <c r="B255" s="2">
        <v>10606</v>
      </c>
      <c r="C255" s="2">
        <v>2</v>
      </c>
      <c r="D255" s="2" t="s">
        <v>353</v>
      </c>
      <c r="E255" s="11" t="str">
        <f>IF(AND(U255&gt;0,VLOOKUP(B255,'이름 일치'!$B$3:$N$500,13,FALSE)&lt;&gt;""),"1상담"&amp;"/"&amp;VLOOKUP(B255,'이름 일치'!$B$3:$N$500,13,FALSE),IF(U255&gt;0,"1상담",IF(VLOOKUP(B255,'이름 일치'!$B$3:$N$500,13,FALSE)&lt;&gt;"",VLOOKUP(B255,'이름 일치'!$B$3:$N$500,13,FALSE),"")))</f>
        <v>1상담</v>
      </c>
      <c r="F255" s="11"/>
      <c r="G255" s="2"/>
      <c r="H255" s="13">
        <v>23</v>
      </c>
      <c r="I255" s="13">
        <v>23</v>
      </c>
      <c r="J255" s="13">
        <v>45</v>
      </c>
      <c r="K255" s="6">
        <v>0</v>
      </c>
      <c r="L255" s="6">
        <v>3</v>
      </c>
      <c r="M255" s="6">
        <v>3</v>
      </c>
      <c r="N255" s="6" t="s">
        <v>187</v>
      </c>
      <c r="O255" s="6" t="s">
        <v>191</v>
      </c>
      <c r="P255" s="6" t="s">
        <v>191</v>
      </c>
      <c r="Q255" s="6" t="s">
        <v>191</v>
      </c>
      <c r="R255" s="6" t="s">
        <v>187</v>
      </c>
      <c r="S255" s="108" t="s">
        <v>192</v>
      </c>
      <c r="T255" s="111">
        <f>VALUE(SUM(H255:J255))</f>
        <v>91</v>
      </c>
      <c r="U255" s="12">
        <f>IF(COUNTIF(N255:S255,"높음")&gt;=1,1,0)</f>
        <v>1</v>
      </c>
    </row>
    <row r="256" spans="1:21" x14ac:dyDescent="0.3">
      <c r="A256" s="11" t="s">
        <v>531</v>
      </c>
      <c r="B256" s="2">
        <v>10614</v>
      </c>
      <c r="C256" s="2">
        <v>2</v>
      </c>
      <c r="D256" s="2" t="s">
        <v>360</v>
      </c>
      <c r="E256" s="11" t="str">
        <f>IF(AND(U256&gt;0,VLOOKUP(B256,'이름 일치'!$B$3:$N$500,13,FALSE)&lt;&gt;""),"1상담"&amp;"/"&amp;VLOOKUP(B256,'이름 일치'!$B$3:$N$500,13,FALSE),IF(U256&gt;0,"1상담",IF(VLOOKUP(B256,'이름 일치'!$B$3:$N$500,13,FALSE)&lt;&gt;"",VLOOKUP(B256,'이름 일치'!$B$3:$N$500,13,FALSE),"")))</f>
        <v>1상담</v>
      </c>
      <c r="F256" s="11"/>
      <c r="G256" s="2"/>
      <c r="H256" s="13">
        <v>23</v>
      </c>
      <c r="I256" s="13">
        <v>23</v>
      </c>
      <c r="J256" s="13">
        <v>45</v>
      </c>
      <c r="K256" s="6">
        <v>0</v>
      </c>
      <c r="L256" s="6">
        <v>3</v>
      </c>
      <c r="M256" s="6">
        <v>3</v>
      </c>
      <c r="N256" s="6" t="s">
        <v>187</v>
      </c>
      <c r="O256" s="6" t="s">
        <v>191</v>
      </c>
      <c r="P256" s="6" t="s">
        <v>191</v>
      </c>
      <c r="Q256" s="6" t="s">
        <v>191</v>
      </c>
      <c r="R256" s="6" t="s">
        <v>187</v>
      </c>
      <c r="S256" s="108" t="s">
        <v>192</v>
      </c>
      <c r="T256" s="111">
        <f>VALUE(SUM(H256:J256))</f>
        <v>91</v>
      </c>
      <c r="U256" s="12">
        <f>IF(COUNTIF(N256:S256,"높음")&gt;=1,1,0)</f>
        <v>1</v>
      </c>
    </row>
    <row r="257" spans="1:25" x14ac:dyDescent="0.3">
      <c r="A257" s="2" t="s">
        <v>531</v>
      </c>
      <c r="B257" s="2">
        <v>10701</v>
      </c>
      <c r="C257" s="2">
        <v>2</v>
      </c>
      <c r="D257" s="2" t="s">
        <v>376</v>
      </c>
      <c r="E257" s="11" t="str">
        <f>IF(AND(U257&gt;0,VLOOKUP(B257,'이름 일치'!$B$3:$N$500,13,FALSE)&lt;&gt;""),"1상담"&amp;"/"&amp;VLOOKUP(B257,'이름 일치'!$B$3:$N$500,13,FALSE),IF(U257&gt;0,"1상담",IF(VLOOKUP(B257,'이름 일치'!$B$3:$N$500,13,FALSE)&lt;&gt;"",VLOOKUP(B257,'이름 일치'!$B$3:$N$500,13,FALSE),"")))</f>
        <v>1상담</v>
      </c>
      <c r="F257" s="11"/>
      <c r="G257" s="2"/>
      <c r="H257" s="13">
        <v>23</v>
      </c>
      <c r="I257" s="13">
        <v>23</v>
      </c>
      <c r="J257" s="13">
        <v>45</v>
      </c>
      <c r="K257" s="6">
        <v>0</v>
      </c>
      <c r="L257" s="6">
        <v>3</v>
      </c>
      <c r="M257" s="6">
        <v>3</v>
      </c>
      <c r="N257" s="6" t="s">
        <v>187</v>
      </c>
      <c r="O257" s="6" t="s">
        <v>191</v>
      </c>
      <c r="P257" s="6" t="s">
        <v>191</v>
      </c>
      <c r="Q257" s="6" t="s">
        <v>191</v>
      </c>
      <c r="R257" s="6" t="s">
        <v>187</v>
      </c>
      <c r="S257" s="108" t="s">
        <v>192</v>
      </c>
      <c r="T257" s="111">
        <f>VALUE(SUM(H257:J257))</f>
        <v>91</v>
      </c>
      <c r="U257" s="12">
        <f>IF(COUNTIF(N257:S257,"높음")&gt;=1,1,0)</f>
        <v>1</v>
      </c>
    </row>
    <row r="258" spans="1:25" x14ac:dyDescent="0.3">
      <c r="A258" s="2" t="s">
        <v>531</v>
      </c>
      <c r="B258" s="2">
        <v>10705</v>
      </c>
      <c r="C258" s="2">
        <v>2</v>
      </c>
      <c r="D258" s="2" t="s">
        <v>380</v>
      </c>
      <c r="E258" s="11" t="str">
        <f>IF(AND(U258&gt;0,VLOOKUP(B258,'이름 일치'!$B$3:$N$500,13,FALSE)&lt;&gt;""),"1상담"&amp;"/"&amp;VLOOKUP(B258,'이름 일치'!$B$3:$N$500,13,FALSE),IF(U258&gt;0,"1상담",IF(VLOOKUP(B258,'이름 일치'!$B$3:$N$500,13,FALSE)&lt;&gt;"",VLOOKUP(B258,'이름 일치'!$B$3:$N$500,13,FALSE),"")))</f>
        <v>1상담</v>
      </c>
      <c r="F258" s="11"/>
      <c r="G258" s="2"/>
      <c r="H258" s="13">
        <v>23</v>
      </c>
      <c r="I258" s="13">
        <v>23</v>
      </c>
      <c r="J258" s="13">
        <v>45</v>
      </c>
      <c r="K258" s="6">
        <v>0</v>
      </c>
      <c r="L258" s="6">
        <v>3</v>
      </c>
      <c r="M258" s="6">
        <v>3</v>
      </c>
      <c r="N258" s="6" t="s">
        <v>187</v>
      </c>
      <c r="O258" s="6" t="s">
        <v>191</v>
      </c>
      <c r="P258" s="6" t="s">
        <v>191</v>
      </c>
      <c r="Q258" s="6" t="s">
        <v>191</v>
      </c>
      <c r="R258" s="6" t="s">
        <v>187</v>
      </c>
      <c r="S258" s="108" t="s">
        <v>192</v>
      </c>
      <c r="T258" s="111">
        <f>VALUE(SUM(H258:J258))</f>
        <v>91</v>
      </c>
      <c r="U258" s="12">
        <f>IF(COUNTIF(N258:S258,"높음")&gt;=1,1,0)</f>
        <v>1</v>
      </c>
    </row>
    <row r="259" spans="1:25" x14ac:dyDescent="0.3">
      <c r="A259" s="2" t="s">
        <v>531</v>
      </c>
      <c r="B259" s="2">
        <v>10709</v>
      </c>
      <c r="C259" s="2">
        <v>2</v>
      </c>
      <c r="D259" s="2" t="s">
        <v>384</v>
      </c>
      <c r="E259" s="11" t="str">
        <f>IF(AND(U259&gt;0,VLOOKUP(B259,'이름 일치'!$B$3:$N$500,13,FALSE)&lt;&gt;""),"1상담"&amp;"/"&amp;VLOOKUP(B259,'이름 일치'!$B$3:$N$500,13,FALSE),IF(U259&gt;0,"1상담",IF(VLOOKUP(B259,'이름 일치'!$B$3:$N$500,13,FALSE)&lt;&gt;"",VLOOKUP(B259,'이름 일치'!$B$3:$N$500,13,FALSE),"")))</f>
        <v>1상담</v>
      </c>
      <c r="F259" s="11"/>
      <c r="G259" s="2"/>
      <c r="H259" s="13">
        <v>23</v>
      </c>
      <c r="I259" s="13">
        <v>23</v>
      </c>
      <c r="J259" s="13">
        <v>45</v>
      </c>
      <c r="K259" s="6">
        <v>0</v>
      </c>
      <c r="L259" s="6">
        <v>3</v>
      </c>
      <c r="M259" s="6">
        <v>3</v>
      </c>
      <c r="N259" s="6" t="s">
        <v>187</v>
      </c>
      <c r="O259" s="6" t="s">
        <v>191</v>
      </c>
      <c r="P259" s="6" t="s">
        <v>191</v>
      </c>
      <c r="Q259" s="6" t="s">
        <v>191</v>
      </c>
      <c r="R259" s="6" t="s">
        <v>187</v>
      </c>
      <c r="S259" s="108" t="s">
        <v>192</v>
      </c>
      <c r="T259" s="111">
        <f>VALUE(SUM(H259:J259))</f>
        <v>91</v>
      </c>
      <c r="U259" s="12">
        <f>IF(COUNTIF(N259:S259,"높음")&gt;=1,1,0)</f>
        <v>1</v>
      </c>
    </row>
    <row r="260" spans="1:25" x14ac:dyDescent="0.3">
      <c r="A260" s="2" t="s">
        <v>531</v>
      </c>
      <c r="B260" s="2">
        <v>10713</v>
      </c>
      <c r="C260" s="2">
        <v>2</v>
      </c>
      <c r="D260" s="2" t="s">
        <v>388</v>
      </c>
      <c r="E260" s="11" t="str">
        <f>IF(AND(U260&gt;0,VLOOKUP(B260,'이름 일치'!$B$3:$N$500,13,FALSE)&lt;&gt;""),"1상담"&amp;"/"&amp;VLOOKUP(B260,'이름 일치'!$B$3:$N$500,13,FALSE),IF(U260&gt;0,"1상담",IF(VLOOKUP(B260,'이름 일치'!$B$3:$N$500,13,FALSE)&lt;&gt;"",VLOOKUP(B260,'이름 일치'!$B$3:$N$500,13,FALSE),"")))</f>
        <v>1상담</v>
      </c>
      <c r="F260" s="11"/>
      <c r="G260" s="2"/>
      <c r="H260" s="13">
        <v>23</v>
      </c>
      <c r="I260" s="13">
        <v>23</v>
      </c>
      <c r="J260" s="13">
        <v>45</v>
      </c>
      <c r="K260" s="6">
        <v>0</v>
      </c>
      <c r="L260" s="6">
        <v>3</v>
      </c>
      <c r="M260" s="6">
        <v>3</v>
      </c>
      <c r="N260" s="6" t="s">
        <v>187</v>
      </c>
      <c r="O260" s="6" t="s">
        <v>191</v>
      </c>
      <c r="P260" s="6" t="s">
        <v>191</v>
      </c>
      <c r="Q260" s="6" t="s">
        <v>191</v>
      </c>
      <c r="R260" s="6" t="s">
        <v>187</v>
      </c>
      <c r="S260" s="108" t="s">
        <v>192</v>
      </c>
      <c r="T260" s="111">
        <f>VALUE(SUM(H260:J260))</f>
        <v>91</v>
      </c>
      <c r="U260" s="12">
        <f>IF(COUNTIF(N260:S260,"높음")&gt;=1,1,0)</f>
        <v>1</v>
      </c>
    </row>
    <row r="261" spans="1:25" x14ac:dyDescent="0.3">
      <c r="A261" s="2" t="s">
        <v>531</v>
      </c>
      <c r="B261" s="2">
        <v>10803</v>
      </c>
      <c r="C261" s="2">
        <v>2</v>
      </c>
      <c r="D261" s="2" t="s">
        <v>408</v>
      </c>
      <c r="E261" s="11" t="str">
        <f>IF(AND(U261&gt;0,VLOOKUP(B261,'이름 일치'!$B$3:$N$500,13,FALSE)&lt;&gt;""),"1상담"&amp;"/"&amp;VLOOKUP(B261,'이름 일치'!$B$3:$N$500,13,FALSE),IF(U261&gt;0,"1상담",IF(VLOOKUP(B261,'이름 일치'!$B$3:$N$500,13,FALSE)&lt;&gt;"",VLOOKUP(B261,'이름 일치'!$B$3:$N$500,13,FALSE),"")))</f>
        <v>1상담</v>
      </c>
      <c r="F261" s="11"/>
      <c r="G261" s="2"/>
      <c r="H261" s="13">
        <v>23</v>
      </c>
      <c r="I261" s="13">
        <v>23</v>
      </c>
      <c r="J261" s="13">
        <v>45</v>
      </c>
      <c r="K261" s="6">
        <v>0</v>
      </c>
      <c r="L261" s="6">
        <v>3</v>
      </c>
      <c r="M261" s="6">
        <v>3</v>
      </c>
      <c r="N261" s="6" t="s">
        <v>187</v>
      </c>
      <c r="O261" s="6" t="s">
        <v>191</v>
      </c>
      <c r="P261" s="6" t="s">
        <v>191</v>
      </c>
      <c r="Q261" s="6" t="s">
        <v>191</v>
      </c>
      <c r="R261" s="6" t="s">
        <v>187</v>
      </c>
      <c r="S261" s="108" t="s">
        <v>192</v>
      </c>
      <c r="T261" s="111">
        <f>VALUE(SUM(H261:J261))</f>
        <v>91</v>
      </c>
      <c r="U261" s="12">
        <f>IF(COUNTIF(N261:S261,"높음")&gt;=1,1,0)</f>
        <v>1</v>
      </c>
    </row>
    <row r="262" spans="1:25" x14ac:dyDescent="0.3">
      <c r="A262" s="2" t="s">
        <v>531</v>
      </c>
      <c r="B262" s="2">
        <v>10807</v>
      </c>
      <c r="C262" s="2">
        <v>2</v>
      </c>
      <c r="D262" s="2" t="s">
        <v>412</v>
      </c>
      <c r="E262" s="11" t="str">
        <f>IF(AND(U262&gt;0,VLOOKUP(B262,'이름 일치'!$B$3:$N$500,13,FALSE)&lt;&gt;""),"1상담"&amp;"/"&amp;VLOOKUP(B262,'이름 일치'!$B$3:$N$500,13,FALSE),IF(U262&gt;0,"1상담",IF(VLOOKUP(B262,'이름 일치'!$B$3:$N$500,13,FALSE)&lt;&gt;"",VLOOKUP(B262,'이름 일치'!$B$3:$N$500,13,FALSE),"")))</f>
        <v>1상담</v>
      </c>
      <c r="F262" s="11"/>
      <c r="G262" s="2"/>
      <c r="H262" s="13">
        <v>23</v>
      </c>
      <c r="I262" s="13">
        <v>23</v>
      </c>
      <c r="J262" s="13">
        <v>45</v>
      </c>
      <c r="K262" s="6">
        <v>0</v>
      </c>
      <c r="L262" s="6">
        <v>3</v>
      </c>
      <c r="M262" s="6">
        <v>3</v>
      </c>
      <c r="N262" s="6" t="s">
        <v>187</v>
      </c>
      <c r="O262" s="6" t="s">
        <v>191</v>
      </c>
      <c r="P262" s="6" t="s">
        <v>191</v>
      </c>
      <c r="Q262" s="6" t="s">
        <v>191</v>
      </c>
      <c r="R262" s="6" t="s">
        <v>187</v>
      </c>
      <c r="S262" s="108" t="s">
        <v>192</v>
      </c>
      <c r="T262" s="111">
        <f>VALUE(SUM(H262:J262))</f>
        <v>91</v>
      </c>
      <c r="U262" s="12">
        <f>IF(COUNTIF(N262:S262,"높음")&gt;=1,1,0)</f>
        <v>1</v>
      </c>
    </row>
    <row r="263" spans="1:25" x14ac:dyDescent="0.3">
      <c r="A263" s="11" t="s">
        <v>531</v>
      </c>
      <c r="B263" s="2">
        <v>10811</v>
      </c>
      <c r="C263" s="2">
        <v>2</v>
      </c>
      <c r="D263" s="2" t="s">
        <v>416</v>
      </c>
      <c r="E263" s="11" t="str">
        <f>IF(AND(U263&gt;0,VLOOKUP(B263,'이름 일치'!$B$3:$N$500,13,FALSE)&lt;&gt;""),"1상담"&amp;"/"&amp;VLOOKUP(B263,'이름 일치'!$B$3:$N$500,13,FALSE),IF(U263&gt;0,"1상담",IF(VLOOKUP(B263,'이름 일치'!$B$3:$N$500,13,FALSE)&lt;&gt;"",VLOOKUP(B263,'이름 일치'!$B$3:$N$500,13,FALSE),"")))</f>
        <v>1상담</v>
      </c>
      <c r="F263" s="11"/>
      <c r="G263" s="2"/>
      <c r="H263" s="13">
        <v>23</v>
      </c>
      <c r="I263" s="13">
        <v>23</v>
      </c>
      <c r="J263" s="13">
        <v>45</v>
      </c>
      <c r="K263" s="6">
        <v>0</v>
      </c>
      <c r="L263" s="6">
        <v>3</v>
      </c>
      <c r="M263" s="6">
        <v>3</v>
      </c>
      <c r="N263" s="6" t="s">
        <v>187</v>
      </c>
      <c r="O263" s="6" t="s">
        <v>191</v>
      </c>
      <c r="P263" s="6" t="s">
        <v>191</v>
      </c>
      <c r="Q263" s="6" t="s">
        <v>191</v>
      </c>
      <c r="R263" s="6" t="s">
        <v>187</v>
      </c>
      <c r="S263" s="108" t="s">
        <v>192</v>
      </c>
      <c r="T263" s="111">
        <f>VALUE(SUM(H263:J263))</f>
        <v>91</v>
      </c>
      <c r="U263" s="12">
        <f>IF(COUNTIF(N263:S263,"높음")&gt;=1,1,0)</f>
        <v>1</v>
      </c>
    </row>
    <row r="264" spans="1:25" x14ac:dyDescent="0.3">
      <c r="A264" s="2" t="s">
        <v>531</v>
      </c>
      <c r="B264" s="2">
        <v>10902</v>
      </c>
      <c r="C264" s="2">
        <v>2</v>
      </c>
      <c r="D264" s="2" t="s">
        <v>434</v>
      </c>
      <c r="E264" s="11" t="str">
        <f>IF(AND(U264&gt;0,VLOOKUP(B264,'이름 일치'!$B$3:$N$500,13,FALSE)&lt;&gt;""),"1상담"&amp;"/"&amp;VLOOKUP(B264,'이름 일치'!$B$3:$N$500,13,FALSE),IF(U264&gt;0,"1상담",IF(VLOOKUP(B264,'이름 일치'!$B$3:$N$500,13,FALSE)&lt;&gt;"",VLOOKUP(B264,'이름 일치'!$B$3:$N$500,13,FALSE),"")))</f>
        <v>1상담</v>
      </c>
      <c r="F264" s="11"/>
      <c r="G264" s="2"/>
      <c r="H264" s="13">
        <v>23</v>
      </c>
      <c r="I264" s="13">
        <v>23</v>
      </c>
      <c r="J264" s="13">
        <v>45</v>
      </c>
      <c r="K264" s="6">
        <v>0</v>
      </c>
      <c r="L264" s="6">
        <v>3</v>
      </c>
      <c r="M264" s="6">
        <v>3</v>
      </c>
      <c r="N264" s="6" t="s">
        <v>187</v>
      </c>
      <c r="O264" s="6" t="s">
        <v>191</v>
      </c>
      <c r="P264" s="6" t="s">
        <v>191</v>
      </c>
      <c r="Q264" s="6" t="s">
        <v>191</v>
      </c>
      <c r="R264" s="6" t="s">
        <v>187</v>
      </c>
      <c r="S264" s="108" t="s">
        <v>192</v>
      </c>
      <c r="T264" s="111">
        <f>VALUE(SUM(H264:J264))</f>
        <v>91</v>
      </c>
      <c r="U264" s="12">
        <f>IF(COUNTIF(N264:S264,"높음")&gt;=1,1,0)</f>
        <v>1</v>
      </c>
    </row>
    <row r="265" spans="1:25" x14ac:dyDescent="0.3">
      <c r="A265" s="2" t="s">
        <v>531</v>
      </c>
      <c r="B265" s="2">
        <v>10906</v>
      </c>
      <c r="C265" s="2">
        <v>2</v>
      </c>
      <c r="D265" s="2" t="s">
        <v>438</v>
      </c>
      <c r="E265" s="11" t="str">
        <f>IF(AND(U265&gt;0,VLOOKUP(B265,'이름 일치'!$B$3:$N$500,13,FALSE)&lt;&gt;""),"1상담"&amp;"/"&amp;VLOOKUP(B265,'이름 일치'!$B$3:$N$500,13,FALSE),IF(U265&gt;0,"1상담",IF(VLOOKUP(B265,'이름 일치'!$B$3:$N$500,13,FALSE)&lt;&gt;"",VLOOKUP(B265,'이름 일치'!$B$3:$N$500,13,FALSE),"")))</f>
        <v>1상담</v>
      </c>
      <c r="F265" s="11"/>
      <c r="G265" s="2"/>
      <c r="H265" s="13">
        <v>23</v>
      </c>
      <c r="I265" s="13">
        <v>23</v>
      </c>
      <c r="J265" s="13">
        <v>45</v>
      </c>
      <c r="K265" s="6">
        <v>0</v>
      </c>
      <c r="L265" s="6">
        <v>3</v>
      </c>
      <c r="M265" s="6">
        <v>3</v>
      </c>
      <c r="N265" s="6" t="s">
        <v>187</v>
      </c>
      <c r="O265" s="6" t="s">
        <v>191</v>
      </c>
      <c r="P265" s="6" t="s">
        <v>191</v>
      </c>
      <c r="Q265" s="6" t="s">
        <v>191</v>
      </c>
      <c r="R265" s="6" t="s">
        <v>187</v>
      </c>
      <c r="S265" s="108" t="s">
        <v>192</v>
      </c>
      <c r="T265" s="111">
        <f>VALUE(SUM(H265:J265))</f>
        <v>91</v>
      </c>
      <c r="U265" s="12">
        <f>IF(COUNTIF(N265:S265,"높음")&gt;=1,1,0)</f>
        <v>1</v>
      </c>
    </row>
    <row r="266" spans="1:25" x14ac:dyDescent="0.3">
      <c r="A266" s="2" t="s">
        <v>531</v>
      </c>
      <c r="B266" s="2">
        <v>10910</v>
      </c>
      <c r="C266" s="2">
        <v>2</v>
      </c>
      <c r="D266" s="2" t="s">
        <v>442</v>
      </c>
      <c r="E266" s="11" t="str">
        <f>IF(AND(U266&gt;0,VLOOKUP(B266,'이름 일치'!$B$3:$N$500,13,FALSE)&lt;&gt;""),"1상담"&amp;"/"&amp;VLOOKUP(B266,'이름 일치'!$B$3:$N$500,13,FALSE),IF(U266&gt;0,"1상담",IF(VLOOKUP(B266,'이름 일치'!$B$3:$N$500,13,FALSE)&lt;&gt;"",VLOOKUP(B266,'이름 일치'!$B$3:$N$500,13,FALSE),"")))</f>
        <v>1상담</v>
      </c>
      <c r="F266" s="11"/>
      <c r="G266" s="2"/>
      <c r="H266" s="13">
        <v>23</v>
      </c>
      <c r="I266" s="13">
        <v>23</v>
      </c>
      <c r="J266" s="13">
        <v>45</v>
      </c>
      <c r="K266" s="6">
        <v>0</v>
      </c>
      <c r="L266" s="6">
        <v>3</v>
      </c>
      <c r="M266" s="6">
        <v>3</v>
      </c>
      <c r="N266" s="6" t="s">
        <v>187</v>
      </c>
      <c r="O266" s="6" t="s">
        <v>191</v>
      </c>
      <c r="P266" s="6" t="s">
        <v>191</v>
      </c>
      <c r="Q266" s="6" t="s">
        <v>191</v>
      </c>
      <c r="R266" s="6" t="s">
        <v>187</v>
      </c>
      <c r="S266" s="108" t="s">
        <v>192</v>
      </c>
      <c r="T266" s="111">
        <f>VALUE(SUM(H266:J266))</f>
        <v>91</v>
      </c>
      <c r="U266" s="12">
        <f>IF(COUNTIF(N266:S266,"높음")&gt;=1,1,0)</f>
        <v>1</v>
      </c>
    </row>
    <row r="267" spans="1:25" x14ac:dyDescent="0.3">
      <c r="A267" s="11" t="s">
        <v>531</v>
      </c>
      <c r="B267" s="2">
        <v>10914</v>
      </c>
      <c r="C267" s="2">
        <v>2</v>
      </c>
      <c r="D267" s="2" t="s">
        <v>446</v>
      </c>
      <c r="E267" s="11" t="str">
        <f>IF(AND(U267&gt;0,VLOOKUP(B267,'이름 일치'!$B$3:$N$500,13,FALSE)&lt;&gt;""),"1상담"&amp;"/"&amp;VLOOKUP(B267,'이름 일치'!$B$3:$N$500,13,FALSE),IF(U267&gt;0,"1상담",IF(VLOOKUP(B267,'이름 일치'!$B$3:$N$500,13,FALSE)&lt;&gt;"",VLOOKUP(B267,'이름 일치'!$B$3:$N$500,13,FALSE),"")))</f>
        <v>1상담</v>
      </c>
      <c r="F267" s="11"/>
      <c r="G267" s="2"/>
      <c r="H267" s="13">
        <v>23</v>
      </c>
      <c r="I267" s="13">
        <v>23</v>
      </c>
      <c r="J267" s="13">
        <v>45</v>
      </c>
      <c r="K267" s="6">
        <v>0</v>
      </c>
      <c r="L267" s="6">
        <v>3</v>
      </c>
      <c r="M267" s="6">
        <v>3</v>
      </c>
      <c r="N267" s="6" t="s">
        <v>187</v>
      </c>
      <c r="O267" s="6" t="s">
        <v>191</v>
      </c>
      <c r="P267" s="6" t="s">
        <v>191</v>
      </c>
      <c r="Q267" s="6" t="s">
        <v>191</v>
      </c>
      <c r="R267" s="6" t="s">
        <v>187</v>
      </c>
      <c r="S267" s="108" t="s">
        <v>192</v>
      </c>
      <c r="T267" s="111">
        <f>VALUE(SUM(H267:J267))</f>
        <v>91</v>
      </c>
      <c r="U267" s="12">
        <f>IF(COUNTIF(N267:S267,"높음")&gt;=1,1,0)</f>
        <v>1</v>
      </c>
    </row>
    <row r="268" spans="1:25" x14ac:dyDescent="0.3">
      <c r="A268" s="25" t="s">
        <v>531</v>
      </c>
      <c r="B268" s="16">
        <v>10931</v>
      </c>
      <c r="C268" s="16">
        <v>2</v>
      </c>
      <c r="D268" s="16" t="s">
        <v>461</v>
      </c>
      <c r="E268" s="11" t="str">
        <f>IF(AND(U268&gt;0,VLOOKUP(B268,'이름 일치'!$B$3:$N$500,13,FALSE)&lt;&gt;""),"1상담"&amp;"/"&amp;VLOOKUP(B268,'이름 일치'!$B$3:$N$500,13,FALSE),IF(U268&gt;0,"1상담",IF(VLOOKUP(B268,'이름 일치'!$B$3:$N$500,13,FALSE)&lt;&gt;"",VLOOKUP(B268,'이름 일치'!$B$3:$N$500,13,FALSE),"")))</f>
        <v>1상담</v>
      </c>
      <c r="F268" s="11"/>
      <c r="G268" s="16"/>
      <c r="H268" s="26">
        <v>23</v>
      </c>
      <c r="I268" s="26">
        <v>23</v>
      </c>
      <c r="J268" s="26">
        <v>45</v>
      </c>
      <c r="K268" s="28">
        <v>0</v>
      </c>
      <c r="L268" s="28">
        <v>3</v>
      </c>
      <c r="M268" s="28">
        <v>3</v>
      </c>
      <c r="N268" s="28" t="s">
        <v>187</v>
      </c>
      <c r="O268" s="28" t="s">
        <v>191</v>
      </c>
      <c r="P268" s="28" t="s">
        <v>191</v>
      </c>
      <c r="Q268" s="28" t="s">
        <v>191</v>
      </c>
      <c r="R268" s="28" t="s">
        <v>187</v>
      </c>
      <c r="S268" s="109" t="s">
        <v>192</v>
      </c>
      <c r="T268" s="111">
        <f>VALUE(SUM(H268:J268))</f>
        <v>91</v>
      </c>
      <c r="U268" s="12">
        <f>IF(COUNTIF(N268:S268,"높음")&gt;=1,1,0)</f>
        <v>1</v>
      </c>
      <c r="X268" s="14"/>
      <c r="Y268" s="15"/>
    </row>
    <row r="269" spans="1:25" x14ac:dyDescent="0.3">
      <c r="A269" s="2" t="s">
        <v>531</v>
      </c>
      <c r="B269" s="2">
        <v>11004</v>
      </c>
      <c r="C269" s="2">
        <v>2</v>
      </c>
      <c r="D269" s="2" t="s">
        <v>465</v>
      </c>
      <c r="E269" s="11" t="str">
        <f>IF(AND(U269&gt;0,VLOOKUP(B269,'이름 일치'!$B$3:$N$500,13,FALSE)&lt;&gt;""),"1상담"&amp;"/"&amp;VLOOKUP(B269,'이름 일치'!$B$3:$N$500,13,FALSE),IF(U269&gt;0,"1상담",IF(VLOOKUP(B269,'이름 일치'!$B$3:$N$500,13,FALSE)&lt;&gt;"",VLOOKUP(B269,'이름 일치'!$B$3:$N$500,13,FALSE),"")))</f>
        <v>1상담</v>
      </c>
      <c r="F269" s="11"/>
      <c r="G269" s="2"/>
      <c r="H269" s="13">
        <v>23</v>
      </c>
      <c r="I269" s="13">
        <v>23</v>
      </c>
      <c r="J269" s="13">
        <v>45</v>
      </c>
      <c r="K269" s="6">
        <v>0</v>
      </c>
      <c r="L269" s="6">
        <v>3</v>
      </c>
      <c r="M269" s="6">
        <v>3</v>
      </c>
      <c r="N269" s="6" t="s">
        <v>187</v>
      </c>
      <c r="O269" s="6" t="s">
        <v>191</v>
      </c>
      <c r="P269" s="6" t="s">
        <v>191</v>
      </c>
      <c r="Q269" s="6" t="s">
        <v>191</v>
      </c>
      <c r="R269" s="6" t="s">
        <v>187</v>
      </c>
      <c r="S269" s="108" t="s">
        <v>192</v>
      </c>
      <c r="T269" s="111">
        <f>VALUE(SUM(H269:J269))</f>
        <v>91</v>
      </c>
      <c r="U269" s="12">
        <f>IF(COUNTIF(N269:S269,"높음")&gt;=1,1,0)</f>
        <v>1</v>
      </c>
    </row>
    <row r="270" spans="1:25" x14ac:dyDescent="0.3">
      <c r="A270" s="2" t="s">
        <v>531</v>
      </c>
      <c r="B270" s="2">
        <v>11012</v>
      </c>
      <c r="C270" s="2">
        <v>2</v>
      </c>
      <c r="D270" s="2" t="s">
        <v>472</v>
      </c>
      <c r="E270" s="11" t="str">
        <f>IF(AND(U270&gt;0,VLOOKUP(B270,'이름 일치'!$B$3:$N$500,13,FALSE)&lt;&gt;""),"1상담"&amp;"/"&amp;VLOOKUP(B270,'이름 일치'!$B$3:$N$500,13,FALSE),IF(U270&gt;0,"1상담",IF(VLOOKUP(B270,'이름 일치'!$B$3:$N$500,13,FALSE)&lt;&gt;"",VLOOKUP(B270,'이름 일치'!$B$3:$N$500,13,FALSE),"")))</f>
        <v>1상담</v>
      </c>
      <c r="F270" s="11"/>
      <c r="G270" s="2"/>
      <c r="H270" s="13">
        <v>23</v>
      </c>
      <c r="I270" s="13">
        <v>23</v>
      </c>
      <c r="J270" s="13">
        <v>45</v>
      </c>
      <c r="K270" s="6">
        <v>0</v>
      </c>
      <c r="L270" s="6">
        <v>3</v>
      </c>
      <c r="M270" s="6">
        <v>3</v>
      </c>
      <c r="N270" s="6" t="s">
        <v>187</v>
      </c>
      <c r="O270" s="6" t="s">
        <v>191</v>
      </c>
      <c r="P270" s="6" t="s">
        <v>191</v>
      </c>
      <c r="Q270" s="6" t="s">
        <v>191</v>
      </c>
      <c r="R270" s="6" t="s">
        <v>187</v>
      </c>
      <c r="S270" s="108" t="s">
        <v>192</v>
      </c>
      <c r="T270" s="111">
        <f>VALUE(SUM(H270:J270))</f>
        <v>91</v>
      </c>
      <c r="U270" s="12">
        <f>IF(COUNTIF(N270:S270,"높음")&gt;=1,1,0)</f>
        <v>1</v>
      </c>
    </row>
    <row r="271" spans="1:25" x14ac:dyDescent="0.3">
      <c r="A271" s="2" t="s">
        <v>531</v>
      </c>
      <c r="B271" s="2">
        <v>10107</v>
      </c>
      <c r="C271" s="2">
        <v>2</v>
      </c>
      <c r="D271" s="2" t="s">
        <v>209</v>
      </c>
      <c r="E271" s="11" t="str">
        <f>IF(AND(U271&gt;0,VLOOKUP(B271,'이름 일치'!$B$3:$N$500,13,FALSE)&lt;&gt;""),"1상담"&amp;"/"&amp;VLOOKUP(B271,'이름 일치'!$B$3:$N$500,13,FALSE),IF(U271&gt;0,"1상담",IF(VLOOKUP(B271,'이름 일치'!$B$3:$N$500,13,FALSE)&lt;&gt;"",VLOOKUP(B271,'이름 일치'!$B$3:$N$500,13,FALSE),"")))</f>
        <v>1상담</v>
      </c>
      <c r="F271" s="11"/>
      <c r="G271" s="2"/>
      <c r="H271" s="13">
        <v>77</v>
      </c>
      <c r="I271" s="13">
        <v>65</v>
      </c>
      <c r="J271" s="13">
        <v>76</v>
      </c>
      <c r="K271" s="6">
        <v>0</v>
      </c>
      <c r="L271" s="6">
        <v>5</v>
      </c>
      <c r="M271" s="6">
        <v>0</v>
      </c>
      <c r="N271" s="6" t="s">
        <v>192</v>
      </c>
      <c r="O271" s="6" t="s">
        <v>192</v>
      </c>
      <c r="P271" s="6" t="s">
        <v>192</v>
      </c>
      <c r="Q271" s="6" t="s">
        <v>192</v>
      </c>
      <c r="R271" s="6" t="s">
        <v>192</v>
      </c>
      <c r="S271" s="108" t="s">
        <v>192</v>
      </c>
      <c r="T271" s="111">
        <f>VALUE(SUM(H271:J271))</f>
        <v>218</v>
      </c>
      <c r="U271" s="12">
        <f>IF(COUNTIF(N271:S271,"높음")&gt;=1,1,0)</f>
        <v>1</v>
      </c>
    </row>
    <row r="272" spans="1:25" x14ac:dyDescent="0.3">
      <c r="A272" s="2" t="s">
        <v>531</v>
      </c>
      <c r="B272" s="2">
        <v>10111</v>
      </c>
      <c r="C272" s="2">
        <v>2</v>
      </c>
      <c r="D272" s="2" t="s">
        <v>213</v>
      </c>
      <c r="E272" s="11" t="str">
        <f>IF(AND(U272&gt;0,VLOOKUP(B272,'이름 일치'!$B$3:$N$500,13,FALSE)&lt;&gt;""),"1상담"&amp;"/"&amp;VLOOKUP(B272,'이름 일치'!$B$3:$N$500,13,FALSE),IF(U272&gt;0,"1상담",IF(VLOOKUP(B272,'이름 일치'!$B$3:$N$500,13,FALSE)&lt;&gt;"",VLOOKUP(B272,'이름 일치'!$B$3:$N$500,13,FALSE),"")))</f>
        <v>1상담</v>
      </c>
      <c r="F272" s="11"/>
      <c r="G272" s="2"/>
      <c r="H272" s="13">
        <v>77</v>
      </c>
      <c r="I272" s="13">
        <v>65</v>
      </c>
      <c r="J272" s="13">
        <v>76</v>
      </c>
      <c r="K272" s="6">
        <v>0</v>
      </c>
      <c r="L272" s="6">
        <v>5</v>
      </c>
      <c r="M272" s="6">
        <v>0</v>
      </c>
      <c r="N272" s="6" t="s">
        <v>192</v>
      </c>
      <c r="O272" s="6" t="s">
        <v>192</v>
      </c>
      <c r="P272" s="6" t="s">
        <v>192</v>
      </c>
      <c r="Q272" s="6" t="s">
        <v>192</v>
      </c>
      <c r="R272" s="6" t="s">
        <v>192</v>
      </c>
      <c r="S272" s="108" t="s">
        <v>192</v>
      </c>
      <c r="T272" s="111">
        <f>VALUE(SUM(H272:J272))</f>
        <v>218</v>
      </c>
      <c r="U272" s="12">
        <f>IF(COUNTIF(N272:S272,"높음")&gt;=1,1,0)</f>
        <v>1</v>
      </c>
    </row>
    <row r="273" spans="1:21" x14ac:dyDescent="0.3">
      <c r="A273" s="2" t="s">
        <v>531</v>
      </c>
      <c r="B273" s="2">
        <v>10115</v>
      </c>
      <c r="C273" s="2">
        <v>2</v>
      </c>
      <c r="D273" s="2" t="s">
        <v>217</v>
      </c>
      <c r="E273" s="11" t="str">
        <f>IF(AND(U273&gt;0,VLOOKUP(B273,'이름 일치'!$B$3:$N$500,13,FALSE)&lt;&gt;""),"1상담"&amp;"/"&amp;VLOOKUP(B273,'이름 일치'!$B$3:$N$500,13,FALSE),IF(U273&gt;0,"1상담",IF(VLOOKUP(B273,'이름 일치'!$B$3:$N$500,13,FALSE)&lt;&gt;"",VLOOKUP(B273,'이름 일치'!$B$3:$N$500,13,FALSE),"")))</f>
        <v>1상담</v>
      </c>
      <c r="F273" s="11"/>
      <c r="G273" s="2"/>
      <c r="H273" s="13">
        <v>77</v>
      </c>
      <c r="I273" s="13">
        <v>65</v>
      </c>
      <c r="J273" s="13">
        <v>76</v>
      </c>
      <c r="K273" s="6">
        <v>0</v>
      </c>
      <c r="L273" s="6">
        <v>5</v>
      </c>
      <c r="M273" s="6">
        <v>0</v>
      </c>
      <c r="N273" s="6" t="s">
        <v>192</v>
      </c>
      <c r="O273" s="6" t="s">
        <v>192</v>
      </c>
      <c r="P273" s="6" t="s">
        <v>192</v>
      </c>
      <c r="Q273" s="6" t="s">
        <v>192</v>
      </c>
      <c r="R273" s="6" t="s">
        <v>192</v>
      </c>
      <c r="S273" s="108" t="s">
        <v>192</v>
      </c>
      <c r="T273" s="111">
        <f>VALUE(SUM(H273:J273))</f>
        <v>218</v>
      </c>
      <c r="U273" s="12">
        <f>IF(COUNTIF(N273:S273,"높음")&gt;=1,1,0)</f>
        <v>1</v>
      </c>
    </row>
    <row r="274" spans="1:21" x14ac:dyDescent="0.3">
      <c r="A274" s="2" t="s">
        <v>531</v>
      </c>
      <c r="B274" s="2">
        <v>10202</v>
      </c>
      <c r="C274" s="2">
        <v>2</v>
      </c>
      <c r="D274" s="2" t="s">
        <v>233</v>
      </c>
      <c r="E274" s="11" t="str">
        <f>IF(AND(U274&gt;0,VLOOKUP(B274,'이름 일치'!$B$3:$N$500,13,FALSE)&lt;&gt;""),"1상담"&amp;"/"&amp;VLOOKUP(B274,'이름 일치'!$B$3:$N$500,13,FALSE),IF(U274&gt;0,"1상담",IF(VLOOKUP(B274,'이름 일치'!$B$3:$N$500,13,FALSE)&lt;&gt;"",VLOOKUP(B274,'이름 일치'!$B$3:$N$500,13,FALSE),"")))</f>
        <v>1상담</v>
      </c>
      <c r="F274" s="11"/>
      <c r="G274" s="2"/>
      <c r="H274" s="13">
        <v>77</v>
      </c>
      <c r="I274" s="13">
        <v>65</v>
      </c>
      <c r="J274" s="13">
        <v>76</v>
      </c>
      <c r="K274" s="6">
        <v>0</v>
      </c>
      <c r="L274" s="6">
        <v>5</v>
      </c>
      <c r="M274" s="6">
        <v>0</v>
      </c>
      <c r="N274" s="6" t="s">
        <v>192</v>
      </c>
      <c r="O274" s="6" t="s">
        <v>192</v>
      </c>
      <c r="P274" s="6" t="s">
        <v>192</v>
      </c>
      <c r="Q274" s="6" t="s">
        <v>192</v>
      </c>
      <c r="R274" s="6" t="s">
        <v>192</v>
      </c>
      <c r="S274" s="108" t="s">
        <v>192</v>
      </c>
      <c r="T274" s="111">
        <f>VALUE(SUM(H274:J274))</f>
        <v>218</v>
      </c>
      <c r="U274" s="12">
        <f>IF(COUNTIF(N274:S274,"높음")&gt;=1,1,0)</f>
        <v>1</v>
      </c>
    </row>
    <row r="275" spans="1:21" x14ac:dyDescent="0.3">
      <c r="A275" s="11" t="s">
        <v>531</v>
      </c>
      <c r="B275" s="2">
        <v>10206</v>
      </c>
      <c r="C275" s="2">
        <v>2</v>
      </c>
      <c r="D275" s="2" t="s">
        <v>237</v>
      </c>
      <c r="E275" s="11" t="str">
        <f>IF(AND(U275&gt;0,VLOOKUP(B275,'이름 일치'!$B$3:$N$500,13,FALSE)&lt;&gt;""),"1상담"&amp;"/"&amp;VLOOKUP(B275,'이름 일치'!$B$3:$N$500,13,FALSE),IF(U275&gt;0,"1상담",IF(VLOOKUP(B275,'이름 일치'!$B$3:$N$500,13,FALSE)&lt;&gt;"",VLOOKUP(B275,'이름 일치'!$B$3:$N$500,13,FALSE),"")))</f>
        <v>1상담</v>
      </c>
      <c r="F275" s="11"/>
      <c r="G275" s="2"/>
      <c r="H275" s="13">
        <v>77</v>
      </c>
      <c r="I275" s="13">
        <v>65</v>
      </c>
      <c r="J275" s="13">
        <v>76</v>
      </c>
      <c r="K275" s="6">
        <v>0</v>
      </c>
      <c r="L275" s="6">
        <v>5</v>
      </c>
      <c r="M275" s="6">
        <v>0</v>
      </c>
      <c r="N275" s="6" t="s">
        <v>192</v>
      </c>
      <c r="O275" s="6" t="s">
        <v>192</v>
      </c>
      <c r="P275" s="6" t="s">
        <v>192</v>
      </c>
      <c r="Q275" s="6" t="s">
        <v>192</v>
      </c>
      <c r="R275" s="6" t="s">
        <v>192</v>
      </c>
      <c r="S275" s="108" t="s">
        <v>192</v>
      </c>
      <c r="T275" s="111">
        <f>VALUE(SUM(H275:J275))</f>
        <v>218</v>
      </c>
      <c r="U275" s="12">
        <f>IF(COUNTIF(N275:S275,"높음")&gt;=1,1,0)</f>
        <v>1</v>
      </c>
    </row>
    <row r="276" spans="1:21" x14ac:dyDescent="0.3">
      <c r="A276" s="2" t="s">
        <v>531</v>
      </c>
      <c r="B276" s="2">
        <v>10210</v>
      </c>
      <c r="C276" s="2">
        <v>2</v>
      </c>
      <c r="D276" s="2" t="s">
        <v>241</v>
      </c>
      <c r="E276" s="11" t="str">
        <f>IF(AND(U276&gt;0,VLOOKUP(B276,'이름 일치'!$B$3:$N$500,13,FALSE)&lt;&gt;""),"1상담"&amp;"/"&amp;VLOOKUP(B276,'이름 일치'!$B$3:$N$500,13,FALSE),IF(U276&gt;0,"1상담",IF(VLOOKUP(B276,'이름 일치'!$B$3:$N$500,13,FALSE)&lt;&gt;"",VLOOKUP(B276,'이름 일치'!$B$3:$N$500,13,FALSE),"")))</f>
        <v>1상담</v>
      </c>
      <c r="F276" s="11"/>
      <c r="G276" s="2"/>
      <c r="H276" s="13">
        <v>77</v>
      </c>
      <c r="I276" s="13">
        <v>65</v>
      </c>
      <c r="J276" s="13">
        <v>76</v>
      </c>
      <c r="K276" s="6">
        <v>0</v>
      </c>
      <c r="L276" s="6">
        <v>5</v>
      </c>
      <c r="M276" s="6">
        <v>0</v>
      </c>
      <c r="N276" s="6" t="s">
        <v>192</v>
      </c>
      <c r="O276" s="6" t="s">
        <v>192</v>
      </c>
      <c r="P276" s="6" t="s">
        <v>192</v>
      </c>
      <c r="Q276" s="6" t="s">
        <v>192</v>
      </c>
      <c r="R276" s="6" t="s">
        <v>192</v>
      </c>
      <c r="S276" s="108" t="s">
        <v>192</v>
      </c>
      <c r="T276" s="111">
        <f>VALUE(SUM(H276:J276))</f>
        <v>218</v>
      </c>
      <c r="U276" s="12">
        <f>IF(COUNTIF(N276:S276,"높음")&gt;=1,1,0)</f>
        <v>1</v>
      </c>
    </row>
    <row r="277" spans="1:21" x14ac:dyDescent="0.3">
      <c r="A277" s="2" t="s">
        <v>531</v>
      </c>
      <c r="B277" s="2">
        <v>10214</v>
      </c>
      <c r="C277" s="2">
        <v>2</v>
      </c>
      <c r="D277" s="2" t="s">
        <v>245</v>
      </c>
      <c r="E277" s="11" t="str">
        <f>IF(AND(U277&gt;0,VLOOKUP(B277,'이름 일치'!$B$3:$N$500,13,FALSE)&lt;&gt;""),"1상담"&amp;"/"&amp;VLOOKUP(B277,'이름 일치'!$B$3:$N$500,13,FALSE),IF(U277&gt;0,"1상담",IF(VLOOKUP(B277,'이름 일치'!$B$3:$N$500,13,FALSE)&lt;&gt;"",VLOOKUP(B277,'이름 일치'!$B$3:$N$500,13,FALSE),"")))</f>
        <v>1상담</v>
      </c>
      <c r="F277" s="11"/>
      <c r="G277" s="2"/>
      <c r="H277" s="13">
        <v>77</v>
      </c>
      <c r="I277" s="13">
        <v>65</v>
      </c>
      <c r="J277" s="13">
        <v>76</v>
      </c>
      <c r="K277" s="6">
        <v>0</v>
      </c>
      <c r="L277" s="6">
        <v>5</v>
      </c>
      <c r="M277" s="6">
        <v>0</v>
      </c>
      <c r="N277" s="6" t="s">
        <v>192</v>
      </c>
      <c r="O277" s="6" t="s">
        <v>192</v>
      </c>
      <c r="P277" s="6" t="s">
        <v>192</v>
      </c>
      <c r="Q277" s="6" t="s">
        <v>192</v>
      </c>
      <c r="R277" s="6" t="s">
        <v>192</v>
      </c>
      <c r="S277" s="108" t="s">
        <v>192</v>
      </c>
      <c r="T277" s="111">
        <f>VALUE(SUM(H277:J277))</f>
        <v>218</v>
      </c>
      <c r="U277" s="12">
        <f>IF(COUNTIF(N277:S277,"높음")&gt;=1,1,0)</f>
        <v>1</v>
      </c>
    </row>
    <row r="278" spans="1:21" x14ac:dyDescent="0.3">
      <c r="A278" s="11" t="s">
        <v>531</v>
      </c>
      <c r="B278" s="2">
        <v>10304</v>
      </c>
      <c r="C278" s="2">
        <v>2</v>
      </c>
      <c r="D278" s="2" t="s">
        <v>265</v>
      </c>
      <c r="E278" s="11" t="str">
        <f>IF(AND(U278&gt;0,VLOOKUP(B278,'이름 일치'!$B$3:$N$500,13,FALSE)&lt;&gt;""),"1상담"&amp;"/"&amp;VLOOKUP(B278,'이름 일치'!$B$3:$N$500,13,FALSE),IF(U278&gt;0,"1상담",IF(VLOOKUP(B278,'이름 일치'!$B$3:$N$500,13,FALSE)&lt;&gt;"",VLOOKUP(B278,'이름 일치'!$B$3:$N$500,13,FALSE),"")))</f>
        <v>1상담</v>
      </c>
      <c r="F278" s="11"/>
      <c r="G278" s="2"/>
      <c r="H278" s="13">
        <v>77</v>
      </c>
      <c r="I278" s="13">
        <v>65</v>
      </c>
      <c r="J278" s="13">
        <v>76</v>
      </c>
      <c r="K278" s="6">
        <v>0</v>
      </c>
      <c r="L278" s="6">
        <v>5</v>
      </c>
      <c r="M278" s="6">
        <v>0</v>
      </c>
      <c r="N278" s="6" t="s">
        <v>192</v>
      </c>
      <c r="O278" s="6" t="s">
        <v>192</v>
      </c>
      <c r="P278" s="6" t="s">
        <v>192</v>
      </c>
      <c r="Q278" s="6" t="s">
        <v>192</v>
      </c>
      <c r="R278" s="6" t="s">
        <v>192</v>
      </c>
      <c r="S278" s="108" t="s">
        <v>192</v>
      </c>
      <c r="T278" s="111">
        <f>VALUE(SUM(H278:J278))</f>
        <v>218</v>
      </c>
      <c r="U278" s="12">
        <f>IF(COUNTIF(N278:S278,"높음")&gt;=1,1,0)</f>
        <v>1</v>
      </c>
    </row>
    <row r="279" spans="1:21" x14ac:dyDescent="0.3">
      <c r="A279" s="2" t="s">
        <v>531</v>
      </c>
      <c r="B279" s="2">
        <v>10308</v>
      </c>
      <c r="C279" s="2">
        <v>2</v>
      </c>
      <c r="D279" s="2" t="s">
        <v>269</v>
      </c>
      <c r="E279" s="11" t="str">
        <f>IF(AND(U279&gt;0,VLOOKUP(B279,'이름 일치'!$B$3:$N$500,13,FALSE)&lt;&gt;""),"1상담"&amp;"/"&amp;VLOOKUP(B279,'이름 일치'!$B$3:$N$500,13,FALSE),IF(U279&gt;0,"1상담",IF(VLOOKUP(B279,'이름 일치'!$B$3:$N$500,13,FALSE)&lt;&gt;"",VLOOKUP(B279,'이름 일치'!$B$3:$N$500,13,FALSE),"")))</f>
        <v>1상담</v>
      </c>
      <c r="F279" s="11"/>
      <c r="G279" s="2"/>
      <c r="H279" s="13">
        <v>77</v>
      </c>
      <c r="I279" s="13">
        <v>65</v>
      </c>
      <c r="J279" s="13">
        <v>76</v>
      </c>
      <c r="K279" s="6">
        <v>0</v>
      </c>
      <c r="L279" s="6">
        <v>5</v>
      </c>
      <c r="M279" s="6">
        <v>0</v>
      </c>
      <c r="N279" s="6" t="s">
        <v>192</v>
      </c>
      <c r="O279" s="6" t="s">
        <v>192</v>
      </c>
      <c r="P279" s="6" t="s">
        <v>192</v>
      </c>
      <c r="Q279" s="6" t="s">
        <v>192</v>
      </c>
      <c r="R279" s="6" t="s">
        <v>192</v>
      </c>
      <c r="S279" s="108" t="s">
        <v>192</v>
      </c>
      <c r="T279" s="111">
        <f>VALUE(SUM(H279:J279))</f>
        <v>218</v>
      </c>
      <c r="U279" s="12">
        <f>IF(COUNTIF(N279:S279,"높음")&gt;=1,1,0)</f>
        <v>1</v>
      </c>
    </row>
    <row r="280" spans="1:21" x14ac:dyDescent="0.3">
      <c r="A280" s="2" t="s">
        <v>531</v>
      </c>
      <c r="B280" s="2">
        <v>10312</v>
      </c>
      <c r="C280" s="2">
        <v>2</v>
      </c>
      <c r="D280" s="2" t="s">
        <v>273</v>
      </c>
      <c r="E280" s="11" t="str">
        <f>IF(AND(U280&gt;0,VLOOKUP(B280,'이름 일치'!$B$3:$N$500,13,FALSE)&lt;&gt;""),"1상담"&amp;"/"&amp;VLOOKUP(B280,'이름 일치'!$B$3:$N$500,13,FALSE),IF(U280&gt;0,"1상담",IF(VLOOKUP(B280,'이름 일치'!$B$3:$N$500,13,FALSE)&lt;&gt;"",VLOOKUP(B280,'이름 일치'!$B$3:$N$500,13,FALSE),"")))</f>
        <v>1상담</v>
      </c>
      <c r="F280" s="11"/>
      <c r="G280" s="2"/>
      <c r="H280" s="13">
        <v>77</v>
      </c>
      <c r="I280" s="13">
        <v>65</v>
      </c>
      <c r="J280" s="13">
        <v>76</v>
      </c>
      <c r="K280" s="6">
        <v>0</v>
      </c>
      <c r="L280" s="6">
        <v>5</v>
      </c>
      <c r="M280" s="6">
        <v>0</v>
      </c>
      <c r="N280" s="6" t="s">
        <v>192</v>
      </c>
      <c r="O280" s="6" t="s">
        <v>192</v>
      </c>
      <c r="P280" s="6" t="s">
        <v>192</v>
      </c>
      <c r="Q280" s="6" t="s">
        <v>192</v>
      </c>
      <c r="R280" s="6" t="s">
        <v>192</v>
      </c>
      <c r="S280" s="108" t="s">
        <v>192</v>
      </c>
      <c r="T280" s="111">
        <f>VALUE(SUM(H280:J280))</f>
        <v>218</v>
      </c>
      <c r="U280" s="12">
        <f>IF(COUNTIF(N280:S280,"높음")&gt;=1,1,0)</f>
        <v>1</v>
      </c>
    </row>
    <row r="281" spans="1:21" x14ac:dyDescent="0.3">
      <c r="A281" s="11" t="s">
        <v>531</v>
      </c>
      <c r="B281" s="2">
        <v>10403</v>
      </c>
      <c r="C281" s="2">
        <v>2</v>
      </c>
      <c r="D281" s="2" t="s">
        <v>293</v>
      </c>
      <c r="E281" s="11" t="str">
        <f>IF(AND(U281&gt;0,VLOOKUP(B281,'이름 일치'!$B$3:$N$500,13,FALSE)&lt;&gt;""),"1상담"&amp;"/"&amp;VLOOKUP(B281,'이름 일치'!$B$3:$N$500,13,FALSE),IF(U281&gt;0,"1상담",IF(VLOOKUP(B281,'이름 일치'!$B$3:$N$500,13,FALSE)&lt;&gt;"",VLOOKUP(B281,'이름 일치'!$B$3:$N$500,13,FALSE),"")))</f>
        <v>1상담</v>
      </c>
      <c r="F281" s="11"/>
      <c r="G281" s="2"/>
      <c r="H281" s="13">
        <v>77</v>
      </c>
      <c r="I281" s="13">
        <v>65</v>
      </c>
      <c r="J281" s="13">
        <v>76</v>
      </c>
      <c r="K281" s="6">
        <v>0</v>
      </c>
      <c r="L281" s="6">
        <v>5</v>
      </c>
      <c r="M281" s="6">
        <v>0</v>
      </c>
      <c r="N281" s="6" t="s">
        <v>192</v>
      </c>
      <c r="O281" s="6" t="s">
        <v>192</v>
      </c>
      <c r="P281" s="6" t="s">
        <v>192</v>
      </c>
      <c r="Q281" s="6" t="s">
        <v>192</v>
      </c>
      <c r="R281" s="6" t="s">
        <v>192</v>
      </c>
      <c r="S281" s="108" t="s">
        <v>192</v>
      </c>
      <c r="T281" s="111">
        <f>VALUE(SUM(H281:J281))</f>
        <v>218</v>
      </c>
      <c r="U281" s="12">
        <f>IF(COUNTIF(N281:S281,"높음")&gt;=1,1,0)</f>
        <v>1</v>
      </c>
    </row>
    <row r="282" spans="1:21" x14ac:dyDescent="0.3">
      <c r="A282" s="2" t="s">
        <v>531</v>
      </c>
      <c r="B282" s="2">
        <v>10407</v>
      </c>
      <c r="C282" s="2">
        <v>2</v>
      </c>
      <c r="D282" s="2" t="s">
        <v>297</v>
      </c>
      <c r="E282" s="11" t="str">
        <f>IF(AND(U282&gt;0,VLOOKUP(B282,'이름 일치'!$B$3:$N$500,13,FALSE)&lt;&gt;""),"1상담"&amp;"/"&amp;VLOOKUP(B282,'이름 일치'!$B$3:$N$500,13,FALSE),IF(U282&gt;0,"1상담",IF(VLOOKUP(B282,'이름 일치'!$B$3:$N$500,13,FALSE)&lt;&gt;"",VLOOKUP(B282,'이름 일치'!$B$3:$N$500,13,FALSE),"")))</f>
        <v>1상담</v>
      </c>
      <c r="F282" s="11"/>
      <c r="G282" s="2"/>
      <c r="H282" s="13">
        <v>77</v>
      </c>
      <c r="I282" s="13">
        <v>65</v>
      </c>
      <c r="J282" s="13">
        <v>76</v>
      </c>
      <c r="K282" s="6">
        <v>0</v>
      </c>
      <c r="L282" s="6">
        <v>5</v>
      </c>
      <c r="M282" s="6">
        <v>0</v>
      </c>
      <c r="N282" s="6" t="s">
        <v>192</v>
      </c>
      <c r="O282" s="6" t="s">
        <v>192</v>
      </c>
      <c r="P282" s="6" t="s">
        <v>192</v>
      </c>
      <c r="Q282" s="6" t="s">
        <v>192</v>
      </c>
      <c r="R282" s="6" t="s">
        <v>192</v>
      </c>
      <c r="S282" s="108" t="s">
        <v>192</v>
      </c>
      <c r="T282" s="111">
        <f>VALUE(SUM(H282:J282))</f>
        <v>218</v>
      </c>
      <c r="U282" s="12">
        <f>IF(COUNTIF(N282:S282,"높음")&gt;=1,1,0)</f>
        <v>1</v>
      </c>
    </row>
    <row r="283" spans="1:21" x14ac:dyDescent="0.3">
      <c r="A283" s="11" t="s">
        <v>531</v>
      </c>
      <c r="B283" s="2">
        <v>10415</v>
      </c>
      <c r="C283" s="2">
        <v>2</v>
      </c>
      <c r="D283" s="2" t="s">
        <v>305</v>
      </c>
      <c r="E283" s="11" t="str">
        <f>IF(AND(U283&gt;0,VLOOKUP(B283,'이름 일치'!$B$3:$N$500,13,FALSE)&lt;&gt;""),"1상담"&amp;"/"&amp;VLOOKUP(B283,'이름 일치'!$B$3:$N$500,13,FALSE),IF(U283&gt;0,"1상담",IF(VLOOKUP(B283,'이름 일치'!$B$3:$N$500,13,FALSE)&lt;&gt;"",VLOOKUP(B283,'이름 일치'!$B$3:$N$500,13,FALSE),"")))</f>
        <v>1상담</v>
      </c>
      <c r="F283" s="11"/>
      <c r="G283" s="2"/>
      <c r="H283" s="13">
        <v>77</v>
      </c>
      <c r="I283" s="13">
        <v>65</v>
      </c>
      <c r="J283" s="13">
        <v>76</v>
      </c>
      <c r="K283" s="6">
        <v>0</v>
      </c>
      <c r="L283" s="6">
        <v>5</v>
      </c>
      <c r="M283" s="6">
        <v>0</v>
      </c>
      <c r="N283" s="6" t="s">
        <v>192</v>
      </c>
      <c r="O283" s="6" t="s">
        <v>192</v>
      </c>
      <c r="P283" s="6" t="s">
        <v>192</v>
      </c>
      <c r="Q283" s="6" t="s">
        <v>192</v>
      </c>
      <c r="R283" s="6" t="s">
        <v>192</v>
      </c>
      <c r="S283" s="108" t="s">
        <v>192</v>
      </c>
      <c r="T283" s="111">
        <f>VALUE(SUM(H283:J283))</f>
        <v>218</v>
      </c>
      <c r="U283" s="12">
        <f>IF(COUNTIF(N283:S283,"높음")&gt;=1,1,0)</f>
        <v>1</v>
      </c>
    </row>
    <row r="284" spans="1:21" x14ac:dyDescent="0.3">
      <c r="A284" s="2" t="s">
        <v>531</v>
      </c>
      <c r="B284" s="2">
        <v>10502</v>
      </c>
      <c r="C284" s="2">
        <v>2</v>
      </c>
      <c r="D284" s="2" t="s">
        <v>321</v>
      </c>
      <c r="E284" s="11" t="str">
        <f>IF(AND(U284&gt;0,VLOOKUP(B284,'이름 일치'!$B$3:$N$500,13,FALSE)&lt;&gt;""),"1상담"&amp;"/"&amp;VLOOKUP(B284,'이름 일치'!$B$3:$N$500,13,FALSE),IF(U284&gt;0,"1상담",IF(VLOOKUP(B284,'이름 일치'!$B$3:$N$500,13,FALSE)&lt;&gt;"",VLOOKUP(B284,'이름 일치'!$B$3:$N$500,13,FALSE),"")))</f>
        <v>1상담</v>
      </c>
      <c r="F284" s="11"/>
      <c r="G284" s="2"/>
      <c r="H284" s="13">
        <v>77</v>
      </c>
      <c r="I284" s="13">
        <v>65</v>
      </c>
      <c r="J284" s="13">
        <v>76</v>
      </c>
      <c r="K284" s="6">
        <v>0</v>
      </c>
      <c r="L284" s="6">
        <v>5</v>
      </c>
      <c r="M284" s="6">
        <v>0</v>
      </c>
      <c r="N284" s="6" t="s">
        <v>192</v>
      </c>
      <c r="O284" s="6" t="s">
        <v>192</v>
      </c>
      <c r="P284" s="6" t="s">
        <v>192</v>
      </c>
      <c r="Q284" s="6" t="s">
        <v>192</v>
      </c>
      <c r="R284" s="6" t="s">
        <v>192</v>
      </c>
      <c r="S284" s="108" t="s">
        <v>192</v>
      </c>
      <c r="T284" s="111">
        <f>VALUE(SUM(H284:J284))</f>
        <v>218</v>
      </c>
      <c r="U284" s="12">
        <f>IF(COUNTIF(N284:S284,"높음")&gt;=1,1,0)</f>
        <v>1</v>
      </c>
    </row>
    <row r="285" spans="1:21" x14ac:dyDescent="0.3">
      <c r="A285" s="2" t="s">
        <v>531</v>
      </c>
      <c r="B285" s="2">
        <v>10506</v>
      </c>
      <c r="C285" s="2">
        <v>2</v>
      </c>
      <c r="D285" s="2" t="s">
        <v>325</v>
      </c>
      <c r="E285" s="11" t="str">
        <f>IF(AND(U285&gt;0,VLOOKUP(B285,'이름 일치'!$B$3:$N$500,13,FALSE)&lt;&gt;""),"1상담"&amp;"/"&amp;VLOOKUP(B285,'이름 일치'!$B$3:$N$500,13,FALSE),IF(U285&gt;0,"1상담",IF(VLOOKUP(B285,'이름 일치'!$B$3:$N$500,13,FALSE)&lt;&gt;"",VLOOKUP(B285,'이름 일치'!$B$3:$N$500,13,FALSE),"")))</f>
        <v>1상담</v>
      </c>
      <c r="F285" s="11"/>
      <c r="G285" s="2"/>
      <c r="H285" s="13">
        <v>77</v>
      </c>
      <c r="I285" s="13">
        <v>65</v>
      </c>
      <c r="J285" s="13">
        <v>76</v>
      </c>
      <c r="K285" s="6">
        <v>0</v>
      </c>
      <c r="L285" s="6">
        <v>5</v>
      </c>
      <c r="M285" s="6">
        <v>0</v>
      </c>
      <c r="N285" s="6" t="s">
        <v>192</v>
      </c>
      <c r="O285" s="6" t="s">
        <v>192</v>
      </c>
      <c r="P285" s="6" t="s">
        <v>192</v>
      </c>
      <c r="Q285" s="6" t="s">
        <v>192</v>
      </c>
      <c r="R285" s="6" t="s">
        <v>192</v>
      </c>
      <c r="S285" s="108" t="s">
        <v>192</v>
      </c>
      <c r="T285" s="111">
        <f>VALUE(SUM(H285:J285))</f>
        <v>218</v>
      </c>
      <c r="U285" s="12">
        <f>IF(COUNTIF(N285:S285,"높음")&gt;=1,1,0)</f>
        <v>1</v>
      </c>
    </row>
    <row r="286" spans="1:21" x14ac:dyDescent="0.3">
      <c r="A286" s="2" t="s">
        <v>531</v>
      </c>
      <c r="B286" s="2">
        <v>10510</v>
      </c>
      <c r="C286" s="2">
        <v>2</v>
      </c>
      <c r="D286" s="2" t="s">
        <v>328</v>
      </c>
      <c r="E286" s="11" t="str">
        <f>IF(AND(U286&gt;0,VLOOKUP(B286,'이름 일치'!$B$3:$N$500,13,FALSE)&lt;&gt;""),"1상담"&amp;"/"&amp;VLOOKUP(B286,'이름 일치'!$B$3:$N$500,13,FALSE),IF(U286&gt;0,"1상담",IF(VLOOKUP(B286,'이름 일치'!$B$3:$N$500,13,FALSE)&lt;&gt;"",VLOOKUP(B286,'이름 일치'!$B$3:$N$500,13,FALSE),"")))</f>
        <v>1상담</v>
      </c>
      <c r="F286" s="11"/>
      <c r="G286" s="2"/>
      <c r="H286" s="13">
        <v>77</v>
      </c>
      <c r="I286" s="13">
        <v>65</v>
      </c>
      <c r="J286" s="13">
        <v>76</v>
      </c>
      <c r="K286" s="6">
        <v>0</v>
      </c>
      <c r="L286" s="6">
        <v>5</v>
      </c>
      <c r="M286" s="6">
        <v>0</v>
      </c>
      <c r="N286" s="6" t="s">
        <v>192</v>
      </c>
      <c r="O286" s="6" t="s">
        <v>192</v>
      </c>
      <c r="P286" s="6" t="s">
        <v>192</v>
      </c>
      <c r="Q286" s="6" t="s">
        <v>192</v>
      </c>
      <c r="R286" s="6" t="s">
        <v>192</v>
      </c>
      <c r="S286" s="108" t="s">
        <v>192</v>
      </c>
      <c r="T286" s="111">
        <f>VALUE(SUM(H286:J286))</f>
        <v>218</v>
      </c>
      <c r="U286" s="12">
        <f>IF(COUNTIF(N286:S286,"높음")&gt;=1,1,0)</f>
        <v>1</v>
      </c>
    </row>
    <row r="287" spans="1:21" x14ac:dyDescent="0.3">
      <c r="A287" s="2" t="s">
        <v>531</v>
      </c>
      <c r="B287" s="2">
        <v>10514</v>
      </c>
      <c r="C287" s="2">
        <v>2</v>
      </c>
      <c r="D287" s="2" t="s">
        <v>332</v>
      </c>
      <c r="E287" s="11" t="str">
        <f>IF(AND(U287&gt;0,VLOOKUP(B287,'이름 일치'!$B$3:$N$500,13,FALSE)&lt;&gt;""),"1상담"&amp;"/"&amp;VLOOKUP(B287,'이름 일치'!$B$3:$N$500,13,FALSE),IF(U287&gt;0,"1상담",IF(VLOOKUP(B287,'이름 일치'!$B$3:$N$500,13,FALSE)&lt;&gt;"",VLOOKUP(B287,'이름 일치'!$B$3:$N$500,13,FALSE),"")))</f>
        <v>1상담</v>
      </c>
      <c r="F287" s="11"/>
      <c r="G287" s="2"/>
      <c r="H287" s="13">
        <v>77</v>
      </c>
      <c r="I287" s="13">
        <v>65</v>
      </c>
      <c r="J287" s="13">
        <v>76</v>
      </c>
      <c r="K287" s="6">
        <v>0</v>
      </c>
      <c r="L287" s="6">
        <v>5</v>
      </c>
      <c r="M287" s="6">
        <v>0</v>
      </c>
      <c r="N287" s="6" t="s">
        <v>192</v>
      </c>
      <c r="O287" s="6" t="s">
        <v>192</v>
      </c>
      <c r="P287" s="6" t="s">
        <v>192</v>
      </c>
      <c r="Q287" s="6" t="s">
        <v>192</v>
      </c>
      <c r="R287" s="6" t="s">
        <v>192</v>
      </c>
      <c r="S287" s="108" t="s">
        <v>192</v>
      </c>
      <c r="T287" s="111">
        <f>VALUE(SUM(H287:J287))</f>
        <v>218</v>
      </c>
      <c r="U287" s="12">
        <f>IF(COUNTIF(N287:S287,"높음")&gt;=1,1,0)</f>
        <v>1</v>
      </c>
    </row>
    <row r="288" spans="1:21" x14ac:dyDescent="0.3">
      <c r="A288" s="2" t="s">
        <v>531</v>
      </c>
      <c r="B288" s="2">
        <v>10530</v>
      </c>
      <c r="C288" s="2">
        <v>2</v>
      </c>
      <c r="D288" s="2" t="s">
        <v>348</v>
      </c>
      <c r="E288" s="11" t="str">
        <f>IF(AND(U288&gt;0,VLOOKUP(B288,'이름 일치'!$B$3:$N$500,13,FALSE)&lt;&gt;""),"1상담"&amp;"/"&amp;VLOOKUP(B288,'이름 일치'!$B$3:$N$500,13,FALSE),IF(U288&gt;0,"1상담",IF(VLOOKUP(B288,'이름 일치'!$B$3:$N$500,13,FALSE)&lt;&gt;"",VLOOKUP(B288,'이름 일치'!$B$3:$N$500,13,FALSE),"")))</f>
        <v>1상담</v>
      </c>
      <c r="F288" s="11"/>
      <c r="G288" s="2"/>
      <c r="H288" s="13">
        <v>77</v>
      </c>
      <c r="I288" s="13">
        <v>65</v>
      </c>
      <c r="J288" s="13">
        <v>76</v>
      </c>
      <c r="K288" s="6">
        <v>0</v>
      </c>
      <c r="L288" s="6">
        <v>5</v>
      </c>
      <c r="M288" s="6">
        <v>0</v>
      </c>
      <c r="N288" s="6" t="s">
        <v>192</v>
      </c>
      <c r="O288" s="6" t="s">
        <v>192</v>
      </c>
      <c r="P288" s="6" t="s">
        <v>192</v>
      </c>
      <c r="Q288" s="6" t="s">
        <v>192</v>
      </c>
      <c r="R288" s="6" t="s">
        <v>192</v>
      </c>
      <c r="S288" s="108" t="s">
        <v>192</v>
      </c>
      <c r="T288" s="111">
        <f>VALUE(SUM(H288:J288))</f>
        <v>218</v>
      </c>
      <c r="U288" s="12">
        <f>IF(COUNTIF(N288:S288,"높음")&gt;=1,1,0)</f>
        <v>1</v>
      </c>
    </row>
    <row r="289" spans="1:21" x14ac:dyDescent="0.3">
      <c r="A289" s="2" t="s">
        <v>531</v>
      </c>
      <c r="B289" s="2">
        <v>10604</v>
      </c>
      <c r="C289" s="2">
        <v>2</v>
      </c>
      <c r="D289" s="2" t="s">
        <v>351</v>
      </c>
      <c r="E289" s="11" t="str">
        <f>IF(AND(U289&gt;0,VLOOKUP(B289,'이름 일치'!$B$3:$N$500,13,FALSE)&lt;&gt;""),"1상담"&amp;"/"&amp;VLOOKUP(B289,'이름 일치'!$B$3:$N$500,13,FALSE),IF(U289&gt;0,"1상담",IF(VLOOKUP(B289,'이름 일치'!$B$3:$N$500,13,FALSE)&lt;&gt;"",VLOOKUP(B289,'이름 일치'!$B$3:$N$500,13,FALSE),"")))</f>
        <v>1상담</v>
      </c>
      <c r="F289" s="11"/>
      <c r="G289" s="2"/>
      <c r="H289" s="13">
        <v>77</v>
      </c>
      <c r="I289" s="13">
        <v>65</v>
      </c>
      <c r="J289" s="13">
        <v>76</v>
      </c>
      <c r="K289" s="6">
        <v>0</v>
      </c>
      <c r="L289" s="6">
        <v>5</v>
      </c>
      <c r="M289" s="6">
        <v>0</v>
      </c>
      <c r="N289" s="6" t="s">
        <v>192</v>
      </c>
      <c r="O289" s="6" t="s">
        <v>192</v>
      </c>
      <c r="P289" s="6" t="s">
        <v>192</v>
      </c>
      <c r="Q289" s="6" t="s">
        <v>192</v>
      </c>
      <c r="R289" s="6" t="s">
        <v>192</v>
      </c>
      <c r="S289" s="108" t="s">
        <v>192</v>
      </c>
      <c r="T289" s="111">
        <f>VALUE(SUM(H289:J289))</f>
        <v>218</v>
      </c>
      <c r="U289" s="12">
        <f>IF(COUNTIF(N289:S289,"높음")&gt;=1,1,0)</f>
        <v>1</v>
      </c>
    </row>
    <row r="290" spans="1:21" x14ac:dyDescent="0.3">
      <c r="A290" s="2" t="s">
        <v>531</v>
      </c>
      <c r="B290" s="2">
        <v>10608</v>
      </c>
      <c r="C290" s="2">
        <v>2</v>
      </c>
      <c r="D290" s="2" t="s">
        <v>355</v>
      </c>
      <c r="E290" s="11" t="str">
        <f>IF(AND(U290&gt;0,VLOOKUP(B290,'이름 일치'!$B$3:$N$500,13,FALSE)&lt;&gt;""),"1상담"&amp;"/"&amp;VLOOKUP(B290,'이름 일치'!$B$3:$N$500,13,FALSE),IF(U290&gt;0,"1상담",IF(VLOOKUP(B290,'이름 일치'!$B$3:$N$500,13,FALSE)&lt;&gt;"",VLOOKUP(B290,'이름 일치'!$B$3:$N$500,13,FALSE),"")))</f>
        <v>1상담</v>
      </c>
      <c r="F290" s="11"/>
      <c r="G290" s="2"/>
      <c r="H290" s="13">
        <v>77</v>
      </c>
      <c r="I290" s="13">
        <v>65</v>
      </c>
      <c r="J290" s="13">
        <v>76</v>
      </c>
      <c r="K290" s="6">
        <v>0</v>
      </c>
      <c r="L290" s="6">
        <v>5</v>
      </c>
      <c r="M290" s="6">
        <v>0</v>
      </c>
      <c r="N290" s="6" t="s">
        <v>192</v>
      </c>
      <c r="O290" s="6" t="s">
        <v>192</v>
      </c>
      <c r="P290" s="6" t="s">
        <v>192</v>
      </c>
      <c r="Q290" s="6" t="s">
        <v>192</v>
      </c>
      <c r="R290" s="6" t="s">
        <v>192</v>
      </c>
      <c r="S290" s="108" t="s">
        <v>192</v>
      </c>
      <c r="T290" s="111">
        <f>VALUE(SUM(H290:J290))</f>
        <v>218</v>
      </c>
      <c r="U290" s="12">
        <f>IF(COUNTIF(N290:S290,"높음")&gt;=1,1,0)</f>
        <v>1</v>
      </c>
    </row>
    <row r="291" spans="1:21" x14ac:dyDescent="0.3">
      <c r="A291" s="2" t="s">
        <v>531</v>
      </c>
      <c r="B291" s="2">
        <v>10612</v>
      </c>
      <c r="C291" s="2">
        <v>2</v>
      </c>
      <c r="D291" s="2" t="s">
        <v>358</v>
      </c>
      <c r="E291" s="11" t="str">
        <f>IF(AND(U291&gt;0,VLOOKUP(B291,'이름 일치'!$B$3:$N$500,13,FALSE)&lt;&gt;""),"1상담"&amp;"/"&amp;VLOOKUP(B291,'이름 일치'!$B$3:$N$500,13,FALSE),IF(U291&gt;0,"1상담",IF(VLOOKUP(B291,'이름 일치'!$B$3:$N$500,13,FALSE)&lt;&gt;"",VLOOKUP(B291,'이름 일치'!$B$3:$N$500,13,FALSE),"")))</f>
        <v>1상담</v>
      </c>
      <c r="F291" s="11"/>
      <c r="G291" s="2"/>
      <c r="H291" s="13">
        <v>77</v>
      </c>
      <c r="I291" s="13">
        <v>65</v>
      </c>
      <c r="J291" s="13">
        <v>76</v>
      </c>
      <c r="K291" s="6">
        <v>0</v>
      </c>
      <c r="L291" s="6">
        <v>5</v>
      </c>
      <c r="M291" s="6">
        <v>0</v>
      </c>
      <c r="N291" s="6" t="s">
        <v>192</v>
      </c>
      <c r="O291" s="6" t="s">
        <v>192</v>
      </c>
      <c r="P291" s="6" t="s">
        <v>192</v>
      </c>
      <c r="Q291" s="6" t="s">
        <v>192</v>
      </c>
      <c r="R291" s="6" t="s">
        <v>192</v>
      </c>
      <c r="S291" s="108" t="s">
        <v>192</v>
      </c>
      <c r="T291" s="111">
        <f>VALUE(SUM(H291:J291))</f>
        <v>218</v>
      </c>
      <c r="U291" s="12">
        <f>IF(COUNTIF(N291:S291,"높음")&gt;=1,1,0)</f>
        <v>1</v>
      </c>
    </row>
    <row r="292" spans="1:21" x14ac:dyDescent="0.3">
      <c r="A292" s="11" t="s">
        <v>531</v>
      </c>
      <c r="B292" s="2">
        <v>10703</v>
      </c>
      <c r="C292" s="2">
        <v>2</v>
      </c>
      <c r="D292" s="2" t="s">
        <v>378</v>
      </c>
      <c r="E292" s="11" t="str">
        <f>IF(AND(U292&gt;0,VLOOKUP(B292,'이름 일치'!$B$3:$N$500,13,FALSE)&lt;&gt;""),"1상담"&amp;"/"&amp;VLOOKUP(B292,'이름 일치'!$B$3:$N$500,13,FALSE),IF(U292&gt;0,"1상담",IF(VLOOKUP(B292,'이름 일치'!$B$3:$N$500,13,FALSE)&lt;&gt;"",VLOOKUP(B292,'이름 일치'!$B$3:$N$500,13,FALSE),"")))</f>
        <v>1상담</v>
      </c>
      <c r="F292" s="11"/>
      <c r="G292" s="2"/>
      <c r="H292" s="13">
        <v>77</v>
      </c>
      <c r="I292" s="13">
        <v>65</v>
      </c>
      <c r="J292" s="13">
        <v>76</v>
      </c>
      <c r="K292" s="6">
        <v>0</v>
      </c>
      <c r="L292" s="6">
        <v>5</v>
      </c>
      <c r="M292" s="6">
        <v>0</v>
      </c>
      <c r="N292" s="6" t="s">
        <v>192</v>
      </c>
      <c r="O292" s="6" t="s">
        <v>192</v>
      </c>
      <c r="P292" s="6" t="s">
        <v>192</v>
      </c>
      <c r="Q292" s="6" t="s">
        <v>192</v>
      </c>
      <c r="R292" s="6" t="s">
        <v>192</v>
      </c>
      <c r="S292" s="108" t="s">
        <v>192</v>
      </c>
      <c r="T292" s="111">
        <f>VALUE(SUM(H292:J292))</f>
        <v>218</v>
      </c>
      <c r="U292" s="12">
        <f>IF(COUNTIF(N292:S292,"높음")&gt;=1,1,0)</f>
        <v>1</v>
      </c>
    </row>
    <row r="293" spans="1:21" x14ac:dyDescent="0.3">
      <c r="A293" s="2" t="s">
        <v>531</v>
      </c>
      <c r="B293" s="2">
        <v>10707</v>
      </c>
      <c r="C293" s="2">
        <v>2</v>
      </c>
      <c r="D293" s="2" t="s">
        <v>382</v>
      </c>
      <c r="E293" s="11" t="str">
        <f>IF(AND(U293&gt;0,VLOOKUP(B293,'이름 일치'!$B$3:$N$500,13,FALSE)&lt;&gt;""),"1상담"&amp;"/"&amp;VLOOKUP(B293,'이름 일치'!$B$3:$N$500,13,FALSE),IF(U293&gt;0,"1상담",IF(VLOOKUP(B293,'이름 일치'!$B$3:$N$500,13,FALSE)&lt;&gt;"",VLOOKUP(B293,'이름 일치'!$B$3:$N$500,13,FALSE),"")))</f>
        <v>1상담</v>
      </c>
      <c r="F293" s="11"/>
      <c r="G293" s="2"/>
      <c r="H293" s="13">
        <v>77</v>
      </c>
      <c r="I293" s="13">
        <v>65</v>
      </c>
      <c r="J293" s="13">
        <v>76</v>
      </c>
      <c r="K293" s="6">
        <v>0</v>
      </c>
      <c r="L293" s="6">
        <v>5</v>
      </c>
      <c r="M293" s="6">
        <v>0</v>
      </c>
      <c r="N293" s="6" t="s">
        <v>192</v>
      </c>
      <c r="O293" s="6" t="s">
        <v>192</v>
      </c>
      <c r="P293" s="6" t="s">
        <v>192</v>
      </c>
      <c r="Q293" s="6" t="s">
        <v>192</v>
      </c>
      <c r="R293" s="6" t="s">
        <v>192</v>
      </c>
      <c r="S293" s="108" t="s">
        <v>192</v>
      </c>
      <c r="T293" s="111">
        <f>VALUE(SUM(H293:J293))</f>
        <v>218</v>
      </c>
      <c r="U293" s="12">
        <f>IF(COUNTIF(N293:S293,"높음")&gt;=1,1,0)</f>
        <v>1</v>
      </c>
    </row>
    <row r="294" spans="1:21" x14ac:dyDescent="0.3">
      <c r="A294" s="2" t="s">
        <v>531</v>
      </c>
      <c r="B294" s="2">
        <v>10711</v>
      </c>
      <c r="C294" s="2">
        <v>2</v>
      </c>
      <c r="D294" s="2" t="s">
        <v>386</v>
      </c>
      <c r="E294" s="11" t="str">
        <f>IF(AND(U294&gt;0,VLOOKUP(B294,'이름 일치'!$B$3:$N$500,13,FALSE)&lt;&gt;""),"1상담"&amp;"/"&amp;VLOOKUP(B294,'이름 일치'!$B$3:$N$500,13,FALSE),IF(U294&gt;0,"1상담",IF(VLOOKUP(B294,'이름 일치'!$B$3:$N$500,13,FALSE)&lt;&gt;"",VLOOKUP(B294,'이름 일치'!$B$3:$N$500,13,FALSE),"")))</f>
        <v>1상담</v>
      </c>
      <c r="F294" s="11"/>
      <c r="G294" s="2"/>
      <c r="H294" s="13">
        <v>77</v>
      </c>
      <c r="I294" s="13">
        <v>65</v>
      </c>
      <c r="J294" s="13">
        <v>76</v>
      </c>
      <c r="K294" s="6">
        <v>0</v>
      </c>
      <c r="L294" s="6">
        <v>5</v>
      </c>
      <c r="M294" s="6">
        <v>0</v>
      </c>
      <c r="N294" s="6" t="s">
        <v>192</v>
      </c>
      <c r="O294" s="6" t="s">
        <v>192</v>
      </c>
      <c r="P294" s="6" t="s">
        <v>192</v>
      </c>
      <c r="Q294" s="6" t="s">
        <v>192</v>
      </c>
      <c r="R294" s="6" t="s">
        <v>192</v>
      </c>
      <c r="S294" s="108" t="s">
        <v>192</v>
      </c>
      <c r="T294" s="111">
        <f>VALUE(SUM(H294:J294))</f>
        <v>218</v>
      </c>
      <c r="U294" s="12">
        <f>IF(COUNTIF(N294:S294,"높음")&gt;=1,1,0)</f>
        <v>1</v>
      </c>
    </row>
    <row r="295" spans="1:21" x14ac:dyDescent="0.3">
      <c r="A295" s="2" t="s">
        <v>531</v>
      </c>
      <c r="B295" s="2">
        <v>10801</v>
      </c>
      <c r="C295" s="2">
        <v>2</v>
      </c>
      <c r="D295" s="2" t="s">
        <v>406</v>
      </c>
      <c r="E295" s="11" t="str">
        <f>IF(AND(U295&gt;0,VLOOKUP(B295,'이름 일치'!$B$3:$N$500,13,FALSE)&lt;&gt;""),"1상담"&amp;"/"&amp;VLOOKUP(B295,'이름 일치'!$B$3:$N$500,13,FALSE),IF(U295&gt;0,"1상담",IF(VLOOKUP(B295,'이름 일치'!$B$3:$N$500,13,FALSE)&lt;&gt;"",VLOOKUP(B295,'이름 일치'!$B$3:$N$500,13,FALSE),"")))</f>
        <v>1상담</v>
      </c>
      <c r="F295" s="11"/>
      <c r="G295" s="2"/>
      <c r="H295" s="13">
        <v>77</v>
      </c>
      <c r="I295" s="13">
        <v>65</v>
      </c>
      <c r="J295" s="13">
        <v>76</v>
      </c>
      <c r="K295" s="6">
        <v>0</v>
      </c>
      <c r="L295" s="6">
        <v>5</v>
      </c>
      <c r="M295" s="6">
        <v>0</v>
      </c>
      <c r="N295" s="6" t="s">
        <v>192</v>
      </c>
      <c r="O295" s="6" t="s">
        <v>192</v>
      </c>
      <c r="P295" s="6" t="s">
        <v>192</v>
      </c>
      <c r="Q295" s="6" t="s">
        <v>192</v>
      </c>
      <c r="R295" s="6" t="s">
        <v>192</v>
      </c>
      <c r="S295" s="108" t="s">
        <v>192</v>
      </c>
      <c r="T295" s="111">
        <f>VALUE(SUM(H295:J295))</f>
        <v>218</v>
      </c>
      <c r="U295" s="12">
        <f>IF(COUNTIF(N295:S295,"높음")&gt;=1,1,0)</f>
        <v>1</v>
      </c>
    </row>
    <row r="296" spans="1:21" x14ac:dyDescent="0.3">
      <c r="A296" s="2" t="s">
        <v>531</v>
      </c>
      <c r="B296" s="2">
        <v>10805</v>
      </c>
      <c r="C296" s="2">
        <v>2</v>
      </c>
      <c r="D296" s="2" t="s">
        <v>410</v>
      </c>
      <c r="E296" s="11" t="str">
        <f>IF(AND(U296&gt;0,VLOOKUP(B296,'이름 일치'!$B$3:$N$500,13,FALSE)&lt;&gt;""),"1상담"&amp;"/"&amp;VLOOKUP(B296,'이름 일치'!$B$3:$N$500,13,FALSE),IF(U296&gt;0,"1상담",IF(VLOOKUP(B296,'이름 일치'!$B$3:$N$500,13,FALSE)&lt;&gt;"",VLOOKUP(B296,'이름 일치'!$B$3:$N$500,13,FALSE),"")))</f>
        <v>1상담</v>
      </c>
      <c r="F296" s="11"/>
      <c r="G296" s="2"/>
      <c r="H296" s="13">
        <v>77</v>
      </c>
      <c r="I296" s="13">
        <v>65</v>
      </c>
      <c r="J296" s="13">
        <v>76</v>
      </c>
      <c r="K296" s="6">
        <v>0</v>
      </c>
      <c r="L296" s="6">
        <v>5</v>
      </c>
      <c r="M296" s="6">
        <v>0</v>
      </c>
      <c r="N296" s="6" t="s">
        <v>192</v>
      </c>
      <c r="O296" s="6" t="s">
        <v>192</v>
      </c>
      <c r="P296" s="6" t="s">
        <v>192</v>
      </c>
      <c r="Q296" s="6" t="s">
        <v>192</v>
      </c>
      <c r="R296" s="6" t="s">
        <v>192</v>
      </c>
      <c r="S296" s="108" t="s">
        <v>192</v>
      </c>
      <c r="T296" s="111">
        <f>VALUE(SUM(H296:J296))</f>
        <v>218</v>
      </c>
      <c r="U296" s="12">
        <f>IF(COUNTIF(N296:S296,"높음")&gt;=1,1,0)</f>
        <v>1</v>
      </c>
    </row>
    <row r="297" spans="1:21" x14ac:dyDescent="0.3">
      <c r="A297" s="2" t="s">
        <v>531</v>
      </c>
      <c r="B297" s="2">
        <v>10809</v>
      </c>
      <c r="C297" s="2">
        <v>2</v>
      </c>
      <c r="D297" s="2" t="s">
        <v>414</v>
      </c>
      <c r="E297" s="11" t="str">
        <f>IF(AND(U297&gt;0,VLOOKUP(B297,'이름 일치'!$B$3:$N$500,13,FALSE)&lt;&gt;""),"1상담"&amp;"/"&amp;VLOOKUP(B297,'이름 일치'!$B$3:$N$500,13,FALSE),IF(U297&gt;0,"1상담",IF(VLOOKUP(B297,'이름 일치'!$B$3:$N$500,13,FALSE)&lt;&gt;"",VLOOKUP(B297,'이름 일치'!$B$3:$N$500,13,FALSE),"")))</f>
        <v>1상담</v>
      </c>
      <c r="F297" s="11"/>
      <c r="G297" s="2"/>
      <c r="H297" s="13">
        <v>77</v>
      </c>
      <c r="I297" s="13">
        <v>65</v>
      </c>
      <c r="J297" s="13">
        <v>76</v>
      </c>
      <c r="K297" s="6">
        <v>0</v>
      </c>
      <c r="L297" s="6">
        <v>5</v>
      </c>
      <c r="M297" s="6">
        <v>0</v>
      </c>
      <c r="N297" s="6" t="s">
        <v>192</v>
      </c>
      <c r="O297" s="6" t="s">
        <v>192</v>
      </c>
      <c r="P297" s="6" t="s">
        <v>192</v>
      </c>
      <c r="Q297" s="6" t="s">
        <v>192</v>
      </c>
      <c r="R297" s="6" t="s">
        <v>192</v>
      </c>
      <c r="S297" s="108" t="s">
        <v>192</v>
      </c>
      <c r="T297" s="111">
        <f>VALUE(SUM(H297:J297))</f>
        <v>218</v>
      </c>
      <c r="U297" s="12">
        <f>IF(COUNTIF(N297:S297,"높음")&gt;=1,1,0)</f>
        <v>1</v>
      </c>
    </row>
    <row r="298" spans="1:21" x14ac:dyDescent="0.3">
      <c r="A298" s="11" t="s">
        <v>531</v>
      </c>
      <c r="B298" s="2">
        <v>10813</v>
      </c>
      <c r="C298" s="2">
        <v>2</v>
      </c>
      <c r="D298" s="2" t="s">
        <v>418</v>
      </c>
      <c r="E298" s="11" t="str">
        <f>IF(AND(U298&gt;0,VLOOKUP(B298,'이름 일치'!$B$3:$N$500,13,FALSE)&lt;&gt;""),"1상담"&amp;"/"&amp;VLOOKUP(B298,'이름 일치'!$B$3:$N$500,13,FALSE),IF(U298&gt;0,"1상담",IF(VLOOKUP(B298,'이름 일치'!$B$3:$N$500,13,FALSE)&lt;&gt;"",VLOOKUP(B298,'이름 일치'!$B$3:$N$500,13,FALSE),"")))</f>
        <v>1상담</v>
      </c>
      <c r="F298" s="11"/>
      <c r="G298" s="2"/>
      <c r="H298" s="13">
        <v>77</v>
      </c>
      <c r="I298" s="13">
        <v>65</v>
      </c>
      <c r="J298" s="13">
        <v>76</v>
      </c>
      <c r="K298" s="6">
        <v>0</v>
      </c>
      <c r="L298" s="6">
        <v>5</v>
      </c>
      <c r="M298" s="6">
        <v>0</v>
      </c>
      <c r="N298" s="6" t="s">
        <v>192</v>
      </c>
      <c r="O298" s="6" t="s">
        <v>192</v>
      </c>
      <c r="P298" s="6" t="s">
        <v>192</v>
      </c>
      <c r="Q298" s="6" t="s">
        <v>192</v>
      </c>
      <c r="R298" s="6" t="s">
        <v>192</v>
      </c>
      <c r="S298" s="108" t="s">
        <v>192</v>
      </c>
      <c r="T298" s="111">
        <f>VALUE(SUM(H298:J298))</f>
        <v>218</v>
      </c>
      <c r="U298" s="12">
        <f>IF(COUNTIF(N298:S298,"높음")&gt;=1,1,0)</f>
        <v>1</v>
      </c>
    </row>
    <row r="299" spans="1:21" x14ac:dyDescent="0.3">
      <c r="A299" s="2" t="s">
        <v>531</v>
      </c>
      <c r="B299" s="2">
        <v>10904</v>
      </c>
      <c r="C299" s="2">
        <v>2</v>
      </c>
      <c r="D299" s="2" t="s">
        <v>436</v>
      </c>
      <c r="E299" s="11" t="str">
        <f>IF(AND(U299&gt;0,VLOOKUP(B299,'이름 일치'!$B$3:$N$500,13,FALSE)&lt;&gt;""),"1상담"&amp;"/"&amp;VLOOKUP(B299,'이름 일치'!$B$3:$N$500,13,FALSE),IF(U299&gt;0,"1상담",IF(VLOOKUP(B299,'이름 일치'!$B$3:$N$500,13,FALSE)&lt;&gt;"",VLOOKUP(B299,'이름 일치'!$B$3:$N$500,13,FALSE),"")))</f>
        <v>1상담</v>
      </c>
      <c r="F299" s="11"/>
      <c r="G299" s="2"/>
      <c r="H299" s="13">
        <v>77</v>
      </c>
      <c r="I299" s="13">
        <v>65</v>
      </c>
      <c r="J299" s="13">
        <v>76</v>
      </c>
      <c r="K299" s="6">
        <v>0</v>
      </c>
      <c r="L299" s="6">
        <v>5</v>
      </c>
      <c r="M299" s="6">
        <v>0</v>
      </c>
      <c r="N299" s="6" t="s">
        <v>192</v>
      </c>
      <c r="O299" s="6" t="s">
        <v>192</v>
      </c>
      <c r="P299" s="6" t="s">
        <v>192</v>
      </c>
      <c r="Q299" s="6" t="s">
        <v>192</v>
      </c>
      <c r="R299" s="6" t="s">
        <v>192</v>
      </c>
      <c r="S299" s="108" t="s">
        <v>192</v>
      </c>
      <c r="T299" s="111">
        <f>VALUE(SUM(H299:J299))</f>
        <v>218</v>
      </c>
      <c r="U299" s="12">
        <f>IF(COUNTIF(N299:S299,"높음")&gt;=1,1,0)</f>
        <v>1</v>
      </c>
    </row>
    <row r="300" spans="1:21" x14ac:dyDescent="0.3">
      <c r="A300" s="2" t="s">
        <v>531</v>
      </c>
      <c r="B300" s="2">
        <v>10908</v>
      </c>
      <c r="C300" s="2">
        <v>2</v>
      </c>
      <c r="D300" s="2" t="s">
        <v>440</v>
      </c>
      <c r="E300" s="11" t="str">
        <f>IF(AND(U300&gt;0,VLOOKUP(B300,'이름 일치'!$B$3:$N$500,13,FALSE)&lt;&gt;""),"1상담"&amp;"/"&amp;VLOOKUP(B300,'이름 일치'!$B$3:$N$500,13,FALSE),IF(U300&gt;0,"1상담",IF(VLOOKUP(B300,'이름 일치'!$B$3:$N$500,13,FALSE)&lt;&gt;"",VLOOKUP(B300,'이름 일치'!$B$3:$N$500,13,FALSE),"")))</f>
        <v>1상담</v>
      </c>
      <c r="F300" s="11"/>
      <c r="G300" s="2"/>
      <c r="H300" s="13">
        <v>77</v>
      </c>
      <c r="I300" s="13">
        <v>65</v>
      </c>
      <c r="J300" s="13">
        <v>76</v>
      </c>
      <c r="K300" s="6">
        <v>0</v>
      </c>
      <c r="L300" s="6">
        <v>5</v>
      </c>
      <c r="M300" s="6">
        <v>0</v>
      </c>
      <c r="N300" s="6" t="s">
        <v>192</v>
      </c>
      <c r="O300" s="6" t="s">
        <v>192</v>
      </c>
      <c r="P300" s="6" t="s">
        <v>192</v>
      </c>
      <c r="Q300" s="6" t="s">
        <v>192</v>
      </c>
      <c r="R300" s="6" t="s">
        <v>192</v>
      </c>
      <c r="S300" s="108" t="s">
        <v>192</v>
      </c>
      <c r="T300" s="111">
        <f>VALUE(SUM(H300:J300))</f>
        <v>218</v>
      </c>
      <c r="U300" s="12">
        <f>IF(COUNTIF(N300:S300,"높음")&gt;=1,1,0)</f>
        <v>1</v>
      </c>
    </row>
    <row r="301" spans="1:21" x14ac:dyDescent="0.3">
      <c r="A301" s="11" t="s">
        <v>531</v>
      </c>
      <c r="B301" s="2">
        <v>10912</v>
      </c>
      <c r="C301" s="2">
        <v>2</v>
      </c>
      <c r="D301" s="2" t="s">
        <v>444</v>
      </c>
      <c r="E301" s="11" t="str">
        <f>IF(AND(U301&gt;0,VLOOKUP(B301,'이름 일치'!$B$3:$N$500,13,FALSE)&lt;&gt;""),"1상담"&amp;"/"&amp;VLOOKUP(B301,'이름 일치'!$B$3:$N$500,13,FALSE),IF(U301&gt;0,"1상담",IF(VLOOKUP(B301,'이름 일치'!$B$3:$N$500,13,FALSE)&lt;&gt;"",VLOOKUP(B301,'이름 일치'!$B$3:$N$500,13,FALSE),"")))</f>
        <v>1상담</v>
      </c>
      <c r="F301" s="11"/>
      <c r="G301" s="2"/>
      <c r="H301" s="13">
        <v>77</v>
      </c>
      <c r="I301" s="13">
        <v>65</v>
      </c>
      <c r="J301" s="13">
        <v>76</v>
      </c>
      <c r="K301" s="6">
        <v>0</v>
      </c>
      <c r="L301" s="6">
        <v>5</v>
      </c>
      <c r="M301" s="6">
        <v>0</v>
      </c>
      <c r="N301" s="6" t="s">
        <v>192</v>
      </c>
      <c r="O301" s="6" t="s">
        <v>192</v>
      </c>
      <c r="P301" s="6" t="s">
        <v>192</v>
      </c>
      <c r="Q301" s="6" t="s">
        <v>192</v>
      </c>
      <c r="R301" s="6" t="s">
        <v>192</v>
      </c>
      <c r="S301" s="108" t="s">
        <v>192</v>
      </c>
      <c r="T301" s="111">
        <f>VALUE(SUM(H301:J301))</f>
        <v>218</v>
      </c>
      <c r="U301" s="12">
        <f>IF(COUNTIF(N301:S301,"높음")&gt;=1,1,0)</f>
        <v>1</v>
      </c>
    </row>
    <row r="302" spans="1:21" x14ac:dyDescent="0.3">
      <c r="A302" s="2" t="s">
        <v>531</v>
      </c>
      <c r="B302" s="2">
        <v>11002</v>
      </c>
      <c r="C302" s="2">
        <v>2</v>
      </c>
      <c r="D302" s="2" t="s">
        <v>463</v>
      </c>
      <c r="E302" s="11" t="str">
        <f>IF(AND(U302&gt;0,VLOOKUP(B302,'이름 일치'!$B$3:$N$500,13,FALSE)&lt;&gt;""),"1상담"&amp;"/"&amp;VLOOKUP(B302,'이름 일치'!$B$3:$N$500,13,FALSE),IF(U302&gt;0,"1상담",IF(VLOOKUP(B302,'이름 일치'!$B$3:$N$500,13,FALSE)&lt;&gt;"",VLOOKUP(B302,'이름 일치'!$B$3:$N$500,13,FALSE),"")))</f>
        <v>1상담</v>
      </c>
      <c r="F302" s="11"/>
      <c r="G302" s="2"/>
      <c r="H302" s="13">
        <v>77</v>
      </c>
      <c r="I302" s="13">
        <v>65</v>
      </c>
      <c r="J302" s="13">
        <v>76</v>
      </c>
      <c r="K302" s="6">
        <v>0</v>
      </c>
      <c r="L302" s="6">
        <v>5</v>
      </c>
      <c r="M302" s="6">
        <v>0</v>
      </c>
      <c r="N302" s="6" t="s">
        <v>192</v>
      </c>
      <c r="O302" s="6" t="s">
        <v>192</v>
      </c>
      <c r="P302" s="6" t="s">
        <v>192</v>
      </c>
      <c r="Q302" s="6" t="s">
        <v>192</v>
      </c>
      <c r="R302" s="6" t="s">
        <v>192</v>
      </c>
      <c r="S302" s="108" t="s">
        <v>192</v>
      </c>
      <c r="T302" s="111">
        <f>VALUE(SUM(H302:J302))</f>
        <v>218</v>
      </c>
      <c r="U302" s="12">
        <f>IF(COUNTIF(N302:S302,"높음")&gt;=1,1,0)</f>
        <v>1</v>
      </c>
    </row>
    <row r="303" spans="1:21" x14ac:dyDescent="0.3">
      <c r="A303" s="2" t="s">
        <v>531</v>
      </c>
      <c r="B303" s="2">
        <v>11006</v>
      </c>
      <c r="C303" s="2">
        <v>2</v>
      </c>
      <c r="D303" s="2" t="s">
        <v>467</v>
      </c>
      <c r="E303" s="11" t="str">
        <f>IF(AND(U303&gt;0,VLOOKUP(B303,'이름 일치'!$B$3:$N$500,13,FALSE)&lt;&gt;""),"1상담"&amp;"/"&amp;VLOOKUP(B303,'이름 일치'!$B$3:$N$500,13,FALSE),IF(U303&gt;0,"1상담",IF(VLOOKUP(B303,'이름 일치'!$B$3:$N$500,13,FALSE)&lt;&gt;"",VLOOKUP(B303,'이름 일치'!$B$3:$N$500,13,FALSE),"")))</f>
        <v>1상담</v>
      </c>
      <c r="F303" s="11"/>
      <c r="G303" s="2"/>
      <c r="H303" s="13">
        <v>77</v>
      </c>
      <c r="I303" s="13">
        <v>65</v>
      </c>
      <c r="J303" s="13">
        <v>76</v>
      </c>
      <c r="K303" s="6">
        <v>0</v>
      </c>
      <c r="L303" s="6">
        <v>5</v>
      </c>
      <c r="M303" s="6">
        <v>0</v>
      </c>
      <c r="N303" s="6" t="s">
        <v>192</v>
      </c>
      <c r="O303" s="6" t="s">
        <v>192</v>
      </c>
      <c r="P303" s="6" t="s">
        <v>192</v>
      </c>
      <c r="Q303" s="6" t="s">
        <v>192</v>
      </c>
      <c r="R303" s="6" t="s">
        <v>192</v>
      </c>
      <c r="S303" s="108" t="s">
        <v>192</v>
      </c>
      <c r="T303" s="111">
        <f>VALUE(SUM(H303:J303))</f>
        <v>218</v>
      </c>
      <c r="U303" s="12">
        <f>IF(COUNTIF(N303:S303,"높음")&gt;=1,1,0)</f>
        <v>1</v>
      </c>
    </row>
    <row r="304" spans="1:21" x14ac:dyDescent="0.3">
      <c r="A304" s="2" t="s">
        <v>531</v>
      </c>
      <c r="B304" s="2">
        <v>11010</v>
      </c>
      <c r="C304" s="2">
        <v>2</v>
      </c>
      <c r="D304" s="2" t="s">
        <v>470</v>
      </c>
      <c r="E304" s="11" t="str">
        <f>IF(AND(U304&gt;0,VLOOKUP(B304,'이름 일치'!$B$3:$N$500,13,FALSE)&lt;&gt;""),"1상담"&amp;"/"&amp;VLOOKUP(B304,'이름 일치'!$B$3:$N$500,13,FALSE),IF(U304&gt;0,"1상담",IF(VLOOKUP(B304,'이름 일치'!$B$3:$N$500,13,FALSE)&lt;&gt;"",VLOOKUP(B304,'이름 일치'!$B$3:$N$500,13,FALSE),"")))</f>
        <v>1상담</v>
      </c>
      <c r="F304" s="11"/>
      <c r="G304" s="2"/>
      <c r="H304" s="13">
        <v>77</v>
      </c>
      <c r="I304" s="13">
        <v>65</v>
      </c>
      <c r="J304" s="13">
        <v>76</v>
      </c>
      <c r="K304" s="6">
        <v>0</v>
      </c>
      <c r="L304" s="6">
        <v>5</v>
      </c>
      <c r="M304" s="6">
        <v>0</v>
      </c>
      <c r="N304" s="6" t="s">
        <v>192</v>
      </c>
      <c r="O304" s="6" t="s">
        <v>192</v>
      </c>
      <c r="P304" s="6" t="s">
        <v>192</v>
      </c>
      <c r="Q304" s="6" t="s">
        <v>192</v>
      </c>
      <c r="R304" s="6" t="s">
        <v>192</v>
      </c>
      <c r="S304" s="108" t="s">
        <v>192</v>
      </c>
      <c r="T304" s="111">
        <f>VALUE(SUM(H304:J304))</f>
        <v>218</v>
      </c>
      <c r="U304" s="12">
        <f>IF(COUNTIF(N304:S304,"높음")&gt;=1,1,0)</f>
        <v>1</v>
      </c>
    </row>
    <row r="305" spans="1:25" x14ac:dyDescent="0.3">
      <c r="A305" s="2" t="s">
        <v>531</v>
      </c>
      <c r="B305" s="2">
        <v>10929</v>
      </c>
      <c r="C305" s="2">
        <v>1</v>
      </c>
      <c r="D305" s="2" t="s">
        <v>256</v>
      </c>
      <c r="E305" s="11" t="str">
        <f>IF(AND(U305&gt;0,VLOOKUP(B305,'이름 일치'!$B$3:$N$500,13,FALSE)&lt;&gt;""),"1상담"&amp;"/"&amp;VLOOKUP(B305,'이름 일치'!$B$3:$N$500,13,FALSE),IF(U305&gt;0,"1상담",IF(VLOOKUP(B305,'이름 일치'!$B$3:$N$500,13,FALSE)&lt;&gt;"",VLOOKUP(B305,'이름 일치'!$B$3:$N$500,13,FALSE),"")))</f>
        <v>1상담/동명</v>
      </c>
      <c r="F305" s="11"/>
      <c r="G305" s="2"/>
      <c r="H305" s="13">
        <v>77</v>
      </c>
      <c r="I305" s="13">
        <v>65</v>
      </c>
      <c r="J305" s="13">
        <v>76</v>
      </c>
      <c r="K305" s="6">
        <v>0</v>
      </c>
      <c r="L305" s="6">
        <v>5</v>
      </c>
      <c r="M305" s="6">
        <v>0</v>
      </c>
      <c r="N305" s="6" t="s">
        <v>192</v>
      </c>
      <c r="O305" s="6" t="s">
        <v>192</v>
      </c>
      <c r="P305" s="6" t="s">
        <v>192</v>
      </c>
      <c r="Q305" s="6" t="s">
        <v>192</v>
      </c>
      <c r="R305" s="6" t="s">
        <v>192</v>
      </c>
      <c r="S305" s="108" t="s">
        <v>192</v>
      </c>
      <c r="T305" s="111">
        <f>VALUE(SUM(H305:J305))</f>
        <v>218</v>
      </c>
      <c r="U305" s="12">
        <f>IF(COUNTIF(N305:S305,"높음")&gt;=1,1,0)</f>
        <v>1</v>
      </c>
      <c r="X305" s="14"/>
      <c r="Y305" s="15"/>
    </row>
    <row r="306" spans="1:25" x14ac:dyDescent="0.3">
      <c r="A306" s="11" t="s">
        <v>531</v>
      </c>
      <c r="B306" s="2">
        <v>10610</v>
      </c>
      <c r="C306" s="2">
        <v>2</v>
      </c>
      <c r="D306" s="2" t="s">
        <v>301</v>
      </c>
      <c r="E306" s="11" t="str">
        <f>IF(AND(U306&gt;0,VLOOKUP(B306,'이름 일치'!$B$3:$N$500,13,FALSE)&lt;&gt;""),"1상담"&amp;"/"&amp;VLOOKUP(B306,'이름 일치'!$B$3:$N$500,13,FALSE),IF(U306&gt;0,"1상담",IF(VLOOKUP(B306,'이름 일치'!$B$3:$N$500,13,FALSE)&lt;&gt;"",VLOOKUP(B306,'이름 일치'!$B$3:$N$500,13,FALSE),"")))</f>
        <v>1상담/동명</v>
      </c>
      <c r="F306" s="11"/>
      <c r="G306" s="2"/>
      <c r="H306" s="13">
        <v>23</v>
      </c>
      <c r="I306" s="13">
        <v>23</v>
      </c>
      <c r="J306" s="13">
        <v>45</v>
      </c>
      <c r="K306" s="6">
        <v>0</v>
      </c>
      <c r="L306" s="6">
        <v>3</v>
      </c>
      <c r="M306" s="6">
        <v>3</v>
      </c>
      <c r="N306" s="6" t="s">
        <v>187</v>
      </c>
      <c r="O306" s="6" t="s">
        <v>191</v>
      </c>
      <c r="P306" s="6" t="s">
        <v>191</v>
      </c>
      <c r="Q306" s="6" t="s">
        <v>191</v>
      </c>
      <c r="R306" s="6" t="s">
        <v>187</v>
      </c>
      <c r="S306" s="108" t="s">
        <v>192</v>
      </c>
      <c r="T306" s="111">
        <f>VALUE(SUM(H306:J306))</f>
        <v>91</v>
      </c>
      <c r="U306" s="12">
        <f>IF(COUNTIF(N306:S306,"높음")&gt;=1,1,0)</f>
        <v>1</v>
      </c>
    </row>
    <row r="307" spans="1:25" x14ac:dyDescent="0.3">
      <c r="A307" s="2" t="s">
        <v>531</v>
      </c>
      <c r="B307" s="2">
        <v>11008</v>
      </c>
      <c r="C307" s="2">
        <v>2</v>
      </c>
      <c r="D307" s="2" t="s">
        <v>327</v>
      </c>
      <c r="E307" s="11" t="str">
        <f>IF(AND(U307&gt;0,VLOOKUP(B307,'이름 일치'!$B$3:$N$500,13,FALSE)&lt;&gt;""),"1상담"&amp;"/"&amp;VLOOKUP(B307,'이름 일치'!$B$3:$N$500,13,FALSE),IF(U307&gt;0,"1상담",IF(VLOOKUP(B307,'이름 일치'!$B$3:$N$500,13,FALSE)&lt;&gt;"",VLOOKUP(B307,'이름 일치'!$B$3:$N$500,13,FALSE),"")))</f>
        <v>1상담/동명</v>
      </c>
      <c r="F307" s="11"/>
      <c r="G307" s="2"/>
      <c r="H307" s="13">
        <v>23</v>
      </c>
      <c r="I307" s="13">
        <v>23</v>
      </c>
      <c r="J307" s="13">
        <v>45</v>
      </c>
      <c r="K307" s="6">
        <v>0</v>
      </c>
      <c r="L307" s="6">
        <v>3</v>
      </c>
      <c r="M307" s="6">
        <v>3</v>
      </c>
      <c r="N307" s="6" t="s">
        <v>187</v>
      </c>
      <c r="O307" s="6" t="s">
        <v>191</v>
      </c>
      <c r="P307" s="6" t="s">
        <v>191</v>
      </c>
      <c r="Q307" s="6" t="s">
        <v>191</v>
      </c>
      <c r="R307" s="6" t="s">
        <v>187</v>
      </c>
      <c r="S307" s="108" t="s">
        <v>192</v>
      </c>
      <c r="T307" s="111">
        <f>VALUE(SUM(H307:J307))</f>
        <v>91</v>
      </c>
      <c r="U307" s="12">
        <f>IF(COUNTIF(N307:S307,"높음")&gt;=1,1,0)</f>
        <v>1</v>
      </c>
    </row>
    <row r="308" spans="1:25" x14ac:dyDescent="0.3">
      <c r="A308" s="2" t="s">
        <v>531</v>
      </c>
      <c r="B308" s="2">
        <v>10103</v>
      </c>
      <c r="C308" s="2">
        <v>2</v>
      </c>
      <c r="D308" s="2" t="s">
        <v>198</v>
      </c>
      <c r="E308" s="11" t="str">
        <f>IF(AND(U308&gt;0,VLOOKUP(B308,'이름 일치'!$B$3:$N$500,13,FALSE)&lt;&gt;""),"1상담"&amp;"/"&amp;VLOOKUP(B308,'이름 일치'!$B$3:$N$500,13,FALSE),IF(U308&gt;0,"1상담",IF(VLOOKUP(B308,'이름 일치'!$B$3:$N$500,13,FALSE)&lt;&gt;"",VLOOKUP(B308,'이름 일치'!$B$3:$N$500,13,FALSE),"")))</f>
        <v>1상담/동명</v>
      </c>
      <c r="F308" s="11"/>
      <c r="G308" s="2"/>
      <c r="H308" s="13">
        <v>77</v>
      </c>
      <c r="I308" s="13">
        <v>65</v>
      </c>
      <c r="J308" s="13">
        <v>76</v>
      </c>
      <c r="K308" s="6">
        <v>0</v>
      </c>
      <c r="L308" s="6">
        <v>5</v>
      </c>
      <c r="M308" s="6">
        <v>0</v>
      </c>
      <c r="N308" s="6" t="s">
        <v>192</v>
      </c>
      <c r="O308" s="6" t="s">
        <v>192</v>
      </c>
      <c r="P308" s="6" t="s">
        <v>192</v>
      </c>
      <c r="Q308" s="6" t="s">
        <v>192</v>
      </c>
      <c r="R308" s="6" t="s">
        <v>192</v>
      </c>
      <c r="S308" s="108" t="s">
        <v>192</v>
      </c>
      <c r="T308" s="111">
        <f>VALUE(SUM(H308:J308))</f>
        <v>218</v>
      </c>
      <c r="U308" s="12">
        <f>IF(COUNTIF(N308:S308,"높음")&gt;=1,1,0)</f>
        <v>1</v>
      </c>
    </row>
    <row r="309" spans="1:25" x14ac:dyDescent="0.3">
      <c r="A309" s="2" t="s">
        <v>531</v>
      </c>
      <c r="B309" s="2">
        <v>10411</v>
      </c>
      <c r="C309" s="2">
        <v>2</v>
      </c>
      <c r="D309" s="2" t="s">
        <v>301</v>
      </c>
      <c r="E309" s="11" t="str">
        <f>IF(AND(U309&gt;0,VLOOKUP(B309,'이름 일치'!$B$3:$N$500,13,FALSE)&lt;&gt;""),"1상담"&amp;"/"&amp;VLOOKUP(B309,'이름 일치'!$B$3:$N$500,13,FALSE),IF(U309&gt;0,"1상담",IF(VLOOKUP(B309,'이름 일치'!$B$3:$N$500,13,FALSE)&lt;&gt;"",VLOOKUP(B309,'이름 일치'!$B$3:$N$500,13,FALSE),"")))</f>
        <v>1상담/동명</v>
      </c>
      <c r="F309" s="11"/>
      <c r="G309" s="2"/>
      <c r="H309" s="13">
        <v>77</v>
      </c>
      <c r="I309" s="13">
        <v>65</v>
      </c>
      <c r="J309" s="13">
        <v>76</v>
      </c>
      <c r="K309" s="6">
        <v>0</v>
      </c>
      <c r="L309" s="6">
        <v>5</v>
      </c>
      <c r="M309" s="6">
        <v>0</v>
      </c>
      <c r="N309" s="6" t="s">
        <v>192</v>
      </c>
      <c r="O309" s="6" t="s">
        <v>192</v>
      </c>
      <c r="P309" s="6" t="s">
        <v>192</v>
      </c>
      <c r="Q309" s="6" t="s">
        <v>192</v>
      </c>
      <c r="R309" s="6" t="s">
        <v>192</v>
      </c>
      <c r="S309" s="108" t="s">
        <v>192</v>
      </c>
      <c r="T309" s="111">
        <f>VALUE(SUM(H309:J309))</f>
        <v>218</v>
      </c>
      <c r="U309" s="12">
        <f>IF(COUNTIF(N309:S309,"높음")&gt;=1,1,0)</f>
        <v>1</v>
      </c>
    </row>
    <row r="310" spans="1:25" x14ac:dyDescent="0.3">
      <c r="A310" s="11" t="s">
        <v>531</v>
      </c>
      <c r="B310" s="2">
        <v>10830</v>
      </c>
      <c r="C310" s="2">
        <v>2</v>
      </c>
      <c r="D310" s="2" t="s">
        <v>198</v>
      </c>
      <c r="E310" s="11" t="str">
        <f>IF(AND(U310&gt;0,VLOOKUP(B310,'이름 일치'!$B$3:$N$500,13,FALSE)&lt;&gt;""),"1상담"&amp;"/"&amp;VLOOKUP(B310,'이름 일치'!$B$3:$N$500,13,FALSE),IF(U310&gt;0,"1상담",IF(VLOOKUP(B310,'이름 일치'!$B$3:$N$500,13,FALSE)&lt;&gt;"",VLOOKUP(B310,'이름 일치'!$B$3:$N$500,13,FALSE),"")))</f>
        <v>1상담/동명</v>
      </c>
      <c r="F310" s="11"/>
      <c r="G310" s="2"/>
      <c r="H310" s="13">
        <v>77</v>
      </c>
      <c r="I310" s="13">
        <v>65</v>
      </c>
      <c r="J310" s="13">
        <v>76</v>
      </c>
      <c r="K310" s="6">
        <v>0</v>
      </c>
      <c r="L310" s="6">
        <v>5</v>
      </c>
      <c r="M310" s="6">
        <v>0</v>
      </c>
      <c r="N310" s="6" t="s">
        <v>192</v>
      </c>
      <c r="O310" s="6" t="s">
        <v>192</v>
      </c>
      <c r="P310" s="6" t="s">
        <v>192</v>
      </c>
      <c r="Q310" s="6" t="s">
        <v>192</v>
      </c>
      <c r="R310" s="6" t="s">
        <v>192</v>
      </c>
      <c r="S310" s="108" t="s">
        <v>192</v>
      </c>
      <c r="T310" s="111">
        <f>VALUE(SUM(H310:J310))</f>
        <v>218</v>
      </c>
      <c r="U310" s="12">
        <f>IF(COUNTIF(N310:S310,"높음")&gt;=1,1,0)</f>
        <v>1</v>
      </c>
    </row>
    <row r="311" spans="1:25" x14ac:dyDescent="0.3">
      <c r="A311" s="2" t="s">
        <v>531</v>
      </c>
      <c r="B311" s="2">
        <v>10226</v>
      </c>
      <c r="C311" s="2">
        <v>1</v>
      </c>
      <c r="D311" s="2" t="s">
        <v>256</v>
      </c>
      <c r="E311" s="11" t="str">
        <f>IF(AND(U311&gt;0,VLOOKUP(B311,'이름 일치'!$B$3:$N$500,13,FALSE)&lt;&gt;""),"1상담"&amp;"/"&amp;VLOOKUP(B311,'이름 일치'!$B$3:$N$500,13,FALSE),IF(U311&gt;0,"1상담",IF(VLOOKUP(B311,'이름 일치'!$B$3:$N$500,13,FALSE)&lt;&gt;"",VLOOKUP(B311,'이름 일치'!$B$3:$N$500,13,FALSE),"")))</f>
        <v>동명</v>
      </c>
      <c r="F311" s="11"/>
      <c r="G311" s="2"/>
      <c r="H311" s="13">
        <v>32</v>
      </c>
      <c r="I311" s="13">
        <v>31</v>
      </c>
      <c r="J311" s="13">
        <v>26</v>
      </c>
      <c r="K311" s="6">
        <v>0</v>
      </c>
      <c r="L311" s="6">
        <v>1</v>
      </c>
      <c r="M311" s="6">
        <v>3</v>
      </c>
      <c r="N311" s="6" t="s">
        <v>187</v>
      </c>
      <c r="O311" s="6" t="s">
        <v>187</v>
      </c>
      <c r="P311" s="6" t="s">
        <v>187</v>
      </c>
      <c r="Q311" s="6" t="s">
        <v>187</v>
      </c>
      <c r="R311" s="6" t="s">
        <v>187</v>
      </c>
      <c r="S311" s="108" t="s">
        <v>187</v>
      </c>
      <c r="T311" s="111">
        <f>VALUE(SUM(H311:J311))</f>
        <v>89</v>
      </c>
      <c r="U311" s="12">
        <f>IF(COUNTIF(N311:S311,"높음")&gt;=1,1,0)</f>
        <v>0</v>
      </c>
    </row>
    <row r="312" spans="1:25" x14ac:dyDescent="0.3">
      <c r="A312" s="2" t="s">
        <v>531</v>
      </c>
      <c r="B312" s="2">
        <v>10829</v>
      </c>
      <c r="C312" s="2">
        <v>1</v>
      </c>
      <c r="D312" s="2" t="s">
        <v>375</v>
      </c>
      <c r="E312" s="11" t="str">
        <f>IF(AND(U312&gt;0,VLOOKUP(B312,'이름 일치'!$B$3:$N$500,13,FALSE)&lt;&gt;""),"1상담"&amp;"/"&amp;VLOOKUP(B312,'이름 일치'!$B$3:$N$500,13,FALSE),IF(U312&gt;0,"1상담",IF(VLOOKUP(B312,'이름 일치'!$B$3:$N$500,13,FALSE)&lt;&gt;"",VLOOKUP(B312,'이름 일치'!$B$3:$N$500,13,FALSE),"")))</f>
        <v>동명</v>
      </c>
      <c r="F312" s="11"/>
      <c r="G312" s="2"/>
      <c r="H312" s="13">
        <v>32</v>
      </c>
      <c r="I312" s="13">
        <v>31</v>
      </c>
      <c r="J312" s="13">
        <v>26</v>
      </c>
      <c r="K312" s="6">
        <v>0</v>
      </c>
      <c r="L312" s="6">
        <v>1</v>
      </c>
      <c r="M312" s="6">
        <v>3</v>
      </c>
      <c r="N312" s="6" t="s">
        <v>187</v>
      </c>
      <c r="O312" s="6" t="s">
        <v>187</v>
      </c>
      <c r="P312" s="6" t="s">
        <v>187</v>
      </c>
      <c r="Q312" s="6" t="s">
        <v>187</v>
      </c>
      <c r="R312" s="6" t="s">
        <v>187</v>
      </c>
      <c r="S312" s="108" t="s">
        <v>187</v>
      </c>
      <c r="T312" s="111">
        <f>VALUE(SUM(H312:J312))</f>
        <v>89</v>
      </c>
      <c r="U312" s="12">
        <f>IF(COUNTIF(N312:S312,"높음")&gt;=1,1,0)</f>
        <v>0</v>
      </c>
    </row>
    <row r="313" spans="1:25" x14ac:dyDescent="0.3">
      <c r="A313" s="11" t="s">
        <v>531</v>
      </c>
      <c r="B313" s="2">
        <v>10416</v>
      </c>
      <c r="C313" s="2">
        <v>1</v>
      </c>
      <c r="D313" s="2" t="s">
        <v>306</v>
      </c>
      <c r="E313" s="11" t="str">
        <f>IF(AND(U313&gt;0,VLOOKUP(B313,'이름 일치'!$B$3:$N$500,13,FALSE)&lt;&gt;""),"1상담"&amp;"/"&amp;VLOOKUP(B313,'이름 일치'!$B$3:$N$500,13,FALSE),IF(U313&gt;0,"1상담",IF(VLOOKUP(B313,'이름 일치'!$B$3:$N$500,13,FALSE)&lt;&gt;"",VLOOKUP(B313,'이름 일치'!$B$3:$N$500,13,FALSE),"")))</f>
        <v>동명</v>
      </c>
      <c r="F313" s="11"/>
      <c r="G313" s="2"/>
      <c r="H313" s="13">
        <v>81</v>
      </c>
      <c r="I313" s="13">
        <v>86</v>
      </c>
      <c r="J313" s="13">
        <v>76</v>
      </c>
      <c r="K313" s="6">
        <v>0</v>
      </c>
      <c r="L313" s="6">
        <v>1</v>
      </c>
      <c r="M313" s="6">
        <v>0</v>
      </c>
      <c r="N313" s="6" t="s">
        <v>187</v>
      </c>
      <c r="O313" s="6" t="s">
        <v>187</v>
      </c>
      <c r="P313" s="6" t="s">
        <v>187</v>
      </c>
      <c r="Q313" s="6" t="s">
        <v>187</v>
      </c>
      <c r="R313" s="6" t="s">
        <v>187</v>
      </c>
      <c r="S313" s="108" t="s">
        <v>187</v>
      </c>
      <c r="T313" s="111">
        <f>VALUE(SUM(H313:J313))</f>
        <v>243</v>
      </c>
      <c r="U313" s="12">
        <f>IF(COUNTIF(N313:S313,"높음")&gt;=1,1,0)</f>
        <v>0</v>
      </c>
    </row>
    <row r="314" spans="1:25" x14ac:dyDescent="0.3">
      <c r="A314" s="2" t="s">
        <v>531</v>
      </c>
      <c r="B314" s="2">
        <v>10629</v>
      </c>
      <c r="C314" s="2">
        <v>1</v>
      </c>
      <c r="D314" s="2" t="s">
        <v>375</v>
      </c>
      <c r="E314" s="11" t="str">
        <f>IF(AND(U314&gt;0,VLOOKUP(B314,'이름 일치'!$B$3:$N$500,13,FALSE)&lt;&gt;""),"1상담"&amp;"/"&amp;VLOOKUP(B314,'이름 일치'!$B$3:$N$500,13,FALSE),IF(U314&gt;0,"1상담",IF(VLOOKUP(B314,'이름 일치'!$B$3:$N$500,13,FALSE)&lt;&gt;"",VLOOKUP(B314,'이름 일치'!$B$3:$N$500,13,FALSE),"")))</f>
        <v>동명</v>
      </c>
      <c r="F314" s="11"/>
      <c r="G314" s="2"/>
      <c r="H314" s="13">
        <v>81</v>
      </c>
      <c r="I314" s="13">
        <v>86</v>
      </c>
      <c r="J314" s="13">
        <v>76</v>
      </c>
      <c r="K314" s="6">
        <v>0</v>
      </c>
      <c r="L314" s="6">
        <v>1</v>
      </c>
      <c r="M314" s="6">
        <v>0</v>
      </c>
      <c r="N314" s="6" t="s">
        <v>187</v>
      </c>
      <c r="O314" s="6" t="s">
        <v>187</v>
      </c>
      <c r="P314" s="6" t="s">
        <v>187</v>
      </c>
      <c r="Q314" s="6" t="s">
        <v>187</v>
      </c>
      <c r="R314" s="6" t="s">
        <v>187</v>
      </c>
      <c r="S314" s="108" t="s">
        <v>187</v>
      </c>
      <c r="T314" s="111">
        <f>VALUE(SUM(H314:J314))</f>
        <v>243</v>
      </c>
      <c r="U314" s="12">
        <f>IF(COUNTIF(N314:S314,"높음")&gt;=1,1,0)</f>
        <v>0</v>
      </c>
    </row>
    <row r="315" spans="1:25" x14ac:dyDescent="0.3">
      <c r="A315" s="2" t="s">
        <v>531</v>
      </c>
      <c r="B315" s="2">
        <v>10509</v>
      </c>
      <c r="C315" s="2">
        <v>2</v>
      </c>
      <c r="D315" s="2" t="s">
        <v>327</v>
      </c>
      <c r="E315" s="11" t="str">
        <f>IF(AND(U315&gt;0,VLOOKUP(B315,'이름 일치'!$B$3:$N$500,13,FALSE)&lt;&gt;""),"1상담"&amp;"/"&amp;VLOOKUP(B315,'이름 일치'!$B$3:$N$500,13,FALSE),IF(U315&gt;0,"1상담",IF(VLOOKUP(B315,'이름 일치'!$B$3:$N$500,13,FALSE)&lt;&gt;"",VLOOKUP(B315,'이름 일치'!$B$3:$N$500,13,FALSE),"")))</f>
        <v>동명</v>
      </c>
      <c r="F315" s="11"/>
      <c r="G315" s="2"/>
      <c r="H315" s="13">
        <v>32</v>
      </c>
      <c r="I315" s="13">
        <v>31</v>
      </c>
      <c r="J315" s="13">
        <v>26</v>
      </c>
      <c r="K315" s="6">
        <v>0</v>
      </c>
      <c r="L315" s="6">
        <v>1</v>
      </c>
      <c r="M315" s="6">
        <v>3</v>
      </c>
      <c r="N315" s="6" t="s">
        <v>187</v>
      </c>
      <c r="O315" s="6" t="s">
        <v>187</v>
      </c>
      <c r="P315" s="6" t="s">
        <v>187</v>
      </c>
      <c r="Q315" s="6" t="s">
        <v>187</v>
      </c>
      <c r="R315" s="6" t="s">
        <v>187</v>
      </c>
      <c r="S315" s="108" t="s">
        <v>187</v>
      </c>
      <c r="T315" s="111">
        <f>VALUE(SUM(H315:J315))</f>
        <v>89</v>
      </c>
      <c r="U315" s="12">
        <f>IF(COUNTIF(N315:S315,"높음")&gt;=1,1,0)</f>
        <v>0</v>
      </c>
    </row>
    <row r="316" spans="1:25" x14ac:dyDescent="0.3">
      <c r="A316" s="11" t="s">
        <v>531</v>
      </c>
      <c r="B316" s="2">
        <v>10603</v>
      </c>
      <c r="C316" s="2">
        <v>2</v>
      </c>
      <c r="D316" s="2" t="s">
        <v>306</v>
      </c>
      <c r="E316" s="11" t="str">
        <f>IF(AND(U316&gt;0,VLOOKUP(B316,'이름 일치'!$B$3:$N$500,13,FALSE)&lt;&gt;""),"1상담"&amp;"/"&amp;VLOOKUP(B316,'이름 일치'!$B$3:$N$500,13,FALSE),IF(U316&gt;0,"1상담",IF(VLOOKUP(B316,'이름 일치'!$B$3:$N$500,13,FALSE)&lt;&gt;"",VLOOKUP(B316,'이름 일치'!$B$3:$N$500,13,FALSE),"")))</f>
        <v>동명</v>
      </c>
      <c r="F316" s="11"/>
      <c r="G316" s="2"/>
      <c r="H316" s="13">
        <v>32</v>
      </c>
      <c r="I316" s="13">
        <v>31</v>
      </c>
      <c r="J316" s="13">
        <v>26</v>
      </c>
      <c r="K316" s="6">
        <v>0</v>
      </c>
      <c r="L316" s="6">
        <v>1</v>
      </c>
      <c r="M316" s="6">
        <v>3</v>
      </c>
      <c r="N316" s="6" t="s">
        <v>187</v>
      </c>
      <c r="O316" s="6" t="s">
        <v>187</v>
      </c>
      <c r="P316" s="6" t="s">
        <v>187</v>
      </c>
      <c r="Q316" s="6" t="s">
        <v>187</v>
      </c>
      <c r="R316" s="6" t="s">
        <v>187</v>
      </c>
      <c r="S316" s="108" t="s">
        <v>187</v>
      </c>
      <c r="T316" s="111">
        <f>VALUE(SUM(H316:J316))</f>
        <v>89</v>
      </c>
      <c r="U316" s="12">
        <f>IF(COUNTIF(N316:S316,"높음")&gt;=1,1,0)</f>
        <v>0</v>
      </c>
    </row>
    <row r="317" spans="1:25" x14ac:dyDescent="0.3">
      <c r="A317" s="2" t="s">
        <v>531</v>
      </c>
      <c r="B317" s="2">
        <v>10104</v>
      </c>
      <c r="C317" s="2">
        <v>2</v>
      </c>
      <c r="D317" s="2" t="s">
        <v>204</v>
      </c>
      <c r="E317" s="11" t="str">
        <f>IF(AND(U317&gt;0,VLOOKUP(B317,'이름 일치'!$B$3:$N$500,13,FALSE)&lt;&gt;""),"1상담"&amp;"/"&amp;VLOOKUP(B317,'이름 일치'!$B$3:$N$500,13,FALSE),IF(U317&gt;0,"1상담",IF(VLOOKUP(B317,'이름 일치'!$B$3:$N$500,13,FALSE)&lt;&gt;"",VLOOKUP(B317,'이름 일치'!$B$3:$N$500,13,FALSE),"")))</f>
        <v>동명</v>
      </c>
      <c r="F317" s="11"/>
      <c r="G317" s="2"/>
      <c r="H317" s="13">
        <v>81</v>
      </c>
      <c r="I317" s="13">
        <v>86</v>
      </c>
      <c r="J317" s="13">
        <v>76</v>
      </c>
      <c r="K317" s="6">
        <v>0</v>
      </c>
      <c r="L317" s="6">
        <v>1</v>
      </c>
      <c r="M317" s="6">
        <v>0</v>
      </c>
      <c r="N317" s="6" t="s">
        <v>187</v>
      </c>
      <c r="O317" s="6" t="s">
        <v>187</v>
      </c>
      <c r="P317" s="6" t="s">
        <v>187</v>
      </c>
      <c r="Q317" s="6" t="s">
        <v>187</v>
      </c>
      <c r="R317" s="6" t="s">
        <v>187</v>
      </c>
      <c r="S317" s="108" t="s">
        <v>187</v>
      </c>
      <c r="T317" s="111">
        <f>VALUE(SUM(H317:J317))</f>
        <v>243</v>
      </c>
      <c r="U317" s="12">
        <f>IF(COUNTIF(N317:S317,"높음")&gt;=1,1,0)</f>
        <v>0</v>
      </c>
    </row>
    <row r="318" spans="1:25" x14ac:dyDescent="0.3">
      <c r="A318" s="2" t="s">
        <v>531</v>
      </c>
      <c r="B318" s="2">
        <v>10507</v>
      </c>
      <c r="C318" s="2">
        <v>2</v>
      </c>
      <c r="D318" s="2" t="s">
        <v>204</v>
      </c>
      <c r="E318" s="11" t="str">
        <f>IF(AND(U318&gt;0,VLOOKUP(B318,'이름 일치'!$B$3:$N$500,13,FALSE)&lt;&gt;""),"1상담"&amp;"/"&amp;VLOOKUP(B318,'이름 일치'!$B$3:$N$500,13,FALSE),IF(U318&gt;0,"1상담",IF(VLOOKUP(B318,'이름 일치'!$B$3:$N$500,13,FALSE)&lt;&gt;"",VLOOKUP(B318,'이름 일치'!$B$3:$N$500,13,FALSE),"")))</f>
        <v>동명</v>
      </c>
      <c r="F318" s="11"/>
      <c r="G318" s="2"/>
      <c r="H318" s="13">
        <v>81</v>
      </c>
      <c r="I318" s="13">
        <v>86</v>
      </c>
      <c r="J318" s="13">
        <v>76</v>
      </c>
      <c r="K318" s="6">
        <v>0</v>
      </c>
      <c r="L318" s="6">
        <v>1</v>
      </c>
      <c r="M318" s="6">
        <v>0</v>
      </c>
      <c r="N318" s="6" t="s">
        <v>187</v>
      </c>
      <c r="O318" s="6" t="s">
        <v>187</v>
      </c>
      <c r="P318" s="6" t="s">
        <v>187</v>
      </c>
      <c r="Q318" s="6" t="s">
        <v>187</v>
      </c>
      <c r="R318" s="6" t="s">
        <v>187</v>
      </c>
      <c r="S318" s="108" t="s">
        <v>187</v>
      </c>
      <c r="T318" s="111">
        <f>VALUE(SUM(H318:J318))</f>
        <v>243</v>
      </c>
      <c r="U318" s="12">
        <f>IF(COUNTIF(N318:S318,"높음")&gt;=1,1,0)</f>
        <v>0</v>
      </c>
    </row>
    <row r="319" spans="1:25" x14ac:dyDescent="0.3">
      <c r="A319" s="2"/>
      <c r="B319" s="2"/>
      <c r="C319" s="2"/>
      <c r="D319" s="2"/>
      <c r="E319" s="11"/>
      <c r="F319" s="11"/>
      <c r="G319" s="2"/>
      <c r="H319" s="13"/>
      <c r="I319" s="13"/>
      <c r="J319" s="13"/>
      <c r="K319" s="6"/>
      <c r="L319" s="6"/>
      <c r="M319" s="6"/>
      <c r="N319" s="6"/>
      <c r="O319" s="6"/>
      <c r="P319" s="6"/>
      <c r="Q319" s="6"/>
      <c r="R319" s="6"/>
      <c r="S319" s="108"/>
      <c r="T319" s="111"/>
      <c r="U319" s="12"/>
    </row>
    <row r="320" spans="1:25" x14ac:dyDescent="0.3">
      <c r="A320" s="2"/>
      <c r="B320" s="2"/>
      <c r="C320" s="2"/>
      <c r="D320" s="2"/>
      <c r="E320" s="11"/>
      <c r="F320" s="11"/>
      <c r="G320" s="2"/>
      <c r="H320" s="13"/>
      <c r="I320" s="13"/>
      <c r="J320" s="13"/>
      <c r="K320" s="6"/>
      <c r="L320" s="6"/>
      <c r="M320" s="6"/>
      <c r="N320" s="6"/>
      <c r="O320" s="6"/>
      <c r="P320" s="6"/>
      <c r="Q320" s="6"/>
      <c r="R320" s="6"/>
      <c r="S320" s="108"/>
      <c r="T320" s="111"/>
      <c r="U320" s="12"/>
    </row>
    <row r="321" spans="1:21" x14ac:dyDescent="0.3">
      <c r="A321" s="2"/>
      <c r="B321" s="2"/>
      <c r="C321" s="2"/>
      <c r="D321" s="2"/>
      <c r="E321" s="11"/>
      <c r="F321" s="11"/>
      <c r="G321" s="2"/>
      <c r="H321" s="13"/>
      <c r="I321" s="13"/>
      <c r="J321" s="13"/>
      <c r="K321" s="6"/>
      <c r="L321" s="6"/>
      <c r="M321" s="6"/>
      <c r="N321" s="6"/>
      <c r="O321" s="6"/>
      <c r="P321" s="6"/>
      <c r="Q321" s="6"/>
      <c r="R321" s="6"/>
      <c r="S321" s="108"/>
      <c r="T321" s="111"/>
      <c r="U321" s="12"/>
    </row>
    <row r="322" spans="1:21" x14ac:dyDescent="0.3">
      <c r="A322" s="2"/>
      <c r="B322" s="2"/>
      <c r="C322" s="2"/>
      <c r="D322" s="2"/>
      <c r="E322" s="11"/>
      <c r="F322" s="11"/>
      <c r="G322" s="2"/>
      <c r="H322" s="13"/>
      <c r="I322" s="13"/>
      <c r="J322" s="13"/>
      <c r="K322" s="6"/>
      <c r="L322" s="6"/>
      <c r="M322" s="6"/>
      <c r="N322" s="6"/>
      <c r="O322" s="6"/>
      <c r="P322" s="6"/>
      <c r="Q322" s="6"/>
      <c r="R322" s="6"/>
      <c r="S322" s="108"/>
      <c r="T322" s="111"/>
      <c r="U322" s="12"/>
    </row>
    <row r="323" spans="1:21" x14ac:dyDescent="0.3">
      <c r="A323" s="2"/>
      <c r="B323" s="2"/>
      <c r="C323" s="2"/>
      <c r="D323" s="2"/>
      <c r="E323" s="11"/>
      <c r="F323" s="11"/>
      <c r="G323" s="2"/>
      <c r="H323" s="13"/>
      <c r="I323" s="13"/>
      <c r="J323" s="13"/>
      <c r="K323" s="6"/>
      <c r="L323" s="6"/>
      <c r="M323" s="6"/>
      <c r="N323" s="6"/>
      <c r="O323" s="6"/>
      <c r="P323" s="6"/>
      <c r="Q323" s="6"/>
      <c r="R323" s="6"/>
      <c r="S323" s="108"/>
      <c r="T323" s="111"/>
      <c r="U323" s="12"/>
    </row>
    <row r="324" spans="1:21" x14ac:dyDescent="0.3">
      <c r="A324" s="2"/>
      <c r="B324" s="2"/>
      <c r="C324" s="2"/>
      <c r="D324" s="2"/>
      <c r="E324" s="11"/>
      <c r="F324" s="11"/>
      <c r="G324" s="2"/>
      <c r="H324" s="13"/>
      <c r="I324" s="13"/>
      <c r="J324" s="13"/>
      <c r="K324" s="6"/>
      <c r="L324" s="6"/>
      <c r="M324" s="6"/>
      <c r="N324" s="6"/>
      <c r="O324" s="6"/>
      <c r="P324" s="6"/>
      <c r="Q324" s="6"/>
      <c r="R324" s="6"/>
      <c r="S324" s="108"/>
      <c r="T324" s="111"/>
      <c r="U324" s="12"/>
    </row>
    <row r="325" spans="1:21" x14ac:dyDescent="0.3">
      <c r="A325" s="2"/>
      <c r="B325" s="2"/>
      <c r="C325" s="2"/>
      <c r="D325" s="2"/>
      <c r="E325" s="11"/>
      <c r="F325" s="11"/>
      <c r="G325" s="2"/>
      <c r="H325" s="13"/>
      <c r="I325" s="13"/>
      <c r="J325" s="13"/>
      <c r="K325" s="6"/>
      <c r="L325" s="6"/>
      <c r="M325" s="6"/>
      <c r="N325" s="6"/>
      <c r="O325" s="6"/>
      <c r="P325" s="6"/>
      <c r="Q325" s="6"/>
      <c r="R325" s="6"/>
      <c r="S325" s="108"/>
      <c r="T325" s="111"/>
      <c r="U325" s="12"/>
    </row>
    <row r="326" spans="1:21" x14ac:dyDescent="0.3">
      <c r="A326" s="2"/>
      <c r="B326" s="2"/>
      <c r="C326" s="2"/>
      <c r="D326" s="2"/>
      <c r="E326" s="11"/>
      <c r="F326" s="11"/>
      <c r="G326" s="2"/>
      <c r="H326" s="13"/>
      <c r="I326" s="13"/>
      <c r="J326" s="13"/>
      <c r="K326" s="6"/>
      <c r="L326" s="6"/>
      <c r="M326" s="6"/>
      <c r="N326" s="6"/>
      <c r="O326" s="6"/>
      <c r="P326" s="6"/>
      <c r="Q326" s="6"/>
      <c r="R326" s="6"/>
      <c r="S326" s="108"/>
      <c r="T326" s="111"/>
      <c r="U326" s="12"/>
    </row>
    <row r="327" spans="1:21" x14ac:dyDescent="0.3">
      <c r="A327" s="2"/>
      <c r="B327" s="2"/>
      <c r="C327" s="2"/>
      <c r="D327" s="2"/>
      <c r="E327" s="11"/>
      <c r="F327" s="11"/>
      <c r="G327" s="2"/>
      <c r="H327" s="13"/>
      <c r="I327" s="13"/>
      <c r="J327" s="13"/>
      <c r="K327" s="6"/>
      <c r="L327" s="6"/>
      <c r="M327" s="6"/>
      <c r="N327" s="6"/>
      <c r="O327" s="6"/>
      <c r="P327" s="6"/>
      <c r="Q327" s="6"/>
      <c r="R327" s="6"/>
      <c r="S327" s="108"/>
      <c r="T327" s="111"/>
      <c r="U327" s="12"/>
    </row>
    <row r="328" spans="1:21" x14ac:dyDescent="0.3">
      <c r="A328" s="2"/>
      <c r="B328" s="2"/>
      <c r="C328" s="2"/>
      <c r="D328" s="2"/>
      <c r="E328" s="11"/>
      <c r="F328" s="11"/>
      <c r="G328" s="2"/>
      <c r="H328" s="13"/>
      <c r="I328" s="13"/>
      <c r="J328" s="13"/>
      <c r="K328" s="6"/>
      <c r="L328" s="6"/>
      <c r="M328" s="6"/>
      <c r="N328" s="6"/>
      <c r="O328" s="6"/>
      <c r="P328" s="6"/>
      <c r="Q328" s="6"/>
      <c r="R328" s="6"/>
      <c r="S328" s="108"/>
      <c r="T328" s="111"/>
      <c r="U328" s="12"/>
    </row>
    <row r="329" spans="1:21" x14ac:dyDescent="0.3">
      <c r="A329" s="2"/>
      <c r="B329" s="2"/>
      <c r="C329" s="2"/>
      <c r="D329" s="2"/>
      <c r="E329" s="11"/>
      <c r="F329" s="11"/>
      <c r="G329" s="2"/>
      <c r="H329" s="13"/>
      <c r="I329" s="13"/>
      <c r="J329" s="13"/>
      <c r="K329" s="6"/>
      <c r="L329" s="6"/>
      <c r="M329" s="6"/>
      <c r="N329" s="6"/>
      <c r="O329" s="6"/>
      <c r="P329" s="6"/>
      <c r="Q329" s="6"/>
      <c r="R329" s="6"/>
      <c r="S329" s="108"/>
      <c r="T329" s="111"/>
      <c r="U329" s="12"/>
    </row>
    <row r="330" spans="1:21" x14ac:dyDescent="0.3">
      <c r="A330" s="2"/>
      <c r="B330" s="2"/>
      <c r="C330" s="2"/>
      <c r="D330" s="2"/>
      <c r="E330" s="11"/>
      <c r="F330" s="11"/>
      <c r="G330" s="2"/>
      <c r="H330" s="13"/>
      <c r="I330" s="13"/>
      <c r="J330" s="13"/>
      <c r="K330" s="6"/>
      <c r="L330" s="6"/>
      <c r="M330" s="6"/>
      <c r="N330" s="6"/>
      <c r="O330" s="6"/>
      <c r="P330" s="6"/>
      <c r="Q330" s="6"/>
      <c r="R330" s="6"/>
      <c r="S330" s="108"/>
      <c r="T330" s="111"/>
      <c r="U330" s="12"/>
    </row>
    <row r="331" spans="1:21" x14ac:dyDescent="0.3">
      <c r="A331" s="2"/>
      <c r="B331" s="2"/>
      <c r="C331" s="2"/>
      <c r="D331" s="2"/>
      <c r="E331" s="11"/>
      <c r="F331" s="11"/>
      <c r="G331" s="2"/>
      <c r="H331" s="13"/>
      <c r="I331" s="13"/>
      <c r="J331" s="13"/>
      <c r="K331" s="6"/>
      <c r="L331" s="6"/>
      <c r="M331" s="6"/>
      <c r="N331" s="6"/>
      <c r="O331" s="6"/>
      <c r="P331" s="6"/>
      <c r="Q331" s="6"/>
      <c r="R331" s="6"/>
      <c r="S331" s="108"/>
      <c r="T331" s="111"/>
      <c r="U331" s="12"/>
    </row>
    <row r="332" spans="1:21" x14ac:dyDescent="0.3">
      <c r="A332" s="2"/>
      <c r="B332" s="2"/>
      <c r="C332" s="2"/>
      <c r="D332" s="2"/>
      <c r="E332" s="11"/>
      <c r="F332" s="11"/>
      <c r="G332" s="2"/>
      <c r="H332" s="13"/>
      <c r="I332" s="13"/>
      <c r="J332" s="13"/>
      <c r="K332" s="6"/>
      <c r="L332" s="6"/>
      <c r="M332" s="6"/>
      <c r="N332" s="6"/>
      <c r="O332" s="6"/>
      <c r="P332" s="6"/>
      <c r="Q332" s="6"/>
      <c r="R332" s="6"/>
      <c r="S332" s="108"/>
      <c r="T332" s="111"/>
      <c r="U332" s="12"/>
    </row>
    <row r="333" spans="1:21" x14ac:dyDescent="0.3">
      <c r="A333" s="2"/>
      <c r="B333" s="2"/>
      <c r="C333" s="2"/>
      <c r="D333" s="2"/>
      <c r="E333" s="11"/>
      <c r="F333" s="11"/>
      <c r="G333" s="2"/>
      <c r="H333" s="13"/>
      <c r="I333" s="13"/>
      <c r="J333" s="13"/>
      <c r="K333" s="6"/>
      <c r="L333" s="6"/>
      <c r="M333" s="6"/>
      <c r="N333" s="6"/>
      <c r="O333" s="6"/>
      <c r="P333" s="6"/>
      <c r="Q333" s="6"/>
      <c r="R333" s="6"/>
      <c r="S333" s="108"/>
      <c r="T333" s="111"/>
      <c r="U333" s="12"/>
    </row>
    <row r="334" spans="1:21" x14ac:dyDescent="0.3">
      <c r="A334" s="2"/>
      <c r="B334" s="2"/>
      <c r="C334" s="2"/>
      <c r="D334" s="2"/>
      <c r="E334" s="11"/>
      <c r="F334" s="11"/>
      <c r="G334" s="2"/>
      <c r="H334" s="13"/>
      <c r="I334" s="13"/>
      <c r="J334" s="13"/>
      <c r="K334" s="6"/>
      <c r="L334" s="6"/>
      <c r="M334" s="6"/>
      <c r="N334" s="6"/>
      <c r="O334" s="6"/>
      <c r="P334" s="6"/>
      <c r="Q334" s="6"/>
      <c r="R334" s="6"/>
      <c r="S334" s="108"/>
      <c r="T334" s="111"/>
      <c r="U334" s="12"/>
    </row>
    <row r="335" spans="1:21" x14ac:dyDescent="0.3">
      <c r="A335" s="2"/>
      <c r="B335" s="2"/>
      <c r="C335" s="2"/>
      <c r="D335" s="2"/>
      <c r="E335" s="11"/>
      <c r="F335" s="11"/>
      <c r="G335" s="2"/>
      <c r="H335" s="13"/>
      <c r="I335" s="13"/>
      <c r="J335" s="13"/>
      <c r="K335" s="6"/>
      <c r="L335" s="6"/>
      <c r="M335" s="6"/>
      <c r="N335" s="6"/>
      <c r="O335" s="6"/>
      <c r="P335" s="6"/>
      <c r="Q335" s="6"/>
      <c r="R335" s="6"/>
      <c r="S335" s="108"/>
      <c r="T335" s="111"/>
      <c r="U335" s="12"/>
    </row>
    <row r="336" spans="1:21" x14ac:dyDescent="0.3">
      <c r="A336" s="2"/>
      <c r="B336" s="2"/>
      <c r="C336" s="2"/>
      <c r="D336" s="2"/>
      <c r="E336" s="11"/>
      <c r="F336" s="11"/>
      <c r="G336" s="2"/>
      <c r="H336" s="13"/>
      <c r="I336" s="13"/>
      <c r="J336" s="13"/>
      <c r="K336" s="6"/>
      <c r="L336" s="6"/>
      <c r="M336" s="6"/>
      <c r="N336" s="6"/>
      <c r="O336" s="6"/>
      <c r="P336" s="6"/>
      <c r="Q336" s="6"/>
      <c r="R336" s="6"/>
      <c r="S336" s="108"/>
      <c r="T336" s="111"/>
      <c r="U336" s="12"/>
    </row>
    <row r="337" spans="1:21" x14ac:dyDescent="0.3">
      <c r="A337" s="2"/>
      <c r="B337" s="2"/>
      <c r="C337" s="2"/>
      <c r="D337" s="2"/>
      <c r="E337" s="11"/>
      <c r="F337" s="11"/>
      <c r="G337" s="2"/>
      <c r="H337" s="13"/>
      <c r="I337" s="13"/>
      <c r="J337" s="13"/>
      <c r="K337" s="6"/>
      <c r="L337" s="6"/>
      <c r="M337" s="6"/>
      <c r="N337" s="6"/>
      <c r="O337" s="6"/>
      <c r="P337" s="6"/>
      <c r="Q337" s="6"/>
      <c r="R337" s="6"/>
      <c r="S337" s="108"/>
      <c r="T337" s="111"/>
      <c r="U337" s="12"/>
    </row>
    <row r="338" spans="1:21" x14ac:dyDescent="0.3">
      <c r="A338" s="2"/>
      <c r="B338" s="2"/>
      <c r="C338" s="2"/>
      <c r="D338" s="2"/>
      <c r="E338" s="11"/>
      <c r="F338" s="11"/>
      <c r="G338" s="2"/>
      <c r="H338" s="13"/>
      <c r="I338" s="13"/>
      <c r="J338" s="13"/>
      <c r="K338" s="6"/>
      <c r="L338" s="6"/>
      <c r="M338" s="6"/>
      <c r="N338" s="6"/>
      <c r="O338" s="6"/>
      <c r="P338" s="6"/>
      <c r="Q338" s="6"/>
      <c r="R338" s="6"/>
      <c r="S338" s="108"/>
      <c r="T338" s="111"/>
      <c r="U338" s="12"/>
    </row>
    <row r="339" spans="1:21" x14ac:dyDescent="0.3">
      <c r="A339" s="2"/>
      <c r="B339" s="2"/>
      <c r="C339" s="2"/>
      <c r="D339" s="2"/>
      <c r="E339" s="11"/>
      <c r="F339" s="11"/>
      <c r="G339" s="2"/>
      <c r="H339" s="13"/>
      <c r="I339" s="13"/>
      <c r="J339" s="13"/>
      <c r="K339" s="6"/>
      <c r="L339" s="6"/>
      <c r="M339" s="6"/>
      <c r="N339" s="6"/>
      <c r="O339" s="6"/>
      <c r="P339" s="6"/>
      <c r="Q339" s="6"/>
      <c r="R339" s="6"/>
      <c r="S339" s="108"/>
      <c r="T339" s="111"/>
      <c r="U339" s="12"/>
    </row>
    <row r="340" spans="1:21" x14ac:dyDescent="0.3">
      <c r="A340" s="2"/>
      <c r="B340" s="2"/>
      <c r="C340" s="2"/>
      <c r="D340" s="2"/>
      <c r="E340" s="11"/>
      <c r="F340" s="11"/>
      <c r="G340" s="2"/>
      <c r="H340" s="13"/>
      <c r="I340" s="13"/>
      <c r="J340" s="13"/>
      <c r="K340" s="6"/>
      <c r="L340" s="6"/>
      <c r="M340" s="6"/>
      <c r="N340" s="6"/>
      <c r="O340" s="6"/>
      <c r="P340" s="6"/>
      <c r="Q340" s="6"/>
      <c r="R340" s="6"/>
      <c r="S340" s="108"/>
      <c r="T340" s="111"/>
      <c r="U340" s="12"/>
    </row>
    <row r="341" spans="1:21" x14ac:dyDescent="0.3">
      <c r="A341" s="2"/>
      <c r="B341" s="2"/>
      <c r="C341" s="2"/>
      <c r="D341" s="2"/>
      <c r="E341" s="11"/>
      <c r="F341" s="11"/>
      <c r="G341" s="2"/>
      <c r="H341" s="13"/>
      <c r="I341" s="13"/>
      <c r="J341" s="13"/>
      <c r="K341" s="6"/>
      <c r="L341" s="6"/>
      <c r="M341" s="6"/>
      <c r="N341" s="6"/>
      <c r="O341" s="6"/>
      <c r="P341" s="6"/>
      <c r="Q341" s="6"/>
      <c r="R341" s="6"/>
      <c r="S341" s="108"/>
      <c r="T341" s="111"/>
      <c r="U341" s="12"/>
    </row>
    <row r="342" spans="1:21" x14ac:dyDescent="0.3">
      <c r="A342" s="2"/>
      <c r="B342" s="2"/>
      <c r="C342" s="2"/>
      <c r="D342" s="2"/>
      <c r="E342" s="11"/>
      <c r="F342" s="11"/>
      <c r="G342" s="2"/>
      <c r="H342" s="13"/>
      <c r="I342" s="13"/>
      <c r="J342" s="13"/>
      <c r="K342" s="6"/>
      <c r="L342" s="6"/>
      <c r="M342" s="6"/>
      <c r="N342" s="6"/>
      <c r="O342" s="6"/>
      <c r="P342" s="6"/>
      <c r="Q342" s="6"/>
      <c r="R342" s="6"/>
      <c r="S342" s="108"/>
      <c r="T342" s="111"/>
      <c r="U342" s="12"/>
    </row>
    <row r="343" spans="1:21" x14ac:dyDescent="0.3">
      <c r="A343" s="2"/>
      <c r="B343" s="2"/>
      <c r="C343" s="2"/>
      <c r="D343" s="2"/>
      <c r="E343" s="11"/>
      <c r="F343" s="11"/>
      <c r="G343" s="2"/>
      <c r="H343" s="13"/>
      <c r="I343" s="13"/>
      <c r="J343" s="13"/>
      <c r="K343" s="6"/>
      <c r="L343" s="6"/>
      <c r="M343" s="6"/>
      <c r="N343" s="6"/>
      <c r="O343" s="6"/>
      <c r="P343" s="6"/>
      <c r="Q343" s="6"/>
      <c r="R343" s="6"/>
      <c r="S343" s="108"/>
      <c r="T343" s="111"/>
      <c r="U343" s="12"/>
    </row>
    <row r="344" spans="1:21" x14ac:dyDescent="0.3">
      <c r="A344" s="2"/>
      <c r="B344" s="2"/>
      <c r="C344" s="2"/>
      <c r="D344" s="2"/>
      <c r="E344" s="11"/>
      <c r="F344" s="11"/>
      <c r="G344" s="2"/>
      <c r="H344" s="13"/>
      <c r="I344" s="13"/>
      <c r="J344" s="13"/>
      <c r="K344" s="6"/>
      <c r="L344" s="6"/>
      <c r="M344" s="6"/>
      <c r="N344" s="6"/>
      <c r="O344" s="6"/>
      <c r="P344" s="6"/>
      <c r="Q344" s="6"/>
      <c r="R344" s="6"/>
      <c r="S344" s="108"/>
      <c r="T344" s="111"/>
      <c r="U344" s="12"/>
    </row>
    <row r="345" spans="1:21" x14ac:dyDescent="0.3">
      <c r="A345" s="2"/>
      <c r="B345" s="2"/>
      <c r="C345" s="2"/>
      <c r="D345" s="2"/>
      <c r="E345" s="11"/>
      <c r="F345" s="11"/>
      <c r="G345" s="2"/>
      <c r="H345" s="13"/>
      <c r="I345" s="13"/>
      <c r="J345" s="13"/>
      <c r="K345" s="6"/>
      <c r="L345" s="6"/>
      <c r="M345" s="6"/>
      <c r="N345" s="6"/>
      <c r="O345" s="6"/>
      <c r="P345" s="6"/>
      <c r="Q345" s="6"/>
      <c r="R345" s="6"/>
      <c r="S345" s="108"/>
      <c r="T345" s="111"/>
      <c r="U345" s="12"/>
    </row>
    <row r="346" spans="1:21" x14ac:dyDescent="0.3">
      <c r="A346" s="2"/>
      <c r="B346" s="2"/>
      <c r="C346" s="2"/>
      <c r="D346" s="2"/>
      <c r="E346" s="11"/>
      <c r="F346" s="11"/>
      <c r="G346" s="2"/>
      <c r="H346" s="13"/>
      <c r="I346" s="13"/>
      <c r="J346" s="13"/>
      <c r="K346" s="6"/>
      <c r="L346" s="6"/>
      <c r="M346" s="6"/>
      <c r="N346" s="6"/>
      <c r="O346" s="6"/>
      <c r="P346" s="6"/>
      <c r="Q346" s="6"/>
      <c r="R346" s="6"/>
      <c r="S346" s="108"/>
      <c r="T346" s="111"/>
      <c r="U346" s="12"/>
    </row>
    <row r="347" spans="1:21" x14ac:dyDescent="0.3">
      <c r="A347" s="2"/>
      <c r="B347" s="2"/>
      <c r="C347" s="2"/>
      <c r="D347" s="2"/>
      <c r="E347" s="11"/>
      <c r="F347" s="11"/>
      <c r="G347" s="2"/>
      <c r="H347" s="13"/>
      <c r="I347" s="13"/>
      <c r="J347" s="13"/>
      <c r="K347" s="6"/>
      <c r="L347" s="6"/>
      <c r="M347" s="6"/>
      <c r="N347" s="6"/>
      <c r="O347" s="6"/>
      <c r="P347" s="6"/>
      <c r="Q347" s="6"/>
      <c r="R347" s="6"/>
      <c r="S347" s="108"/>
      <c r="T347" s="111"/>
      <c r="U347" s="12"/>
    </row>
    <row r="348" spans="1:21" x14ac:dyDescent="0.3">
      <c r="A348" s="2"/>
      <c r="B348" s="2"/>
      <c r="C348" s="2"/>
      <c r="D348" s="2"/>
      <c r="E348" s="11"/>
      <c r="F348" s="11"/>
      <c r="G348" s="2"/>
      <c r="H348" s="13"/>
      <c r="I348" s="13"/>
      <c r="J348" s="13"/>
      <c r="K348" s="6"/>
      <c r="L348" s="6"/>
      <c r="M348" s="6"/>
      <c r="N348" s="6"/>
      <c r="O348" s="6"/>
      <c r="P348" s="6"/>
      <c r="Q348" s="6"/>
      <c r="R348" s="6"/>
      <c r="S348" s="108"/>
      <c r="T348" s="111"/>
      <c r="U348" s="12"/>
    </row>
    <row r="349" spans="1:21" x14ac:dyDescent="0.3">
      <c r="A349" s="2"/>
      <c r="B349" s="2"/>
      <c r="C349" s="2"/>
      <c r="D349" s="2"/>
      <c r="E349" s="11"/>
      <c r="F349" s="11"/>
      <c r="G349" s="2"/>
      <c r="H349" s="13"/>
      <c r="I349" s="13"/>
      <c r="J349" s="13"/>
      <c r="K349" s="6"/>
      <c r="L349" s="6"/>
      <c r="M349" s="6"/>
      <c r="N349" s="6"/>
      <c r="O349" s="6"/>
      <c r="P349" s="6"/>
      <c r="Q349" s="6"/>
      <c r="R349" s="6"/>
      <c r="S349" s="108"/>
      <c r="T349" s="111"/>
      <c r="U349" s="12"/>
    </row>
    <row r="350" spans="1:21" x14ac:dyDescent="0.3">
      <c r="A350" s="2"/>
      <c r="B350" s="2"/>
      <c r="C350" s="2"/>
      <c r="D350" s="2"/>
      <c r="E350" s="11"/>
      <c r="F350" s="11"/>
      <c r="G350" s="2"/>
      <c r="H350" s="13"/>
      <c r="I350" s="13"/>
      <c r="J350" s="13"/>
      <c r="K350" s="6"/>
      <c r="L350" s="6"/>
      <c r="M350" s="6"/>
      <c r="N350" s="6"/>
      <c r="O350" s="6"/>
      <c r="P350" s="6"/>
      <c r="Q350" s="6"/>
      <c r="R350" s="6"/>
      <c r="S350" s="108"/>
      <c r="T350" s="111"/>
      <c r="U350" s="12"/>
    </row>
    <row r="351" spans="1:21" x14ac:dyDescent="0.3">
      <c r="A351" s="2"/>
      <c r="B351" s="2"/>
      <c r="C351" s="2"/>
      <c r="D351" s="2"/>
      <c r="E351" s="11"/>
      <c r="F351" s="11"/>
      <c r="G351" s="2"/>
      <c r="H351" s="13"/>
      <c r="I351" s="13"/>
      <c r="J351" s="13"/>
      <c r="K351" s="6"/>
      <c r="L351" s="6"/>
      <c r="M351" s="6"/>
      <c r="N351" s="6"/>
      <c r="O351" s="6"/>
      <c r="P351" s="6"/>
      <c r="Q351" s="6"/>
      <c r="R351" s="6"/>
      <c r="S351" s="108"/>
      <c r="T351" s="111"/>
      <c r="U351" s="12"/>
    </row>
    <row r="352" spans="1:21" x14ac:dyDescent="0.3">
      <c r="A352" s="2"/>
      <c r="B352" s="2"/>
      <c r="C352" s="2"/>
      <c r="D352" s="2"/>
      <c r="E352" s="11"/>
      <c r="F352" s="11"/>
      <c r="G352" s="2"/>
      <c r="H352" s="13"/>
      <c r="I352" s="13"/>
      <c r="J352" s="13"/>
      <c r="K352" s="6"/>
      <c r="L352" s="6"/>
      <c r="M352" s="6"/>
      <c r="N352" s="6"/>
      <c r="O352" s="6"/>
      <c r="P352" s="6"/>
      <c r="Q352" s="6"/>
      <c r="R352" s="6"/>
      <c r="S352" s="108"/>
      <c r="T352" s="111"/>
      <c r="U352" s="12"/>
    </row>
    <row r="353" spans="1:21" x14ac:dyDescent="0.3">
      <c r="A353" s="2"/>
      <c r="B353" s="2"/>
      <c r="C353" s="2"/>
      <c r="D353" s="2"/>
      <c r="E353" s="11"/>
      <c r="F353" s="11"/>
      <c r="G353" s="2"/>
      <c r="H353" s="13"/>
      <c r="I353" s="13"/>
      <c r="J353" s="13"/>
      <c r="K353" s="6"/>
      <c r="L353" s="6"/>
      <c r="M353" s="6"/>
      <c r="N353" s="6"/>
      <c r="O353" s="6"/>
      <c r="P353" s="6"/>
      <c r="Q353" s="6"/>
      <c r="R353" s="6"/>
      <c r="S353" s="108"/>
      <c r="T353" s="111"/>
      <c r="U353" s="12"/>
    </row>
    <row r="354" spans="1:21" x14ac:dyDescent="0.3">
      <c r="A354" s="2"/>
      <c r="B354" s="2"/>
      <c r="C354" s="2"/>
      <c r="D354" s="2"/>
      <c r="E354" s="11"/>
      <c r="F354" s="11"/>
      <c r="G354" s="2"/>
      <c r="H354" s="13"/>
      <c r="I354" s="13"/>
      <c r="J354" s="13"/>
      <c r="K354" s="6"/>
      <c r="L354" s="6"/>
      <c r="M354" s="6"/>
      <c r="N354" s="6"/>
      <c r="O354" s="6"/>
      <c r="P354" s="6"/>
      <c r="Q354" s="6"/>
      <c r="R354" s="6"/>
      <c r="S354" s="108"/>
      <c r="T354" s="111"/>
      <c r="U354" s="12"/>
    </row>
    <row r="355" spans="1:21" x14ac:dyDescent="0.3">
      <c r="A355" s="2"/>
      <c r="B355" s="2"/>
      <c r="C355" s="2"/>
      <c r="D355" s="2"/>
      <c r="E355" s="11"/>
      <c r="F355" s="11"/>
      <c r="G355" s="2"/>
      <c r="H355" s="13"/>
      <c r="I355" s="13"/>
      <c r="J355" s="13"/>
      <c r="K355" s="6"/>
      <c r="L355" s="6"/>
      <c r="M355" s="6"/>
      <c r="N355" s="6"/>
      <c r="O355" s="6"/>
      <c r="P355" s="6"/>
      <c r="Q355" s="6"/>
      <c r="R355" s="6"/>
      <c r="S355" s="108"/>
      <c r="T355" s="111"/>
      <c r="U355" s="12"/>
    </row>
    <row r="356" spans="1:21" x14ac:dyDescent="0.3">
      <c r="A356" s="2"/>
      <c r="B356" s="2"/>
      <c r="C356" s="2"/>
      <c r="D356" s="2"/>
      <c r="E356" s="11"/>
      <c r="F356" s="11"/>
      <c r="G356" s="2"/>
      <c r="H356" s="13"/>
      <c r="I356" s="13"/>
      <c r="J356" s="13"/>
      <c r="K356" s="6"/>
      <c r="L356" s="6"/>
      <c r="M356" s="6"/>
      <c r="N356" s="6"/>
      <c r="O356" s="6"/>
      <c r="P356" s="6"/>
      <c r="Q356" s="6"/>
      <c r="R356" s="6"/>
      <c r="S356" s="108"/>
      <c r="T356" s="111"/>
      <c r="U356" s="12"/>
    </row>
    <row r="357" spans="1:21" x14ac:dyDescent="0.3">
      <c r="A357" s="2"/>
      <c r="B357" s="2"/>
      <c r="C357" s="2"/>
      <c r="D357" s="2"/>
      <c r="E357" s="11"/>
      <c r="F357" s="11"/>
      <c r="G357" s="2"/>
      <c r="H357" s="13"/>
      <c r="I357" s="13"/>
      <c r="J357" s="13"/>
      <c r="K357" s="6"/>
      <c r="L357" s="6"/>
      <c r="M357" s="6"/>
      <c r="N357" s="6"/>
      <c r="O357" s="6"/>
      <c r="P357" s="6"/>
      <c r="Q357" s="6"/>
      <c r="R357" s="6"/>
      <c r="S357" s="108"/>
      <c r="T357" s="111"/>
      <c r="U357" s="12"/>
    </row>
    <row r="358" spans="1:21" x14ac:dyDescent="0.3">
      <c r="A358" s="11"/>
      <c r="B358" s="2"/>
      <c r="C358" s="2"/>
      <c r="D358" s="2"/>
      <c r="E358" s="11"/>
      <c r="F358" s="11"/>
      <c r="G358" s="2"/>
      <c r="H358" s="13"/>
      <c r="I358" s="13"/>
      <c r="J358" s="13"/>
      <c r="K358" s="6"/>
      <c r="L358" s="6"/>
      <c r="M358" s="6"/>
      <c r="N358" s="6"/>
      <c r="O358" s="6"/>
      <c r="P358" s="6"/>
      <c r="Q358" s="6"/>
      <c r="R358" s="6"/>
      <c r="S358" s="108"/>
      <c r="T358" s="111"/>
      <c r="U358" s="12"/>
    </row>
    <row r="359" spans="1:21" x14ac:dyDescent="0.3">
      <c r="A359" s="2"/>
      <c r="B359" s="2"/>
      <c r="C359" s="2"/>
      <c r="D359" s="2"/>
      <c r="E359" s="11"/>
      <c r="F359" s="11"/>
      <c r="G359" s="2"/>
      <c r="H359" s="13"/>
      <c r="I359" s="13"/>
      <c r="J359" s="13"/>
      <c r="K359" s="6"/>
      <c r="L359" s="6"/>
      <c r="M359" s="6"/>
      <c r="N359" s="6"/>
      <c r="O359" s="6"/>
      <c r="P359" s="6"/>
      <c r="Q359" s="6"/>
      <c r="R359" s="6"/>
      <c r="S359" s="108"/>
      <c r="T359" s="111"/>
      <c r="U359" s="12"/>
    </row>
    <row r="360" spans="1:21" x14ac:dyDescent="0.3">
      <c r="A360" s="2"/>
      <c r="B360" s="2"/>
      <c r="C360" s="2"/>
      <c r="D360" s="2"/>
      <c r="E360" s="11"/>
      <c r="F360" s="11"/>
      <c r="G360" s="2"/>
      <c r="H360" s="13"/>
      <c r="I360" s="13"/>
      <c r="J360" s="13"/>
      <c r="K360" s="6"/>
      <c r="L360" s="6"/>
      <c r="M360" s="6"/>
      <c r="N360" s="6"/>
      <c r="O360" s="6"/>
      <c r="P360" s="6"/>
      <c r="Q360" s="6"/>
      <c r="R360" s="6"/>
      <c r="S360" s="108"/>
      <c r="T360" s="111"/>
      <c r="U360" s="12"/>
    </row>
    <row r="361" spans="1:21" x14ac:dyDescent="0.3">
      <c r="A361" s="2"/>
      <c r="B361" s="2"/>
      <c r="C361" s="2"/>
      <c r="D361" s="2"/>
      <c r="E361" s="11"/>
      <c r="F361" s="11"/>
      <c r="G361" s="2"/>
      <c r="H361" s="13"/>
      <c r="I361" s="13"/>
      <c r="J361" s="13"/>
      <c r="K361" s="6"/>
      <c r="L361" s="6"/>
      <c r="M361" s="6"/>
      <c r="N361" s="6"/>
      <c r="O361" s="6"/>
      <c r="P361" s="6"/>
      <c r="Q361" s="6"/>
      <c r="R361" s="6"/>
      <c r="S361" s="108"/>
      <c r="T361" s="111"/>
      <c r="U361" s="12"/>
    </row>
    <row r="362" spans="1:21" x14ac:dyDescent="0.3">
      <c r="A362" s="2"/>
      <c r="B362" s="2"/>
      <c r="C362" s="2"/>
      <c r="D362" s="2"/>
      <c r="E362" s="11"/>
      <c r="F362" s="11"/>
      <c r="G362" s="2"/>
      <c r="H362" s="13"/>
      <c r="I362" s="13"/>
      <c r="J362" s="13"/>
      <c r="K362" s="6"/>
      <c r="L362" s="6"/>
      <c r="M362" s="6"/>
      <c r="N362" s="6"/>
      <c r="O362" s="6"/>
      <c r="P362" s="6"/>
      <c r="Q362" s="6"/>
      <c r="R362" s="6"/>
      <c r="S362" s="108"/>
      <c r="T362" s="111"/>
      <c r="U362" s="12"/>
    </row>
    <row r="363" spans="1:21" x14ac:dyDescent="0.3">
      <c r="A363" s="2"/>
      <c r="B363" s="2"/>
      <c r="C363" s="2"/>
      <c r="D363" s="2"/>
      <c r="E363" s="11"/>
      <c r="F363" s="11"/>
      <c r="G363" s="2"/>
      <c r="H363" s="13"/>
      <c r="I363" s="13"/>
      <c r="J363" s="13"/>
      <c r="K363" s="6"/>
      <c r="L363" s="6"/>
      <c r="M363" s="6"/>
      <c r="N363" s="6"/>
      <c r="O363" s="6"/>
      <c r="P363" s="6"/>
      <c r="Q363" s="6"/>
      <c r="R363" s="6"/>
      <c r="S363" s="108"/>
      <c r="T363" s="111"/>
      <c r="U363" s="12"/>
    </row>
    <row r="364" spans="1:21" x14ac:dyDescent="0.3">
      <c r="A364" s="2"/>
      <c r="B364" s="2"/>
      <c r="C364" s="2"/>
      <c r="D364" s="2"/>
      <c r="E364" s="11"/>
      <c r="F364" s="11"/>
      <c r="G364" s="2"/>
      <c r="H364" s="13"/>
      <c r="I364" s="13"/>
      <c r="J364" s="13"/>
      <c r="K364" s="6"/>
      <c r="L364" s="6"/>
      <c r="M364" s="6"/>
      <c r="N364" s="6"/>
      <c r="O364" s="6"/>
      <c r="P364" s="6"/>
      <c r="Q364" s="6"/>
      <c r="R364" s="6"/>
      <c r="S364" s="108"/>
      <c r="T364" s="111"/>
      <c r="U364" s="12"/>
    </row>
    <row r="365" spans="1:21" x14ac:dyDescent="0.3">
      <c r="A365" s="2"/>
      <c r="B365" s="2"/>
      <c r="C365" s="2"/>
      <c r="D365" s="2"/>
      <c r="E365" s="11"/>
      <c r="F365" s="11"/>
      <c r="G365" s="2"/>
      <c r="H365" s="13"/>
      <c r="I365" s="13"/>
      <c r="J365" s="13"/>
      <c r="K365" s="6"/>
      <c r="L365" s="6"/>
      <c r="M365" s="6"/>
      <c r="N365" s="6"/>
      <c r="O365" s="6"/>
      <c r="P365" s="6"/>
      <c r="Q365" s="6"/>
      <c r="R365" s="6"/>
      <c r="S365" s="108"/>
      <c r="T365" s="111"/>
      <c r="U365" s="12"/>
    </row>
    <row r="366" spans="1:21" x14ac:dyDescent="0.3">
      <c r="A366" s="2"/>
      <c r="B366" s="2"/>
      <c r="C366" s="2"/>
      <c r="D366" s="2"/>
      <c r="E366" s="11"/>
      <c r="F366" s="11"/>
      <c r="G366" s="2"/>
      <c r="H366" s="13"/>
      <c r="I366" s="13"/>
      <c r="J366" s="13"/>
      <c r="K366" s="6"/>
      <c r="L366" s="6"/>
      <c r="M366" s="6"/>
      <c r="N366" s="6"/>
      <c r="O366" s="6"/>
      <c r="P366" s="6"/>
      <c r="Q366" s="6"/>
      <c r="R366" s="6"/>
      <c r="S366" s="108"/>
      <c r="T366" s="111"/>
      <c r="U366" s="12"/>
    </row>
    <row r="367" spans="1:21" x14ac:dyDescent="0.3">
      <c r="A367" s="2"/>
      <c r="B367" s="2"/>
      <c r="C367" s="2"/>
      <c r="D367" s="2"/>
      <c r="E367" s="11"/>
      <c r="F367" s="11"/>
      <c r="G367" s="2"/>
      <c r="H367" s="13"/>
      <c r="I367" s="13"/>
      <c r="J367" s="13"/>
      <c r="K367" s="6"/>
      <c r="L367" s="6"/>
      <c r="M367" s="6"/>
      <c r="N367" s="6"/>
      <c r="O367" s="6"/>
      <c r="P367" s="6"/>
      <c r="Q367" s="6"/>
      <c r="R367" s="6"/>
      <c r="S367" s="108"/>
      <c r="T367" s="111"/>
      <c r="U367" s="12"/>
    </row>
    <row r="368" spans="1:21" x14ac:dyDescent="0.3">
      <c r="A368" s="2"/>
      <c r="B368" s="2"/>
      <c r="C368" s="2"/>
      <c r="D368" s="2"/>
      <c r="E368" s="11"/>
      <c r="F368" s="11"/>
      <c r="G368" s="2"/>
      <c r="H368" s="13"/>
      <c r="I368" s="13"/>
      <c r="J368" s="13"/>
      <c r="K368" s="6"/>
      <c r="L368" s="6"/>
      <c r="M368" s="6"/>
      <c r="N368" s="6"/>
      <c r="O368" s="6"/>
      <c r="P368" s="6"/>
      <c r="Q368" s="6"/>
      <c r="R368" s="6"/>
      <c r="S368" s="108"/>
      <c r="T368" s="111"/>
      <c r="U368" s="12"/>
    </row>
    <row r="369" spans="1:21" x14ac:dyDescent="0.3">
      <c r="A369" s="2"/>
      <c r="B369" s="2"/>
      <c r="C369" s="2"/>
      <c r="D369" s="2"/>
      <c r="E369" s="11"/>
      <c r="F369" s="11"/>
      <c r="G369" s="2"/>
      <c r="H369" s="13"/>
      <c r="I369" s="13"/>
      <c r="J369" s="13"/>
      <c r="K369" s="6"/>
      <c r="L369" s="6"/>
      <c r="M369" s="6"/>
      <c r="N369" s="6"/>
      <c r="O369" s="6"/>
      <c r="P369" s="6"/>
      <c r="Q369" s="6"/>
      <c r="R369" s="6"/>
      <c r="S369" s="108"/>
      <c r="T369" s="111"/>
      <c r="U369" s="12"/>
    </row>
    <row r="370" spans="1:21" x14ac:dyDescent="0.3">
      <c r="A370" s="2"/>
      <c r="B370" s="2"/>
      <c r="C370" s="2"/>
      <c r="D370" s="2"/>
      <c r="E370" s="11"/>
      <c r="F370" s="11"/>
      <c r="G370" s="2"/>
      <c r="H370" s="13"/>
      <c r="I370" s="13"/>
      <c r="J370" s="13"/>
      <c r="K370" s="6"/>
      <c r="L370" s="6"/>
      <c r="M370" s="6"/>
      <c r="N370" s="6"/>
      <c r="O370" s="6"/>
      <c r="P370" s="6"/>
      <c r="Q370" s="6"/>
      <c r="R370" s="6"/>
      <c r="S370" s="108"/>
      <c r="T370" s="111"/>
      <c r="U370" s="12"/>
    </row>
    <row r="371" spans="1:21" x14ac:dyDescent="0.3">
      <c r="A371" s="2"/>
      <c r="B371" s="2"/>
      <c r="C371" s="2"/>
      <c r="D371" s="2"/>
      <c r="E371" s="11"/>
      <c r="F371" s="11"/>
      <c r="G371" s="2"/>
      <c r="H371" s="13"/>
      <c r="I371" s="13"/>
      <c r="J371" s="13"/>
      <c r="K371" s="6"/>
      <c r="L371" s="6"/>
      <c r="M371" s="6"/>
      <c r="N371" s="6"/>
      <c r="O371" s="6"/>
      <c r="P371" s="6"/>
      <c r="Q371" s="6"/>
      <c r="R371" s="6"/>
      <c r="S371" s="108"/>
      <c r="T371" s="111"/>
      <c r="U371" s="12"/>
    </row>
    <row r="372" spans="1:21" x14ac:dyDescent="0.3">
      <c r="A372" s="2"/>
      <c r="B372" s="2"/>
      <c r="C372" s="2"/>
      <c r="D372" s="2"/>
      <c r="E372" s="11"/>
      <c r="F372" s="11"/>
      <c r="G372" s="2"/>
      <c r="H372" s="13"/>
      <c r="I372" s="13"/>
      <c r="J372" s="13"/>
      <c r="K372" s="6"/>
      <c r="L372" s="6"/>
      <c r="M372" s="6"/>
      <c r="N372" s="6"/>
      <c r="O372" s="6"/>
      <c r="P372" s="6"/>
      <c r="Q372" s="6"/>
      <c r="R372" s="6"/>
      <c r="S372" s="108"/>
      <c r="T372" s="111"/>
      <c r="U372" s="12"/>
    </row>
    <row r="373" spans="1:21" x14ac:dyDescent="0.3">
      <c r="A373" s="2"/>
      <c r="B373" s="2"/>
      <c r="C373" s="2"/>
      <c r="D373" s="2"/>
      <c r="E373" s="11"/>
      <c r="F373" s="11"/>
      <c r="G373" s="2"/>
      <c r="H373" s="13"/>
      <c r="I373" s="13"/>
      <c r="J373" s="13"/>
      <c r="K373" s="6"/>
      <c r="L373" s="6"/>
      <c r="M373" s="6"/>
      <c r="N373" s="6"/>
      <c r="O373" s="6"/>
      <c r="P373" s="6"/>
      <c r="Q373" s="6"/>
      <c r="R373" s="6"/>
      <c r="S373" s="108"/>
      <c r="T373" s="111"/>
      <c r="U373" s="12"/>
    </row>
    <row r="374" spans="1:21" x14ac:dyDescent="0.3">
      <c r="A374" s="2"/>
      <c r="B374" s="2"/>
      <c r="C374" s="2"/>
      <c r="D374" s="2"/>
      <c r="E374" s="11"/>
      <c r="F374" s="11"/>
      <c r="G374" s="2"/>
      <c r="H374" s="13"/>
      <c r="I374" s="13"/>
      <c r="J374" s="13"/>
      <c r="K374" s="6"/>
      <c r="L374" s="6"/>
      <c r="M374" s="6"/>
      <c r="N374" s="6"/>
      <c r="O374" s="6"/>
      <c r="P374" s="6"/>
      <c r="Q374" s="6"/>
      <c r="R374" s="6"/>
      <c r="S374" s="108"/>
      <c r="T374" s="111"/>
      <c r="U374" s="12"/>
    </row>
    <row r="375" spans="1:21" x14ac:dyDescent="0.3">
      <c r="A375" s="2"/>
      <c r="B375" s="2"/>
      <c r="C375" s="2"/>
      <c r="D375" s="2"/>
      <c r="E375" s="11"/>
      <c r="F375" s="11"/>
      <c r="G375" s="2"/>
      <c r="H375" s="13"/>
      <c r="I375" s="13"/>
      <c r="J375" s="13"/>
      <c r="K375" s="6"/>
      <c r="L375" s="6"/>
      <c r="M375" s="6"/>
      <c r="N375" s="6"/>
      <c r="O375" s="6"/>
      <c r="P375" s="6"/>
      <c r="Q375" s="6"/>
      <c r="R375" s="6"/>
      <c r="S375" s="108"/>
      <c r="T375" s="111"/>
      <c r="U375" s="12"/>
    </row>
    <row r="376" spans="1:21" x14ac:dyDescent="0.3">
      <c r="A376" s="2"/>
      <c r="B376" s="2"/>
      <c r="C376" s="2"/>
      <c r="D376" s="2"/>
      <c r="E376" s="11"/>
      <c r="F376" s="11"/>
      <c r="G376" s="2"/>
      <c r="H376" s="13"/>
      <c r="I376" s="13"/>
      <c r="J376" s="13"/>
      <c r="K376" s="6"/>
      <c r="L376" s="6"/>
      <c r="M376" s="6"/>
      <c r="N376" s="6"/>
      <c r="O376" s="6"/>
      <c r="P376" s="6"/>
      <c r="Q376" s="6"/>
      <c r="R376" s="6"/>
      <c r="S376" s="108"/>
      <c r="T376" s="111"/>
      <c r="U376" s="12"/>
    </row>
    <row r="377" spans="1:21" x14ac:dyDescent="0.3">
      <c r="A377" s="2"/>
      <c r="B377" s="2"/>
      <c r="C377" s="2"/>
      <c r="D377" s="2"/>
      <c r="E377" s="11"/>
      <c r="F377" s="11"/>
      <c r="G377" s="2"/>
      <c r="H377" s="13"/>
      <c r="I377" s="13"/>
      <c r="J377" s="13"/>
      <c r="K377" s="6"/>
      <c r="L377" s="6"/>
      <c r="M377" s="6"/>
      <c r="N377" s="6"/>
      <c r="O377" s="6"/>
      <c r="P377" s="6"/>
      <c r="Q377" s="6"/>
      <c r="R377" s="6"/>
      <c r="S377" s="108"/>
      <c r="T377" s="111"/>
      <c r="U377" s="12"/>
    </row>
    <row r="378" spans="1:21" x14ac:dyDescent="0.3">
      <c r="A378" s="2"/>
      <c r="B378" s="2"/>
      <c r="C378" s="2"/>
      <c r="D378" s="2"/>
      <c r="E378" s="11"/>
      <c r="F378" s="11"/>
      <c r="G378" s="2"/>
      <c r="H378" s="13"/>
      <c r="I378" s="13"/>
      <c r="J378" s="13"/>
      <c r="K378" s="6"/>
      <c r="L378" s="6"/>
      <c r="M378" s="6"/>
      <c r="N378" s="6"/>
      <c r="O378" s="6"/>
      <c r="P378" s="6"/>
      <c r="Q378" s="6"/>
      <c r="R378" s="6"/>
      <c r="S378" s="108"/>
      <c r="T378" s="111"/>
      <c r="U378" s="12"/>
    </row>
    <row r="379" spans="1:21" x14ac:dyDescent="0.3">
      <c r="A379" s="2"/>
      <c r="B379" s="2"/>
      <c r="C379" s="2"/>
      <c r="D379" s="2"/>
      <c r="E379" s="11"/>
      <c r="F379" s="11"/>
      <c r="G379" s="2"/>
      <c r="H379" s="13"/>
      <c r="I379" s="13"/>
      <c r="J379" s="13"/>
      <c r="K379" s="6"/>
      <c r="L379" s="6"/>
      <c r="M379" s="6"/>
      <c r="N379" s="6"/>
      <c r="O379" s="6"/>
      <c r="P379" s="6"/>
      <c r="Q379" s="6"/>
      <c r="R379" s="6"/>
      <c r="S379" s="108"/>
      <c r="T379" s="111"/>
      <c r="U379" s="12"/>
    </row>
    <row r="380" spans="1:21" x14ac:dyDescent="0.3">
      <c r="A380" s="2"/>
      <c r="B380" s="2"/>
      <c r="C380" s="2"/>
      <c r="D380" s="2"/>
      <c r="E380" s="11"/>
      <c r="F380" s="11"/>
      <c r="G380" s="2"/>
      <c r="H380" s="13"/>
      <c r="I380" s="13"/>
      <c r="J380" s="13"/>
      <c r="K380" s="6"/>
      <c r="L380" s="6"/>
      <c r="M380" s="6"/>
      <c r="N380" s="6"/>
      <c r="O380" s="6"/>
      <c r="P380" s="6"/>
      <c r="Q380" s="6"/>
      <c r="R380" s="6"/>
      <c r="S380" s="108"/>
      <c r="T380" s="111"/>
      <c r="U380" s="12"/>
    </row>
    <row r="381" spans="1:21" x14ac:dyDescent="0.3">
      <c r="A381" s="2"/>
      <c r="B381" s="2"/>
      <c r="C381" s="2"/>
      <c r="D381" s="2"/>
      <c r="E381" s="11"/>
      <c r="F381" s="11"/>
      <c r="G381" s="2"/>
      <c r="H381" s="13"/>
      <c r="I381" s="13"/>
      <c r="J381" s="13"/>
      <c r="K381" s="6"/>
      <c r="L381" s="6"/>
      <c r="M381" s="6"/>
      <c r="N381" s="6"/>
      <c r="O381" s="6"/>
      <c r="P381" s="6"/>
      <c r="Q381" s="6"/>
      <c r="R381" s="6"/>
      <c r="S381" s="108"/>
      <c r="T381" s="111"/>
      <c r="U381" s="12"/>
    </row>
    <row r="382" spans="1:21" x14ac:dyDescent="0.3">
      <c r="A382" s="2"/>
      <c r="B382" s="2"/>
      <c r="C382" s="2"/>
      <c r="D382" s="2"/>
      <c r="E382" s="11"/>
      <c r="F382" s="11"/>
      <c r="G382" s="2"/>
      <c r="H382" s="13"/>
      <c r="I382" s="13"/>
      <c r="J382" s="13"/>
      <c r="K382" s="6"/>
      <c r="L382" s="6"/>
      <c r="M382" s="6"/>
      <c r="N382" s="6"/>
      <c r="O382" s="6"/>
      <c r="P382" s="6"/>
      <c r="Q382" s="6"/>
      <c r="R382" s="6"/>
      <c r="S382" s="108"/>
      <c r="T382" s="111"/>
      <c r="U382" s="12"/>
    </row>
    <row r="383" spans="1:21" x14ac:dyDescent="0.3">
      <c r="A383" s="2"/>
      <c r="B383" s="2"/>
      <c r="C383" s="2"/>
      <c r="D383" s="2"/>
      <c r="E383" s="11"/>
      <c r="F383" s="11"/>
      <c r="G383" s="2"/>
      <c r="H383" s="13"/>
      <c r="I383" s="13"/>
      <c r="J383" s="13"/>
      <c r="K383" s="6"/>
      <c r="L383" s="6"/>
      <c r="M383" s="6"/>
      <c r="N383" s="6"/>
      <c r="O383" s="6"/>
      <c r="P383" s="6"/>
      <c r="Q383" s="6"/>
      <c r="R383" s="6"/>
      <c r="S383" s="108"/>
      <c r="T383" s="111"/>
      <c r="U383" s="12"/>
    </row>
    <row r="384" spans="1:21" x14ac:dyDescent="0.3">
      <c r="A384" s="2"/>
      <c r="B384" s="2"/>
      <c r="C384" s="2"/>
      <c r="D384" s="2"/>
      <c r="E384" s="11"/>
      <c r="F384" s="11"/>
      <c r="G384" s="2"/>
      <c r="H384" s="13"/>
      <c r="I384" s="13"/>
      <c r="J384" s="13"/>
      <c r="K384" s="6"/>
      <c r="L384" s="6"/>
      <c r="M384" s="6"/>
      <c r="N384" s="6"/>
      <c r="O384" s="6"/>
      <c r="P384" s="6"/>
      <c r="Q384" s="6"/>
      <c r="R384" s="6"/>
      <c r="S384" s="108"/>
      <c r="T384" s="111"/>
      <c r="U384" s="12"/>
    </row>
    <row r="385" spans="1:21" x14ac:dyDescent="0.3">
      <c r="A385" s="2"/>
      <c r="B385" s="2"/>
      <c r="C385" s="2"/>
      <c r="D385" s="2"/>
      <c r="E385" s="11"/>
      <c r="F385" s="11"/>
      <c r="G385" s="2"/>
      <c r="H385" s="13"/>
      <c r="I385" s="13"/>
      <c r="J385" s="13"/>
      <c r="K385" s="6"/>
      <c r="L385" s="6"/>
      <c r="M385" s="6"/>
      <c r="N385" s="6"/>
      <c r="O385" s="6"/>
      <c r="P385" s="6"/>
      <c r="Q385" s="6"/>
      <c r="R385" s="6"/>
      <c r="S385" s="108"/>
      <c r="T385" s="111"/>
      <c r="U385" s="12"/>
    </row>
    <row r="386" spans="1:21" x14ac:dyDescent="0.3">
      <c r="A386" s="2"/>
      <c r="B386" s="2"/>
      <c r="C386" s="2"/>
      <c r="D386" s="2"/>
      <c r="E386" s="11"/>
      <c r="F386" s="11"/>
      <c r="G386" s="2"/>
      <c r="H386" s="13"/>
      <c r="I386" s="13"/>
      <c r="J386" s="13"/>
      <c r="K386" s="6"/>
      <c r="L386" s="6"/>
      <c r="M386" s="6"/>
      <c r="N386" s="6"/>
      <c r="O386" s="6"/>
      <c r="P386" s="6"/>
      <c r="Q386" s="6"/>
      <c r="R386" s="6"/>
      <c r="S386" s="108"/>
      <c r="T386" s="111"/>
      <c r="U386" s="12"/>
    </row>
    <row r="387" spans="1:21" x14ac:dyDescent="0.3">
      <c r="A387" s="2"/>
      <c r="B387" s="2"/>
      <c r="C387" s="2"/>
      <c r="D387" s="2"/>
      <c r="E387" s="11"/>
      <c r="F387" s="11"/>
      <c r="G387" s="2"/>
      <c r="H387" s="13"/>
      <c r="I387" s="13"/>
      <c r="J387" s="13"/>
      <c r="K387" s="6"/>
      <c r="L387" s="6"/>
      <c r="M387" s="6"/>
      <c r="N387" s="6"/>
      <c r="O387" s="6"/>
      <c r="P387" s="6"/>
      <c r="Q387" s="6"/>
      <c r="R387" s="6"/>
      <c r="S387" s="108"/>
      <c r="T387" s="111"/>
      <c r="U387" s="12"/>
    </row>
    <row r="388" spans="1:21" x14ac:dyDescent="0.3">
      <c r="A388" s="2"/>
      <c r="B388" s="2"/>
      <c r="C388" s="2"/>
      <c r="D388" s="2"/>
      <c r="E388" s="11"/>
      <c r="F388" s="11"/>
      <c r="G388" s="2"/>
      <c r="H388" s="13"/>
      <c r="I388" s="13"/>
      <c r="J388" s="13"/>
      <c r="K388" s="6"/>
      <c r="L388" s="6"/>
      <c r="M388" s="6"/>
      <c r="N388" s="6"/>
      <c r="O388" s="6"/>
      <c r="P388" s="6"/>
      <c r="Q388" s="6"/>
      <c r="R388" s="6"/>
      <c r="S388" s="108"/>
      <c r="T388" s="111"/>
      <c r="U388" s="12"/>
    </row>
    <row r="389" spans="1:21" x14ac:dyDescent="0.3">
      <c r="A389" s="2"/>
      <c r="B389" s="2"/>
      <c r="C389" s="2"/>
      <c r="D389" s="2"/>
      <c r="E389" s="11"/>
      <c r="F389" s="11"/>
      <c r="G389" s="2"/>
      <c r="H389" s="13"/>
      <c r="I389" s="13"/>
      <c r="J389" s="13"/>
      <c r="K389" s="6"/>
      <c r="L389" s="6"/>
      <c r="M389" s="6"/>
      <c r="N389" s="6"/>
      <c r="O389" s="6"/>
      <c r="P389" s="6"/>
      <c r="Q389" s="6"/>
      <c r="R389" s="6"/>
      <c r="S389" s="108"/>
      <c r="T389" s="111"/>
      <c r="U389" s="12"/>
    </row>
    <row r="390" spans="1:21" x14ac:dyDescent="0.3">
      <c r="A390" s="2"/>
      <c r="B390" s="2"/>
      <c r="C390" s="2"/>
      <c r="D390" s="2"/>
      <c r="E390" s="11"/>
      <c r="F390" s="11"/>
      <c r="G390" s="2"/>
      <c r="H390" s="13"/>
      <c r="I390" s="13"/>
      <c r="J390" s="13"/>
      <c r="K390" s="6"/>
      <c r="L390" s="6"/>
      <c r="M390" s="6"/>
      <c r="N390" s="6"/>
      <c r="O390" s="6"/>
      <c r="P390" s="6"/>
      <c r="Q390" s="6"/>
      <c r="R390" s="6"/>
      <c r="S390" s="108"/>
      <c r="T390" s="111"/>
      <c r="U390" s="12"/>
    </row>
    <row r="391" spans="1:21" x14ac:dyDescent="0.3">
      <c r="A391" s="2"/>
      <c r="B391" s="2"/>
      <c r="C391" s="2"/>
      <c r="D391" s="2"/>
      <c r="E391" s="11"/>
      <c r="F391" s="11"/>
      <c r="G391" s="2"/>
      <c r="H391" s="13"/>
      <c r="I391" s="13"/>
      <c r="J391" s="13"/>
      <c r="K391" s="6"/>
      <c r="L391" s="6"/>
      <c r="M391" s="6"/>
      <c r="N391" s="6"/>
      <c r="O391" s="6"/>
      <c r="P391" s="6"/>
      <c r="Q391" s="6"/>
      <c r="R391" s="6"/>
      <c r="S391" s="108"/>
      <c r="T391" s="111"/>
      <c r="U391" s="12"/>
    </row>
    <row r="392" spans="1:21" x14ac:dyDescent="0.3">
      <c r="A392" s="2"/>
      <c r="B392" s="2"/>
      <c r="C392" s="2"/>
      <c r="D392" s="2"/>
      <c r="E392" s="11"/>
      <c r="F392" s="11"/>
      <c r="G392" s="2"/>
      <c r="H392" s="13"/>
      <c r="I392" s="13"/>
      <c r="J392" s="13"/>
      <c r="K392" s="6"/>
      <c r="L392" s="6"/>
      <c r="M392" s="6"/>
      <c r="N392" s="6"/>
      <c r="O392" s="6"/>
      <c r="P392" s="6"/>
      <c r="Q392" s="6"/>
      <c r="R392" s="6"/>
      <c r="S392" s="108"/>
      <c r="T392" s="111"/>
      <c r="U392" s="12"/>
    </row>
    <row r="393" spans="1:21" x14ac:dyDescent="0.3">
      <c r="A393" s="2"/>
      <c r="B393" s="2"/>
      <c r="C393" s="2"/>
      <c r="D393" s="2"/>
      <c r="E393" s="11"/>
      <c r="F393" s="11"/>
      <c r="G393" s="2"/>
      <c r="H393" s="13"/>
      <c r="I393" s="13"/>
      <c r="J393" s="13"/>
      <c r="K393" s="6"/>
      <c r="L393" s="6"/>
      <c r="M393" s="6"/>
      <c r="N393" s="6"/>
      <c r="O393" s="6"/>
      <c r="P393" s="6"/>
      <c r="Q393" s="6"/>
      <c r="R393" s="6"/>
      <c r="S393" s="108"/>
      <c r="T393" s="111"/>
      <c r="U393" s="12"/>
    </row>
    <row r="394" spans="1:21" x14ac:dyDescent="0.3">
      <c r="A394" s="2"/>
      <c r="B394" s="2"/>
      <c r="C394" s="2"/>
      <c r="D394" s="2"/>
      <c r="E394" s="11"/>
      <c r="F394" s="11"/>
      <c r="G394" s="2"/>
      <c r="H394" s="13"/>
      <c r="I394" s="13"/>
      <c r="J394" s="13"/>
      <c r="K394" s="6"/>
      <c r="L394" s="6"/>
      <c r="M394" s="6"/>
      <c r="N394" s="6"/>
      <c r="O394" s="6"/>
      <c r="P394" s="6"/>
      <c r="Q394" s="6"/>
      <c r="R394" s="6"/>
      <c r="S394" s="108"/>
      <c r="T394" s="111"/>
      <c r="U394" s="12"/>
    </row>
    <row r="395" spans="1:21" x14ac:dyDescent="0.3">
      <c r="A395" s="2"/>
      <c r="B395" s="2"/>
      <c r="C395" s="2"/>
      <c r="D395" s="2"/>
      <c r="E395" s="11"/>
      <c r="F395" s="11"/>
      <c r="G395" s="2"/>
      <c r="H395" s="13"/>
      <c r="I395" s="13"/>
      <c r="J395" s="13"/>
      <c r="K395" s="6"/>
      <c r="L395" s="6"/>
      <c r="M395" s="6"/>
      <c r="N395" s="6"/>
      <c r="O395" s="6"/>
      <c r="P395" s="6"/>
      <c r="Q395" s="6"/>
      <c r="R395" s="6"/>
      <c r="S395" s="108"/>
      <c r="T395" s="111"/>
      <c r="U395" s="12"/>
    </row>
    <row r="396" spans="1:21" x14ac:dyDescent="0.3">
      <c r="A396" s="2"/>
      <c r="B396" s="2"/>
      <c r="C396" s="2"/>
      <c r="D396" s="2"/>
      <c r="E396" s="11"/>
      <c r="F396" s="11"/>
      <c r="G396" s="2"/>
      <c r="H396" s="13"/>
      <c r="I396" s="13"/>
      <c r="J396" s="13"/>
      <c r="K396" s="6"/>
      <c r="L396" s="6"/>
      <c r="M396" s="6"/>
      <c r="N396" s="6"/>
      <c r="O396" s="6"/>
      <c r="P396" s="6"/>
      <c r="Q396" s="6"/>
      <c r="R396" s="6"/>
      <c r="S396" s="108"/>
      <c r="T396" s="111"/>
      <c r="U396" s="12"/>
    </row>
    <row r="397" spans="1:21" x14ac:dyDescent="0.3">
      <c r="A397" s="2"/>
      <c r="B397" s="2"/>
      <c r="C397" s="2"/>
      <c r="D397" s="2"/>
      <c r="E397" s="11"/>
      <c r="F397" s="11"/>
      <c r="G397" s="2"/>
      <c r="H397" s="13"/>
      <c r="I397" s="13"/>
      <c r="J397" s="13"/>
      <c r="K397" s="6"/>
      <c r="L397" s="6"/>
      <c r="M397" s="6"/>
      <c r="N397" s="6"/>
      <c r="O397" s="6"/>
      <c r="P397" s="6"/>
      <c r="Q397" s="6"/>
      <c r="R397" s="6"/>
      <c r="S397" s="108"/>
      <c r="T397" s="111"/>
      <c r="U397" s="12"/>
    </row>
    <row r="398" spans="1:21" x14ac:dyDescent="0.3">
      <c r="A398" s="2"/>
      <c r="B398" s="2"/>
      <c r="C398" s="2"/>
      <c r="D398" s="2"/>
      <c r="E398" s="11"/>
      <c r="F398" s="11"/>
      <c r="G398" s="2"/>
      <c r="H398" s="13"/>
      <c r="I398" s="13"/>
      <c r="J398" s="13"/>
      <c r="K398" s="6"/>
      <c r="L398" s="6"/>
      <c r="M398" s="6"/>
      <c r="N398" s="6"/>
      <c r="O398" s="6"/>
      <c r="P398" s="6"/>
      <c r="Q398" s="6"/>
      <c r="R398" s="6"/>
      <c r="S398" s="108"/>
      <c r="T398" s="111"/>
      <c r="U398" s="12"/>
    </row>
    <row r="399" spans="1:21" x14ac:dyDescent="0.3">
      <c r="A399" s="2"/>
      <c r="B399" s="2"/>
      <c r="C399" s="2"/>
      <c r="D399" s="2"/>
      <c r="E399" s="11"/>
      <c r="F399" s="11"/>
      <c r="G399" s="2"/>
      <c r="H399" s="13"/>
      <c r="I399" s="13"/>
      <c r="J399" s="13"/>
      <c r="K399" s="6"/>
      <c r="L399" s="6"/>
      <c r="M399" s="6"/>
      <c r="N399" s="6"/>
      <c r="O399" s="6"/>
      <c r="P399" s="6"/>
      <c r="Q399" s="6"/>
      <c r="R399" s="6"/>
      <c r="S399" s="108"/>
      <c r="T399" s="111"/>
      <c r="U399" s="12"/>
    </row>
    <row r="400" spans="1:21" x14ac:dyDescent="0.3">
      <c r="A400" s="2"/>
      <c r="B400" s="2"/>
      <c r="C400" s="2"/>
      <c r="D400" s="2"/>
      <c r="E400" s="11"/>
      <c r="F400" s="11"/>
      <c r="G400" s="2"/>
      <c r="H400" s="13"/>
      <c r="I400" s="13"/>
      <c r="J400" s="13"/>
      <c r="K400" s="6"/>
      <c r="L400" s="6"/>
      <c r="M400" s="6"/>
      <c r="N400" s="6"/>
      <c r="O400" s="6"/>
      <c r="P400" s="6"/>
      <c r="Q400" s="6"/>
      <c r="R400" s="6"/>
      <c r="S400" s="108"/>
      <c r="T400" s="111"/>
      <c r="U400" s="12"/>
    </row>
    <row r="401" spans="1:21" x14ac:dyDescent="0.3">
      <c r="A401" s="2"/>
      <c r="B401" s="2"/>
      <c r="C401" s="2"/>
      <c r="D401" s="2"/>
      <c r="E401" s="11"/>
      <c r="F401" s="11"/>
      <c r="G401" s="2"/>
      <c r="H401" s="13"/>
      <c r="I401" s="13"/>
      <c r="J401" s="13"/>
      <c r="K401" s="6"/>
      <c r="L401" s="6"/>
      <c r="M401" s="6"/>
      <c r="N401" s="6"/>
      <c r="O401" s="6"/>
      <c r="P401" s="6"/>
      <c r="Q401" s="6"/>
      <c r="R401" s="6"/>
      <c r="S401" s="108"/>
      <c r="T401" s="111"/>
      <c r="U401" s="12"/>
    </row>
    <row r="402" spans="1:21" x14ac:dyDescent="0.3">
      <c r="A402" s="2"/>
      <c r="B402" s="2"/>
      <c r="C402" s="2"/>
      <c r="D402" s="2"/>
      <c r="E402" s="11"/>
      <c r="F402" s="11"/>
      <c r="G402" s="2"/>
      <c r="H402" s="13"/>
      <c r="I402" s="13"/>
      <c r="J402" s="13"/>
      <c r="K402" s="6"/>
      <c r="L402" s="6"/>
      <c r="M402" s="6"/>
      <c r="N402" s="6"/>
      <c r="O402" s="6"/>
      <c r="P402" s="6"/>
      <c r="Q402" s="6"/>
      <c r="R402" s="6"/>
      <c r="S402" s="108"/>
      <c r="T402" s="111"/>
      <c r="U402" s="12"/>
    </row>
    <row r="403" spans="1:21" x14ac:dyDescent="0.3">
      <c r="A403" s="2"/>
      <c r="B403" s="2"/>
      <c r="C403" s="2"/>
      <c r="D403" s="2"/>
      <c r="E403" s="11"/>
      <c r="F403" s="11"/>
      <c r="G403" s="2"/>
      <c r="H403" s="13"/>
      <c r="I403" s="13"/>
      <c r="J403" s="13"/>
      <c r="K403" s="6"/>
      <c r="L403" s="6"/>
      <c r="M403" s="6"/>
      <c r="N403" s="6"/>
      <c r="O403" s="6"/>
      <c r="P403" s="6"/>
      <c r="Q403" s="6"/>
      <c r="R403" s="6"/>
      <c r="S403" s="108"/>
      <c r="T403" s="111"/>
      <c r="U403" s="12"/>
    </row>
    <row r="404" spans="1:21" x14ac:dyDescent="0.3">
      <c r="A404" s="2"/>
      <c r="B404" s="2"/>
      <c r="C404" s="2"/>
      <c r="D404" s="2"/>
      <c r="E404" s="11"/>
      <c r="F404" s="11"/>
      <c r="G404" s="2"/>
      <c r="H404" s="13"/>
      <c r="I404" s="13"/>
      <c r="J404" s="13"/>
      <c r="K404" s="6"/>
      <c r="L404" s="6"/>
      <c r="M404" s="6"/>
      <c r="N404" s="6"/>
      <c r="O404" s="6"/>
      <c r="P404" s="6"/>
      <c r="Q404" s="6"/>
      <c r="R404" s="6"/>
      <c r="S404" s="108"/>
      <c r="T404" s="111"/>
      <c r="U404" s="12"/>
    </row>
    <row r="405" spans="1:21" x14ac:dyDescent="0.3">
      <c r="A405" s="2"/>
      <c r="B405" s="2"/>
      <c r="C405" s="2"/>
      <c r="D405" s="2"/>
      <c r="E405" s="11"/>
      <c r="F405" s="11"/>
      <c r="G405" s="2"/>
      <c r="H405" s="13"/>
      <c r="I405" s="13"/>
      <c r="J405" s="13"/>
      <c r="K405" s="6"/>
      <c r="L405" s="6"/>
      <c r="M405" s="6"/>
      <c r="N405" s="6"/>
      <c r="O405" s="6"/>
      <c r="P405" s="6"/>
      <c r="Q405" s="6"/>
      <c r="R405" s="6"/>
      <c r="S405" s="108"/>
      <c r="T405" s="111"/>
      <c r="U405" s="12"/>
    </row>
    <row r="406" spans="1:21" x14ac:dyDescent="0.3">
      <c r="A406" s="2"/>
      <c r="B406" s="2"/>
      <c r="C406" s="2"/>
      <c r="D406" s="2"/>
      <c r="E406" s="11"/>
      <c r="F406" s="11"/>
      <c r="G406" s="2"/>
      <c r="H406" s="13"/>
      <c r="I406" s="13"/>
      <c r="J406" s="13"/>
      <c r="K406" s="6"/>
      <c r="L406" s="6"/>
      <c r="M406" s="6"/>
      <c r="N406" s="6"/>
      <c r="O406" s="6"/>
      <c r="P406" s="6"/>
      <c r="Q406" s="6"/>
      <c r="R406" s="6"/>
      <c r="S406" s="108"/>
      <c r="T406" s="111"/>
      <c r="U406" s="12"/>
    </row>
    <row r="407" spans="1:21" x14ac:dyDescent="0.3">
      <c r="A407" s="2"/>
      <c r="B407" s="2"/>
      <c r="C407" s="2"/>
      <c r="D407" s="2"/>
      <c r="E407" s="11"/>
      <c r="F407" s="11"/>
      <c r="G407" s="2"/>
      <c r="H407" s="13"/>
      <c r="I407" s="13"/>
      <c r="J407" s="13"/>
      <c r="K407" s="6"/>
      <c r="L407" s="6"/>
      <c r="M407" s="6"/>
      <c r="N407" s="6"/>
      <c r="O407" s="6"/>
      <c r="P407" s="6"/>
      <c r="Q407" s="6"/>
      <c r="R407" s="6"/>
      <c r="S407" s="108"/>
      <c r="T407" s="111"/>
      <c r="U407" s="12"/>
    </row>
    <row r="408" spans="1:21" x14ac:dyDescent="0.3">
      <c r="A408" s="2"/>
      <c r="B408" s="2"/>
      <c r="C408" s="2"/>
      <c r="D408" s="2"/>
      <c r="E408" s="11"/>
      <c r="F408" s="11"/>
      <c r="G408" s="2"/>
      <c r="H408" s="13"/>
      <c r="I408" s="13"/>
      <c r="J408" s="13"/>
      <c r="K408" s="6"/>
      <c r="L408" s="6"/>
      <c r="M408" s="6"/>
      <c r="N408" s="6"/>
      <c r="O408" s="6"/>
      <c r="P408" s="6"/>
      <c r="Q408" s="6"/>
      <c r="R408" s="6"/>
      <c r="S408" s="108"/>
      <c r="T408" s="111"/>
      <c r="U408" s="12"/>
    </row>
    <row r="409" spans="1:21" x14ac:dyDescent="0.3">
      <c r="A409" s="11"/>
      <c r="B409" s="2"/>
      <c r="C409" s="2"/>
      <c r="D409" s="2"/>
      <c r="E409" s="11"/>
      <c r="F409" s="11"/>
      <c r="G409" s="2"/>
      <c r="H409" s="13"/>
      <c r="I409" s="13"/>
      <c r="J409" s="13"/>
      <c r="K409" s="6"/>
      <c r="L409" s="6"/>
      <c r="M409" s="6"/>
      <c r="N409" s="6"/>
      <c r="O409" s="6"/>
      <c r="P409" s="6"/>
      <c r="Q409" s="6"/>
      <c r="R409" s="6"/>
      <c r="S409" s="108"/>
      <c r="T409" s="111"/>
      <c r="U409" s="12"/>
    </row>
    <row r="410" spans="1:21" x14ac:dyDescent="0.3">
      <c r="A410" s="2"/>
      <c r="B410" s="2"/>
      <c r="C410" s="2"/>
      <c r="D410" s="2"/>
      <c r="E410" s="11"/>
      <c r="F410" s="11"/>
      <c r="G410" s="2"/>
      <c r="H410" s="13"/>
      <c r="I410" s="13"/>
      <c r="J410" s="13"/>
      <c r="K410" s="6"/>
      <c r="L410" s="6"/>
      <c r="M410" s="6"/>
      <c r="N410" s="6"/>
      <c r="O410" s="6"/>
      <c r="P410" s="6"/>
      <c r="Q410" s="6"/>
      <c r="R410" s="6"/>
      <c r="S410" s="108"/>
      <c r="T410" s="111"/>
      <c r="U410" s="12"/>
    </row>
    <row r="411" spans="1:21" x14ac:dyDescent="0.3">
      <c r="A411" s="2"/>
      <c r="B411" s="2"/>
      <c r="C411" s="2"/>
      <c r="D411" s="2"/>
      <c r="E411" s="11"/>
      <c r="F411" s="11"/>
      <c r="G411" s="2"/>
      <c r="H411" s="13"/>
      <c r="I411" s="13"/>
      <c r="J411" s="13"/>
      <c r="K411" s="6"/>
      <c r="L411" s="6"/>
      <c r="M411" s="6"/>
      <c r="N411" s="6"/>
      <c r="O411" s="6"/>
      <c r="P411" s="6"/>
      <c r="Q411" s="6"/>
      <c r="R411" s="6"/>
      <c r="S411" s="108"/>
      <c r="T411" s="111"/>
      <c r="U411" s="12"/>
    </row>
    <row r="412" spans="1:21" x14ac:dyDescent="0.3">
      <c r="A412" s="2"/>
      <c r="B412" s="2"/>
      <c r="C412" s="2"/>
      <c r="D412" s="2"/>
      <c r="E412" s="11"/>
      <c r="F412" s="11"/>
      <c r="G412" s="2"/>
      <c r="H412" s="13"/>
      <c r="I412" s="13"/>
      <c r="J412" s="13"/>
      <c r="K412" s="6"/>
      <c r="L412" s="6"/>
      <c r="M412" s="6"/>
      <c r="N412" s="6"/>
      <c r="O412" s="6"/>
      <c r="P412" s="6"/>
      <c r="Q412" s="6"/>
      <c r="R412" s="6"/>
      <c r="S412" s="108"/>
      <c r="T412" s="111"/>
      <c r="U412" s="12"/>
    </row>
    <row r="413" spans="1:21" x14ac:dyDescent="0.3">
      <c r="A413" s="2"/>
      <c r="B413" s="2"/>
      <c r="C413" s="2"/>
      <c r="D413" s="2"/>
      <c r="E413" s="11"/>
      <c r="F413" s="11"/>
      <c r="G413" s="2"/>
      <c r="H413" s="13"/>
      <c r="I413" s="13"/>
      <c r="J413" s="13"/>
      <c r="K413" s="6"/>
      <c r="L413" s="6"/>
      <c r="M413" s="6"/>
      <c r="N413" s="6"/>
      <c r="O413" s="6"/>
      <c r="P413" s="6"/>
      <c r="Q413" s="6"/>
      <c r="R413" s="6"/>
      <c r="S413" s="108"/>
      <c r="T413" s="111"/>
      <c r="U413" s="12"/>
    </row>
    <row r="414" spans="1:21" x14ac:dyDescent="0.3">
      <c r="A414" s="2"/>
      <c r="B414" s="2"/>
      <c r="C414" s="2"/>
      <c r="D414" s="2"/>
      <c r="E414" s="11"/>
      <c r="F414" s="11"/>
      <c r="G414" s="2"/>
      <c r="H414" s="13"/>
      <c r="I414" s="13"/>
      <c r="J414" s="13"/>
      <c r="K414" s="6"/>
      <c r="L414" s="6"/>
      <c r="M414" s="6"/>
      <c r="N414" s="6"/>
      <c r="O414" s="6"/>
      <c r="P414" s="6"/>
      <c r="Q414" s="6"/>
      <c r="R414" s="6"/>
      <c r="S414" s="108"/>
      <c r="T414" s="111"/>
      <c r="U414" s="12"/>
    </row>
    <row r="415" spans="1:21" x14ac:dyDescent="0.3">
      <c r="A415" s="2"/>
      <c r="B415" s="2"/>
      <c r="C415" s="2"/>
      <c r="D415" s="2"/>
      <c r="E415" s="11"/>
      <c r="F415" s="11"/>
      <c r="G415" s="2"/>
      <c r="H415" s="13"/>
      <c r="I415" s="13"/>
      <c r="J415" s="13"/>
      <c r="K415" s="6"/>
      <c r="L415" s="6"/>
      <c r="M415" s="6"/>
      <c r="N415" s="6"/>
      <c r="O415" s="6"/>
      <c r="P415" s="6"/>
      <c r="Q415" s="6"/>
      <c r="R415" s="6"/>
      <c r="S415" s="108"/>
      <c r="T415" s="111"/>
      <c r="U415" s="12"/>
    </row>
    <row r="416" spans="1:21" x14ac:dyDescent="0.3">
      <c r="A416" s="2"/>
      <c r="B416" s="2"/>
      <c r="C416" s="2"/>
      <c r="D416" s="2"/>
      <c r="E416" s="11"/>
      <c r="F416" s="11"/>
      <c r="G416" s="2"/>
      <c r="H416" s="13"/>
      <c r="I416" s="13"/>
      <c r="J416" s="13"/>
      <c r="K416" s="6"/>
      <c r="L416" s="6"/>
      <c r="M416" s="6"/>
      <c r="N416" s="6"/>
      <c r="O416" s="6"/>
      <c r="P416" s="6"/>
      <c r="Q416" s="6"/>
      <c r="R416" s="6"/>
      <c r="S416" s="108"/>
      <c r="T416" s="111"/>
      <c r="U416" s="12"/>
    </row>
    <row r="417" spans="1:21" x14ac:dyDescent="0.3">
      <c r="A417" s="2"/>
      <c r="B417" s="2"/>
      <c r="C417" s="2"/>
      <c r="D417" s="2"/>
      <c r="E417" s="11"/>
      <c r="F417" s="11"/>
      <c r="G417" s="2"/>
      <c r="H417" s="13"/>
      <c r="I417" s="13"/>
      <c r="J417" s="13"/>
      <c r="K417" s="6"/>
      <c r="L417" s="6"/>
      <c r="M417" s="6"/>
      <c r="N417" s="6"/>
      <c r="O417" s="6"/>
      <c r="P417" s="6"/>
      <c r="Q417" s="6"/>
      <c r="R417" s="6"/>
      <c r="S417" s="108"/>
      <c r="T417" s="111"/>
      <c r="U417" s="12"/>
    </row>
    <row r="418" spans="1:21" x14ac:dyDescent="0.3">
      <c r="A418" s="2"/>
      <c r="B418" s="2"/>
      <c r="C418" s="2"/>
      <c r="D418" s="2"/>
      <c r="E418" s="11"/>
      <c r="F418" s="11"/>
      <c r="G418" s="2"/>
      <c r="H418" s="13"/>
      <c r="I418" s="13"/>
      <c r="J418" s="13"/>
      <c r="K418" s="6"/>
      <c r="L418" s="6"/>
      <c r="M418" s="6"/>
      <c r="N418" s="6"/>
      <c r="O418" s="6"/>
      <c r="P418" s="6"/>
      <c r="Q418" s="6"/>
      <c r="R418" s="6"/>
      <c r="S418" s="108"/>
      <c r="T418" s="111"/>
      <c r="U418" s="12"/>
    </row>
    <row r="419" spans="1:21" x14ac:dyDescent="0.3">
      <c r="A419" s="2"/>
      <c r="B419" s="2"/>
      <c r="C419" s="2"/>
      <c r="D419" s="2"/>
      <c r="E419" s="11"/>
      <c r="F419" s="11"/>
      <c r="G419" s="2"/>
      <c r="H419" s="13"/>
      <c r="I419" s="13"/>
      <c r="J419" s="13"/>
      <c r="K419" s="6"/>
      <c r="L419" s="6"/>
      <c r="M419" s="6"/>
      <c r="N419" s="6"/>
      <c r="O419" s="6"/>
      <c r="P419" s="6"/>
      <c r="Q419" s="6"/>
      <c r="R419" s="6"/>
      <c r="S419" s="108"/>
      <c r="T419" s="111"/>
      <c r="U419" s="12"/>
    </row>
    <row r="420" spans="1:21" x14ac:dyDescent="0.3">
      <c r="A420" s="2"/>
      <c r="B420" s="2"/>
      <c r="C420" s="2"/>
      <c r="D420" s="2"/>
      <c r="E420" s="11"/>
      <c r="F420" s="11"/>
      <c r="G420" s="2"/>
      <c r="H420" s="13"/>
      <c r="I420" s="13"/>
      <c r="J420" s="13"/>
      <c r="K420" s="6"/>
      <c r="L420" s="6"/>
      <c r="M420" s="6"/>
      <c r="N420" s="6"/>
      <c r="O420" s="6"/>
      <c r="P420" s="6"/>
      <c r="Q420" s="6"/>
      <c r="R420" s="6"/>
      <c r="S420" s="108"/>
      <c r="T420" s="111"/>
      <c r="U420" s="12"/>
    </row>
    <row r="421" spans="1:21" x14ac:dyDescent="0.3">
      <c r="A421" s="2"/>
      <c r="B421" s="2"/>
      <c r="C421" s="2"/>
      <c r="D421" s="2"/>
      <c r="E421" s="11"/>
      <c r="F421" s="11"/>
      <c r="G421" s="2"/>
      <c r="H421" s="13"/>
      <c r="I421" s="13"/>
      <c r="J421" s="13"/>
      <c r="K421" s="6"/>
      <c r="L421" s="6"/>
      <c r="M421" s="6"/>
      <c r="N421" s="6"/>
      <c r="O421" s="6"/>
      <c r="P421" s="6"/>
      <c r="Q421" s="6"/>
      <c r="R421" s="6"/>
      <c r="S421" s="108"/>
      <c r="T421" s="111"/>
      <c r="U421" s="12"/>
    </row>
    <row r="422" spans="1:21" x14ac:dyDescent="0.3">
      <c r="A422" s="2"/>
      <c r="B422" s="2"/>
      <c r="C422" s="2"/>
      <c r="D422" s="2"/>
      <c r="E422" s="11"/>
      <c r="F422" s="11"/>
      <c r="G422" s="2"/>
      <c r="H422" s="13"/>
      <c r="I422" s="13"/>
      <c r="J422" s="13"/>
      <c r="K422" s="6"/>
      <c r="L422" s="6"/>
      <c r="M422" s="6"/>
      <c r="N422" s="6"/>
      <c r="O422" s="6"/>
      <c r="P422" s="6"/>
      <c r="Q422" s="6"/>
      <c r="R422" s="6"/>
      <c r="S422" s="108"/>
      <c r="T422" s="111"/>
      <c r="U422" s="12"/>
    </row>
    <row r="423" spans="1:21" x14ac:dyDescent="0.3">
      <c r="A423" s="2"/>
      <c r="B423" s="2"/>
      <c r="C423" s="2"/>
      <c r="D423" s="2"/>
      <c r="E423" s="11"/>
      <c r="F423" s="11"/>
      <c r="G423" s="2"/>
      <c r="H423" s="13"/>
      <c r="I423" s="13"/>
      <c r="J423" s="13"/>
      <c r="K423" s="6"/>
      <c r="L423" s="6"/>
      <c r="M423" s="6"/>
      <c r="N423" s="6"/>
      <c r="O423" s="6"/>
      <c r="P423" s="6"/>
      <c r="Q423" s="6"/>
      <c r="R423" s="6"/>
      <c r="S423" s="108"/>
      <c r="T423" s="111"/>
      <c r="U423" s="12"/>
    </row>
    <row r="424" spans="1:21" x14ac:dyDescent="0.3">
      <c r="A424" s="2"/>
      <c r="B424" s="2"/>
      <c r="C424" s="2"/>
      <c r="D424" s="2"/>
      <c r="E424" s="11"/>
      <c r="F424" s="11"/>
      <c r="G424" s="2"/>
      <c r="H424" s="13"/>
      <c r="I424" s="13"/>
      <c r="J424" s="13"/>
      <c r="K424" s="6"/>
      <c r="L424" s="6"/>
      <c r="M424" s="6"/>
      <c r="N424" s="6"/>
      <c r="O424" s="6"/>
      <c r="P424" s="6"/>
      <c r="Q424" s="6"/>
      <c r="R424" s="6"/>
      <c r="S424" s="108"/>
      <c r="T424" s="111"/>
      <c r="U424" s="12"/>
    </row>
    <row r="425" spans="1:21" x14ac:dyDescent="0.3">
      <c r="A425" s="2"/>
      <c r="B425" s="2"/>
      <c r="C425" s="2"/>
      <c r="D425" s="2"/>
      <c r="E425" s="11"/>
      <c r="F425" s="11"/>
      <c r="G425" s="2"/>
      <c r="H425" s="13"/>
      <c r="I425" s="13"/>
      <c r="J425" s="13"/>
      <c r="K425" s="6"/>
      <c r="L425" s="6"/>
      <c r="M425" s="6"/>
      <c r="N425" s="6"/>
      <c r="O425" s="6"/>
      <c r="P425" s="6"/>
      <c r="Q425" s="6"/>
      <c r="R425" s="6"/>
      <c r="S425" s="108"/>
      <c r="T425" s="111"/>
      <c r="U425" s="12"/>
    </row>
    <row r="426" spans="1:21" x14ac:dyDescent="0.3">
      <c r="A426" s="2"/>
      <c r="B426" s="2"/>
      <c r="C426" s="2"/>
      <c r="D426" s="2"/>
      <c r="E426" s="11"/>
      <c r="F426" s="11"/>
      <c r="G426" s="2"/>
      <c r="H426" s="13"/>
      <c r="I426" s="13"/>
      <c r="J426" s="13"/>
      <c r="K426" s="6"/>
      <c r="L426" s="6"/>
      <c r="M426" s="6"/>
      <c r="N426" s="6"/>
      <c r="O426" s="6"/>
      <c r="P426" s="6"/>
      <c r="Q426" s="6"/>
      <c r="R426" s="6"/>
      <c r="S426" s="108"/>
      <c r="T426" s="111"/>
      <c r="U426" s="12"/>
    </row>
    <row r="427" spans="1:21" x14ac:dyDescent="0.3">
      <c r="A427" s="2"/>
      <c r="B427" s="2"/>
      <c r="C427" s="2"/>
      <c r="D427" s="2"/>
      <c r="E427" s="11"/>
      <c r="F427" s="11"/>
      <c r="G427" s="2"/>
      <c r="H427" s="13"/>
      <c r="I427" s="13"/>
      <c r="J427" s="13"/>
      <c r="K427" s="6"/>
      <c r="L427" s="6"/>
      <c r="M427" s="6"/>
      <c r="N427" s="6"/>
      <c r="O427" s="6"/>
      <c r="P427" s="6"/>
      <c r="Q427" s="6"/>
      <c r="R427" s="6"/>
      <c r="S427" s="108"/>
      <c r="T427" s="111"/>
      <c r="U427" s="12"/>
    </row>
    <row r="428" spans="1:21" x14ac:dyDescent="0.3">
      <c r="A428" s="2"/>
      <c r="B428" s="2"/>
      <c r="C428" s="2"/>
      <c r="D428" s="2"/>
      <c r="E428" s="11"/>
      <c r="F428" s="11"/>
      <c r="G428" s="2"/>
      <c r="H428" s="13"/>
      <c r="I428" s="13"/>
      <c r="J428" s="13"/>
      <c r="K428" s="6"/>
      <c r="L428" s="6"/>
      <c r="M428" s="6"/>
      <c r="N428" s="6"/>
      <c r="O428" s="6"/>
      <c r="P428" s="6"/>
      <c r="Q428" s="6"/>
      <c r="R428" s="6"/>
      <c r="S428" s="108"/>
      <c r="T428" s="111"/>
      <c r="U428" s="12"/>
    </row>
    <row r="429" spans="1:21" x14ac:dyDescent="0.3">
      <c r="A429" s="2"/>
      <c r="B429" s="2"/>
      <c r="C429" s="2"/>
      <c r="D429" s="2"/>
      <c r="E429" s="11"/>
      <c r="F429" s="11"/>
      <c r="G429" s="2"/>
      <c r="H429" s="13"/>
      <c r="I429" s="13"/>
      <c r="J429" s="13"/>
      <c r="K429" s="6"/>
      <c r="L429" s="6"/>
      <c r="M429" s="6"/>
      <c r="N429" s="6"/>
      <c r="O429" s="6"/>
      <c r="P429" s="6"/>
      <c r="Q429" s="6"/>
      <c r="R429" s="6"/>
      <c r="S429" s="108"/>
      <c r="T429" s="111"/>
      <c r="U429" s="12"/>
    </row>
    <row r="430" spans="1:21" x14ac:dyDescent="0.3">
      <c r="A430" s="2"/>
      <c r="B430" s="2"/>
      <c r="C430" s="2"/>
      <c r="D430" s="2"/>
      <c r="E430" s="11"/>
      <c r="F430" s="11"/>
      <c r="G430" s="2"/>
      <c r="H430" s="13"/>
      <c r="I430" s="13"/>
      <c r="J430" s="13"/>
      <c r="K430" s="6"/>
      <c r="L430" s="6"/>
      <c r="M430" s="6"/>
      <c r="N430" s="6"/>
      <c r="O430" s="6"/>
      <c r="P430" s="6"/>
      <c r="Q430" s="6"/>
      <c r="R430" s="6"/>
      <c r="S430" s="108"/>
      <c r="T430" s="111"/>
      <c r="U430" s="12"/>
    </row>
    <row r="431" spans="1:21" x14ac:dyDescent="0.3">
      <c r="A431" s="2"/>
      <c r="B431" s="2"/>
      <c r="C431" s="2"/>
      <c r="D431" s="2"/>
      <c r="E431" s="11"/>
      <c r="F431" s="11"/>
      <c r="G431" s="2"/>
      <c r="H431" s="13"/>
      <c r="I431" s="13"/>
      <c r="J431" s="13"/>
      <c r="K431" s="6"/>
      <c r="L431" s="6"/>
      <c r="M431" s="6"/>
      <c r="N431" s="6"/>
      <c r="O431" s="6"/>
      <c r="P431" s="6"/>
      <c r="Q431" s="6"/>
      <c r="R431" s="6"/>
      <c r="S431" s="108"/>
      <c r="T431" s="111"/>
      <c r="U431" s="12"/>
    </row>
    <row r="432" spans="1:21" x14ac:dyDescent="0.3">
      <c r="A432" s="2"/>
      <c r="B432" s="2"/>
      <c r="C432" s="2"/>
      <c r="D432" s="2"/>
      <c r="E432" s="11"/>
      <c r="F432" s="11"/>
      <c r="G432" s="2"/>
      <c r="H432" s="13"/>
      <c r="I432" s="13"/>
      <c r="J432" s="13"/>
      <c r="K432" s="6"/>
      <c r="L432" s="6"/>
      <c r="M432" s="6"/>
      <c r="N432" s="6"/>
      <c r="O432" s="6"/>
      <c r="P432" s="6"/>
      <c r="Q432" s="6"/>
      <c r="R432" s="6"/>
      <c r="S432" s="108"/>
      <c r="T432" s="111"/>
      <c r="U432" s="12"/>
    </row>
    <row r="433" spans="1:21" x14ac:dyDescent="0.3">
      <c r="A433" s="2"/>
      <c r="B433" s="2"/>
      <c r="C433" s="2"/>
      <c r="D433" s="2"/>
      <c r="E433" s="11"/>
      <c r="F433" s="11"/>
      <c r="G433" s="2"/>
      <c r="H433" s="13"/>
      <c r="I433" s="13"/>
      <c r="J433" s="13"/>
      <c r="K433" s="6"/>
      <c r="L433" s="6"/>
      <c r="M433" s="6"/>
      <c r="N433" s="6"/>
      <c r="O433" s="6"/>
      <c r="P433" s="6"/>
      <c r="Q433" s="6"/>
      <c r="R433" s="6"/>
      <c r="S433" s="108"/>
      <c r="T433" s="111"/>
      <c r="U433" s="12"/>
    </row>
    <row r="434" spans="1:21" x14ac:dyDescent="0.3">
      <c r="A434" s="2"/>
      <c r="B434" s="2"/>
      <c r="C434" s="2"/>
      <c r="D434" s="2"/>
      <c r="E434" s="11"/>
      <c r="F434" s="11"/>
      <c r="G434" s="2"/>
      <c r="H434" s="13"/>
      <c r="I434" s="13"/>
      <c r="J434" s="13"/>
      <c r="K434" s="6"/>
      <c r="L434" s="6"/>
      <c r="M434" s="6"/>
      <c r="N434" s="6"/>
      <c r="O434" s="6"/>
      <c r="P434" s="6"/>
      <c r="Q434" s="6"/>
      <c r="R434" s="6"/>
      <c r="S434" s="108"/>
      <c r="T434" s="111"/>
      <c r="U434" s="12"/>
    </row>
    <row r="435" spans="1:21" x14ac:dyDescent="0.3">
      <c r="A435" s="2"/>
      <c r="B435" s="2"/>
      <c r="C435" s="2"/>
      <c r="D435" s="2"/>
      <c r="E435" s="11"/>
      <c r="F435" s="11"/>
      <c r="G435" s="2"/>
      <c r="H435" s="13"/>
      <c r="I435" s="13"/>
      <c r="J435" s="13"/>
      <c r="K435" s="6"/>
      <c r="L435" s="6"/>
      <c r="M435" s="6"/>
      <c r="N435" s="6"/>
      <c r="O435" s="6"/>
      <c r="P435" s="6"/>
      <c r="Q435" s="6"/>
      <c r="R435" s="6"/>
      <c r="S435" s="108"/>
      <c r="T435" s="111"/>
      <c r="U435" s="12"/>
    </row>
    <row r="436" spans="1:21" x14ac:dyDescent="0.3">
      <c r="A436" s="2"/>
      <c r="B436" s="2"/>
      <c r="C436" s="2"/>
      <c r="D436" s="2"/>
      <c r="E436" s="11"/>
      <c r="F436" s="11"/>
      <c r="G436" s="2"/>
      <c r="H436" s="13"/>
      <c r="I436" s="13"/>
      <c r="J436" s="13"/>
      <c r="K436" s="6"/>
      <c r="L436" s="6"/>
      <c r="M436" s="6"/>
      <c r="N436" s="6"/>
      <c r="O436" s="6"/>
      <c r="P436" s="6"/>
      <c r="Q436" s="6"/>
      <c r="R436" s="6"/>
      <c r="S436" s="108"/>
      <c r="T436" s="111"/>
      <c r="U436" s="12"/>
    </row>
    <row r="437" spans="1:21" x14ac:dyDescent="0.3">
      <c r="A437" s="2"/>
      <c r="B437" s="2"/>
      <c r="C437" s="2"/>
      <c r="D437" s="2"/>
      <c r="E437" s="11"/>
      <c r="F437" s="11"/>
      <c r="G437" s="2"/>
      <c r="H437" s="13"/>
      <c r="I437" s="13"/>
      <c r="J437" s="13"/>
      <c r="K437" s="6"/>
      <c r="L437" s="6"/>
      <c r="M437" s="6"/>
      <c r="N437" s="6"/>
      <c r="O437" s="6"/>
      <c r="P437" s="6"/>
      <c r="Q437" s="6"/>
      <c r="R437" s="6"/>
      <c r="S437" s="108"/>
      <c r="T437" s="111"/>
      <c r="U437" s="12"/>
    </row>
    <row r="438" spans="1:21" x14ac:dyDescent="0.3">
      <c r="A438" s="2"/>
      <c r="B438" s="2"/>
      <c r="C438" s="2"/>
      <c r="D438" s="2"/>
      <c r="E438" s="11"/>
      <c r="F438" s="11"/>
      <c r="G438" s="2"/>
      <c r="H438" s="13"/>
      <c r="I438" s="13"/>
      <c r="J438" s="13"/>
      <c r="K438" s="6"/>
      <c r="L438" s="6"/>
      <c r="M438" s="6"/>
      <c r="N438" s="6"/>
      <c r="O438" s="6"/>
      <c r="P438" s="6"/>
      <c r="Q438" s="6"/>
      <c r="R438" s="6"/>
      <c r="S438" s="108"/>
      <c r="T438" s="111"/>
      <c r="U438" s="12"/>
    </row>
    <row r="439" spans="1:21" x14ac:dyDescent="0.3">
      <c r="A439" s="2"/>
      <c r="B439" s="2"/>
      <c r="C439" s="2"/>
      <c r="D439" s="2"/>
      <c r="E439" s="11"/>
      <c r="F439" s="11"/>
      <c r="G439" s="2"/>
      <c r="H439" s="13"/>
      <c r="I439" s="13"/>
      <c r="J439" s="13"/>
      <c r="K439" s="6"/>
      <c r="L439" s="6"/>
      <c r="M439" s="6"/>
      <c r="N439" s="6"/>
      <c r="O439" s="6"/>
      <c r="P439" s="6"/>
      <c r="Q439" s="6"/>
      <c r="R439" s="6"/>
      <c r="S439" s="108"/>
      <c r="T439" s="111"/>
      <c r="U439" s="12"/>
    </row>
    <row r="440" spans="1:21" x14ac:dyDescent="0.3">
      <c r="A440" s="2"/>
      <c r="B440" s="2"/>
      <c r="C440" s="2"/>
      <c r="D440" s="2"/>
      <c r="E440" s="11"/>
      <c r="F440" s="11"/>
      <c r="G440" s="2"/>
      <c r="H440" s="13"/>
      <c r="I440" s="13"/>
      <c r="J440" s="13"/>
      <c r="K440" s="6"/>
      <c r="L440" s="6"/>
      <c r="M440" s="6"/>
      <c r="N440" s="6"/>
      <c r="O440" s="6"/>
      <c r="P440" s="6"/>
      <c r="Q440" s="6"/>
      <c r="R440" s="6"/>
      <c r="S440" s="108"/>
      <c r="T440" s="111"/>
      <c r="U440" s="12"/>
    </row>
    <row r="441" spans="1:21" x14ac:dyDescent="0.3">
      <c r="A441" s="2"/>
      <c r="B441" s="2"/>
      <c r="C441" s="2"/>
      <c r="D441" s="2"/>
      <c r="E441" s="11"/>
      <c r="F441" s="11"/>
      <c r="G441" s="2"/>
      <c r="H441" s="13"/>
      <c r="I441" s="13"/>
      <c r="J441" s="13"/>
      <c r="K441" s="6"/>
      <c r="L441" s="6"/>
      <c r="M441" s="6"/>
      <c r="N441" s="6"/>
      <c r="O441" s="6"/>
      <c r="P441" s="6"/>
      <c r="Q441" s="6"/>
      <c r="R441" s="6"/>
      <c r="S441" s="108"/>
      <c r="T441" s="111"/>
      <c r="U441" s="12"/>
    </row>
    <row r="442" spans="1:21" x14ac:dyDescent="0.3">
      <c r="A442" s="2"/>
      <c r="B442" s="2"/>
      <c r="C442" s="2"/>
      <c r="D442" s="2"/>
      <c r="E442" s="11"/>
      <c r="F442" s="11"/>
      <c r="G442" s="2"/>
      <c r="H442" s="13"/>
      <c r="I442" s="13"/>
      <c r="J442" s="13"/>
      <c r="K442" s="6"/>
      <c r="L442" s="6"/>
      <c r="M442" s="6"/>
      <c r="N442" s="6"/>
      <c r="O442" s="6"/>
      <c r="P442" s="6"/>
      <c r="Q442" s="6"/>
      <c r="R442" s="6"/>
      <c r="S442" s="108"/>
      <c r="T442" s="111"/>
      <c r="U442" s="12"/>
    </row>
    <row r="443" spans="1:21" x14ac:dyDescent="0.3">
      <c r="A443" s="2"/>
      <c r="B443" s="2"/>
      <c r="C443" s="2"/>
      <c r="D443" s="2"/>
      <c r="E443" s="11"/>
      <c r="F443" s="11"/>
      <c r="G443" s="2"/>
      <c r="H443" s="13"/>
      <c r="I443" s="13"/>
      <c r="J443" s="13"/>
      <c r="K443" s="6"/>
      <c r="L443" s="6"/>
      <c r="M443" s="6"/>
      <c r="N443" s="6"/>
      <c r="O443" s="6"/>
      <c r="P443" s="6"/>
      <c r="Q443" s="6"/>
      <c r="R443" s="6"/>
      <c r="S443" s="108"/>
      <c r="T443" s="111"/>
      <c r="U443" s="12"/>
    </row>
    <row r="444" spans="1:21" x14ac:dyDescent="0.3">
      <c r="A444" s="2"/>
      <c r="B444" s="2"/>
      <c r="C444" s="2"/>
      <c r="D444" s="2"/>
      <c r="E444" s="11"/>
      <c r="F444" s="11"/>
      <c r="G444" s="2"/>
      <c r="H444" s="13"/>
      <c r="I444" s="13"/>
      <c r="J444" s="13"/>
      <c r="K444" s="6"/>
      <c r="L444" s="6"/>
      <c r="M444" s="6"/>
      <c r="N444" s="6"/>
      <c r="O444" s="6"/>
      <c r="P444" s="6"/>
      <c r="Q444" s="6"/>
      <c r="R444" s="6"/>
      <c r="S444" s="108"/>
      <c r="T444" s="111"/>
      <c r="U444" s="12"/>
    </row>
    <row r="445" spans="1:21" x14ac:dyDescent="0.3">
      <c r="A445" s="2"/>
      <c r="B445" s="2"/>
      <c r="C445" s="2"/>
      <c r="D445" s="2"/>
      <c r="E445" s="11"/>
      <c r="F445" s="11"/>
      <c r="G445" s="2"/>
      <c r="H445" s="13"/>
      <c r="I445" s="13"/>
      <c r="J445" s="13"/>
      <c r="K445" s="6"/>
      <c r="L445" s="6"/>
      <c r="M445" s="6"/>
      <c r="N445" s="6"/>
      <c r="O445" s="6"/>
      <c r="P445" s="6"/>
      <c r="Q445" s="6"/>
      <c r="R445" s="6"/>
      <c r="S445" s="108"/>
      <c r="T445" s="111"/>
      <c r="U445" s="12"/>
    </row>
    <row r="446" spans="1:21" x14ac:dyDescent="0.3">
      <c r="A446" s="2"/>
      <c r="B446" s="2"/>
      <c r="C446" s="2"/>
      <c r="D446" s="2"/>
      <c r="E446" s="11"/>
      <c r="F446" s="11"/>
      <c r="G446" s="2"/>
      <c r="H446" s="13"/>
      <c r="I446" s="13"/>
      <c r="J446" s="13"/>
      <c r="K446" s="6"/>
      <c r="L446" s="6"/>
      <c r="M446" s="6"/>
      <c r="N446" s="6"/>
      <c r="O446" s="6"/>
      <c r="P446" s="6"/>
      <c r="Q446" s="6"/>
      <c r="R446" s="6"/>
      <c r="S446" s="108"/>
      <c r="T446" s="111"/>
      <c r="U446" s="12"/>
    </row>
    <row r="447" spans="1:21" x14ac:dyDescent="0.3">
      <c r="A447" s="2"/>
      <c r="B447" s="2"/>
      <c r="C447" s="2"/>
      <c r="D447" s="2"/>
      <c r="E447" s="11"/>
      <c r="F447" s="11"/>
      <c r="G447" s="2"/>
      <c r="H447" s="13"/>
      <c r="I447" s="13"/>
      <c r="J447" s="13"/>
      <c r="K447" s="6"/>
      <c r="L447" s="6"/>
      <c r="M447" s="6"/>
      <c r="N447" s="6"/>
      <c r="O447" s="6"/>
      <c r="P447" s="6"/>
      <c r="Q447" s="6"/>
      <c r="R447" s="6"/>
      <c r="S447" s="108"/>
      <c r="T447" s="111"/>
      <c r="U447" s="12"/>
    </row>
    <row r="448" spans="1:21" x14ac:dyDescent="0.3">
      <c r="A448" s="2"/>
      <c r="B448" s="2"/>
      <c r="C448" s="2"/>
      <c r="D448" s="2"/>
      <c r="E448" s="11"/>
      <c r="F448" s="11"/>
      <c r="G448" s="2"/>
      <c r="H448" s="13"/>
      <c r="I448" s="13"/>
      <c r="J448" s="13"/>
      <c r="K448" s="6"/>
      <c r="L448" s="6"/>
      <c r="M448" s="6"/>
      <c r="N448" s="6"/>
      <c r="O448" s="6"/>
      <c r="P448" s="6"/>
      <c r="Q448" s="6"/>
      <c r="R448" s="6"/>
      <c r="S448" s="108"/>
      <c r="T448" s="111"/>
      <c r="U448" s="12"/>
    </row>
    <row r="449" spans="1:21" x14ac:dyDescent="0.3">
      <c r="A449" s="2"/>
      <c r="B449" s="2"/>
      <c r="C449" s="2"/>
      <c r="D449" s="2"/>
      <c r="E449" s="11"/>
      <c r="F449" s="11"/>
      <c r="G449" s="2"/>
      <c r="H449" s="13"/>
      <c r="I449" s="13"/>
      <c r="J449" s="13"/>
      <c r="K449" s="6"/>
      <c r="L449" s="6"/>
      <c r="M449" s="6"/>
      <c r="N449" s="6"/>
      <c r="O449" s="6"/>
      <c r="P449" s="6"/>
      <c r="Q449" s="6"/>
      <c r="R449" s="6"/>
      <c r="S449" s="108"/>
      <c r="T449" s="111"/>
      <c r="U449" s="12"/>
    </row>
    <row r="450" spans="1:21" x14ac:dyDescent="0.3">
      <c r="A450" s="2"/>
      <c r="B450" s="2"/>
      <c r="C450" s="2"/>
      <c r="D450" s="2"/>
      <c r="E450" s="11"/>
      <c r="F450" s="11"/>
      <c r="G450" s="2"/>
      <c r="H450" s="13"/>
      <c r="I450" s="13"/>
      <c r="J450" s="13"/>
      <c r="K450" s="6"/>
      <c r="L450" s="6"/>
      <c r="M450" s="6"/>
      <c r="N450" s="6"/>
      <c r="O450" s="6"/>
      <c r="P450" s="6"/>
      <c r="Q450" s="6"/>
      <c r="R450" s="6"/>
      <c r="S450" s="108"/>
      <c r="T450" s="111"/>
      <c r="U450" s="12"/>
    </row>
    <row r="451" spans="1:21" x14ac:dyDescent="0.3">
      <c r="A451" s="2"/>
      <c r="B451" s="2"/>
      <c r="C451" s="2"/>
      <c r="D451" s="2"/>
      <c r="E451" s="11"/>
      <c r="F451" s="11"/>
      <c r="G451" s="2"/>
      <c r="H451" s="13"/>
      <c r="I451" s="13"/>
      <c r="J451" s="13"/>
      <c r="K451" s="6"/>
      <c r="L451" s="6"/>
      <c r="M451" s="6"/>
      <c r="N451" s="6"/>
      <c r="O451" s="6"/>
      <c r="P451" s="6"/>
      <c r="Q451" s="6"/>
      <c r="R451" s="6"/>
      <c r="S451" s="108"/>
      <c r="T451" s="111"/>
      <c r="U451" s="12"/>
    </row>
    <row r="452" spans="1:21" x14ac:dyDescent="0.3">
      <c r="A452" s="2"/>
      <c r="B452" s="2"/>
      <c r="C452" s="2"/>
      <c r="D452" s="2"/>
      <c r="E452" s="11"/>
      <c r="F452" s="11"/>
      <c r="G452" s="2"/>
      <c r="H452" s="13"/>
      <c r="I452" s="13"/>
      <c r="J452" s="13"/>
      <c r="K452" s="6"/>
      <c r="L452" s="6"/>
      <c r="M452" s="6"/>
      <c r="N452" s="6"/>
      <c r="O452" s="6"/>
      <c r="P452" s="6"/>
      <c r="Q452" s="6"/>
      <c r="R452" s="6"/>
      <c r="S452" s="108"/>
      <c r="T452" s="111"/>
      <c r="U452" s="12"/>
    </row>
    <row r="453" spans="1:21" x14ac:dyDescent="0.3">
      <c r="A453" s="2"/>
      <c r="B453" s="2"/>
      <c r="C453" s="2"/>
      <c r="D453" s="2"/>
      <c r="E453" s="11"/>
      <c r="F453" s="11"/>
      <c r="G453" s="2"/>
      <c r="H453" s="13"/>
      <c r="I453" s="13"/>
      <c r="J453" s="13"/>
      <c r="K453" s="6"/>
      <c r="L453" s="6"/>
      <c r="M453" s="6"/>
      <c r="N453" s="6"/>
      <c r="O453" s="6"/>
      <c r="P453" s="6"/>
      <c r="Q453" s="6"/>
      <c r="R453" s="6"/>
      <c r="S453" s="108"/>
      <c r="T453" s="111"/>
      <c r="U453" s="12"/>
    </row>
    <row r="454" spans="1:21" x14ac:dyDescent="0.3">
      <c r="A454" s="2"/>
      <c r="B454" s="2"/>
      <c r="C454" s="2"/>
      <c r="D454" s="2"/>
      <c r="E454" s="11"/>
      <c r="F454" s="11"/>
      <c r="G454" s="2"/>
      <c r="H454" s="13"/>
      <c r="I454" s="13"/>
      <c r="J454" s="13"/>
      <c r="K454" s="6"/>
      <c r="L454" s="6"/>
      <c r="M454" s="6"/>
      <c r="N454" s="6"/>
      <c r="O454" s="6"/>
      <c r="P454" s="6"/>
      <c r="Q454" s="6"/>
      <c r="R454" s="6"/>
      <c r="S454" s="108"/>
      <c r="T454" s="111"/>
      <c r="U454" s="12"/>
    </row>
    <row r="455" spans="1:21" x14ac:dyDescent="0.3">
      <c r="A455" s="2"/>
      <c r="B455" s="2"/>
      <c r="C455" s="2"/>
      <c r="D455" s="2"/>
      <c r="E455" s="11"/>
      <c r="F455" s="11"/>
      <c r="G455" s="2"/>
      <c r="H455" s="13"/>
      <c r="I455" s="13"/>
      <c r="J455" s="13"/>
      <c r="K455" s="6"/>
      <c r="L455" s="6"/>
      <c r="M455" s="6"/>
      <c r="N455" s="6"/>
      <c r="O455" s="6"/>
      <c r="P455" s="6"/>
      <c r="Q455" s="6"/>
      <c r="R455" s="6"/>
      <c r="S455" s="108"/>
      <c r="T455" s="111"/>
      <c r="U455" s="12"/>
    </row>
    <row r="456" spans="1:21" x14ac:dyDescent="0.3">
      <c r="A456" s="2"/>
      <c r="B456" s="2"/>
      <c r="C456" s="2"/>
      <c r="D456" s="2"/>
      <c r="E456" s="11"/>
      <c r="F456" s="11"/>
      <c r="G456" s="2"/>
      <c r="H456" s="13"/>
      <c r="I456" s="13"/>
      <c r="J456" s="13"/>
      <c r="K456" s="6"/>
      <c r="L456" s="6"/>
      <c r="M456" s="6"/>
      <c r="N456" s="6"/>
      <c r="O456" s="6"/>
      <c r="P456" s="6"/>
      <c r="Q456" s="6"/>
      <c r="R456" s="6"/>
      <c r="S456" s="108"/>
      <c r="T456" s="111"/>
      <c r="U456" s="12"/>
    </row>
    <row r="457" spans="1:21" x14ac:dyDescent="0.3">
      <c r="A457" s="2"/>
      <c r="B457" s="2"/>
      <c r="C457" s="2"/>
      <c r="D457" s="2"/>
      <c r="E457" s="11"/>
      <c r="F457" s="11"/>
      <c r="G457" s="2"/>
      <c r="H457" s="13"/>
      <c r="I457" s="13"/>
      <c r="J457" s="13"/>
      <c r="K457" s="6"/>
      <c r="L457" s="6"/>
      <c r="M457" s="6"/>
      <c r="N457" s="6"/>
      <c r="O457" s="6"/>
      <c r="P457" s="6"/>
      <c r="Q457" s="6"/>
      <c r="R457" s="6"/>
      <c r="S457" s="108"/>
      <c r="T457" s="111"/>
      <c r="U457" s="12"/>
    </row>
    <row r="458" spans="1:21" x14ac:dyDescent="0.3">
      <c r="A458" s="2"/>
      <c r="B458" s="2"/>
      <c r="C458" s="2"/>
      <c r="D458" s="2"/>
      <c r="E458" s="11"/>
      <c r="F458" s="11"/>
      <c r="G458" s="2"/>
      <c r="H458" s="13"/>
      <c r="I458" s="13"/>
      <c r="J458" s="13"/>
      <c r="K458" s="6"/>
      <c r="L458" s="6"/>
      <c r="M458" s="6"/>
      <c r="N458" s="6"/>
      <c r="O458" s="6"/>
      <c r="P458" s="6"/>
      <c r="Q458" s="6"/>
      <c r="R458" s="6"/>
      <c r="S458" s="108"/>
      <c r="T458" s="111"/>
      <c r="U458" s="12"/>
    </row>
    <row r="459" spans="1:21" x14ac:dyDescent="0.3">
      <c r="A459" s="2"/>
      <c r="B459" s="2"/>
      <c r="C459" s="2"/>
      <c r="D459" s="2"/>
      <c r="E459" s="11"/>
      <c r="F459" s="11"/>
      <c r="G459" s="2"/>
      <c r="H459" s="13"/>
      <c r="I459" s="13"/>
      <c r="J459" s="13"/>
      <c r="K459" s="6"/>
      <c r="L459" s="6"/>
      <c r="M459" s="6"/>
      <c r="N459" s="6"/>
      <c r="O459" s="6"/>
      <c r="P459" s="6"/>
      <c r="Q459" s="6"/>
      <c r="R459" s="6"/>
      <c r="S459" s="108"/>
      <c r="T459" s="111"/>
      <c r="U459" s="12"/>
    </row>
    <row r="460" spans="1:21" x14ac:dyDescent="0.3">
      <c r="A460" s="2"/>
      <c r="B460" s="2"/>
      <c r="C460" s="2"/>
      <c r="D460" s="2"/>
      <c r="E460" s="11"/>
      <c r="F460" s="11"/>
      <c r="G460" s="2"/>
      <c r="H460" s="13"/>
      <c r="I460" s="13"/>
      <c r="J460" s="13"/>
      <c r="K460" s="6"/>
      <c r="L460" s="6"/>
      <c r="M460" s="6"/>
      <c r="N460" s="6"/>
      <c r="O460" s="6"/>
      <c r="P460" s="6"/>
      <c r="Q460" s="6"/>
      <c r="R460" s="6"/>
      <c r="S460" s="108"/>
      <c r="T460" s="111"/>
      <c r="U460" s="12"/>
    </row>
    <row r="461" spans="1:21" x14ac:dyDescent="0.3">
      <c r="A461" s="2"/>
      <c r="B461" s="2"/>
      <c r="C461" s="2"/>
      <c r="D461" s="2"/>
      <c r="E461" s="11"/>
      <c r="F461" s="11"/>
      <c r="G461" s="2"/>
      <c r="H461" s="13"/>
      <c r="I461" s="13"/>
      <c r="J461" s="13"/>
      <c r="K461" s="6"/>
      <c r="L461" s="6"/>
      <c r="M461" s="6"/>
      <c r="N461" s="6"/>
      <c r="O461" s="6"/>
      <c r="P461" s="6"/>
      <c r="Q461" s="6"/>
      <c r="R461" s="6"/>
      <c r="S461" s="108"/>
      <c r="T461" s="111"/>
      <c r="U461" s="12"/>
    </row>
    <row r="462" spans="1:21" x14ac:dyDescent="0.3">
      <c r="A462" s="2"/>
      <c r="B462" s="2"/>
      <c r="C462" s="2"/>
      <c r="D462" s="2"/>
      <c r="E462" s="11"/>
      <c r="F462" s="11"/>
      <c r="G462" s="2"/>
      <c r="H462" s="13"/>
      <c r="I462" s="13"/>
      <c r="J462" s="13"/>
      <c r="K462" s="6"/>
      <c r="L462" s="6"/>
      <c r="M462" s="6"/>
      <c r="N462" s="6"/>
      <c r="O462" s="6"/>
      <c r="P462" s="6"/>
      <c r="Q462" s="6"/>
      <c r="R462" s="6"/>
      <c r="S462" s="108"/>
      <c r="T462" s="111"/>
      <c r="U462" s="12"/>
    </row>
    <row r="463" spans="1:21" x14ac:dyDescent="0.3">
      <c r="A463" s="2"/>
      <c r="B463" s="2"/>
      <c r="C463" s="2"/>
      <c r="D463" s="2"/>
      <c r="E463" s="11"/>
      <c r="F463" s="11"/>
      <c r="G463" s="2"/>
      <c r="H463" s="13"/>
      <c r="I463" s="13"/>
      <c r="J463" s="13"/>
      <c r="K463" s="6"/>
      <c r="L463" s="6"/>
      <c r="M463" s="6"/>
      <c r="N463" s="6"/>
      <c r="O463" s="6"/>
      <c r="P463" s="6"/>
      <c r="Q463" s="6"/>
      <c r="R463" s="6"/>
      <c r="S463" s="108"/>
      <c r="T463" s="111"/>
      <c r="U463" s="12"/>
    </row>
    <row r="464" spans="1:21" x14ac:dyDescent="0.3">
      <c r="A464" s="2"/>
      <c r="B464" s="2"/>
      <c r="C464" s="2"/>
      <c r="D464" s="2"/>
      <c r="E464" s="11"/>
      <c r="F464" s="11"/>
      <c r="G464" s="2"/>
      <c r="H464" s="13"/>
      <c r="I464" s="13"/>
      <c r="J464" s="13"/>
      <c r="K464" s="6"/>
      <c r="L464" s="6"/>
      <c r="M464" s="6"/>
      <c r="N464" s="6"/>
      <c r="O464" s="6"/>
      <c r="P464" s="6"/>
      <c r="Q464" s="6"/>
      <c r="R464" s="6"/>
      <c r="S464" s="108"/>
      <c r="T464" s="111"/>
      <c r="U464" s="12"/>
    </row>
    <row r="465" spans="1:21" x14ac:dyDescent="0.3">
      <c r="A465" s="2"/>
      <c r="B465" s="2"/>
      <c r="C465" s="2"/>
      <c r="D465" s="2"/>
      <c r="E465" s="11"/>
      <c r="F465" s="11"/>
      <c r="G465" s="2"/>
      <c r="H465" s="13"/>
      <c r="I465" s="13"/>
      <c r="J465" s="13"/>
      <c r="K465" s="6"/>
      <c r="L465" s="6"/>
      <c r="M465" s="6"/>
      <c r="N465" s="6"/>
      <c r="O465" s="6"/>
      <c r="P465" s="6"/>
      <c r="Q465" s="6"/>
      <c r="R465" s="6"/>
      <c r="S465" s="108"/>
      <c r="T465" s="111"/>
      <c r="U465" s="12"/>
    </row>
    <row r="466" spans="1:21" x14ac:dyDescent="0.3">
      <c r="A466" s="2"/>
      <c r="B466" s="2"/>
      <c r="C466" s="2"/>
      <c r="D466" s="2"/>
      <c r="E466" s="11"/>
      <c r="F466" s="11"/>
      <c r="G466" s="2"/>
      <c r="H466" s="13"/>
      <c r="I466" s="13"/>
      <c r="J466" s="13"/>
      <c r="K466" s="6"/>
      <c r="L466" s="6"/>
      <c r="M466" s="6"/>
      <c r="N466" s="6"/>
      <c r="O466" s="6"/>
      <c r="P466" s="6"/>
      <c r="Q466" s="6"/>
      <c r="R466" s="6"/>
      <c r="S466" s="108"/>
      <c r="T466" s="111"/>
      <c r="U466" s="12"/>
    </row>
    <row r="467" spans="1:21" x14ac:dyDescent="0.3">
      <c r="A467" s="2"/>
      <c r="B467" s="2"/>
      <c r="C467" s="2"/>
      <c r="D467" s="2"/>
      <c r="E467" s="11"/>
      <c r="F467" s="11"/>
      <c r="G467" s="2"/>
      <c r="H467" s="13"/>
      <c r="I467" s="13"/>
      <c r="J467" s="13"/>
      <c r="K467" s="6"/>
      <c r="L467" s="6"/>
      <c r="M467" s="6"/>
      <c r="N467" s="6"/>
      <c r="O467" s="6"/>
      <c r="P467" s="6"/>
      <c r="Q467" s="6"/>
      <c r="R467" s="6"/>
      <c r="S467" s="108"/>
      <c r="T467" s="111"/>
      <c r="U467" s="12"/>
    </row>
    <row r="468" spans="1:21" x14ac:dyDescent="0.3">
      <c r="A468" s="2"/>
      <c r="B468" s="2"/>
      <c r="C468" s="2"/>
      <c r="D468" s="2"/>
      <c r="E468" s="11"/>
      <c r="F468" s="11"/>
      <c r="G468" s="2"/>
      <c r="H468" s="13"/>
      <c r="I468" s="13"/>
      <c r="J468" s="13"/>
      <c r="K468" s="6"/>
      <c r="L468" s="6"/>
      <c r="M468" s="6"/>
      <c r="N468" s="6"/>
      <c r="O468" s="6"/>
      <c r="P468" s="6"/>
      <c r="Q468" s="6"/>
      <c r="R468" s="6"/>
      <c r="S468" s="108"/>
      <c r="T468" s="111"/>
      <c r="U468" s="12"/>
    </row>
    <row r="469" spans="1:21" x14ac:dyDescent="0.3">
      <c r="A469" s="2"/>
      <c r="B469" s="2"/>
      <c r="C469" s="2"/>
      <c r="D469" s="2"/>
      <c r="E469" s="11"/>
      <c r="F469" s="11"/>
      <c r="G469" s="2"/>
      <c r="H469" s="13"/>
      <c r="I469" s="13"/>
      <c r="J469" s="13"/>
      <c r="K469" s="6"/>
      <c r="L469" s="6"/>
      <c r="M469" s="6"/>
      <c r="N469" s="6"/>
      <c r="O469" s="6"/>
      <c r="P469" s="6"/>
      <c r="Q469" s="6"/>
      <c r="R469" s="6"/>
      <c r="S469" s="108"/>
      <c r="T469" s="111"/>
      <c r="U469" s="12"/>
    </row>
    <row r="470" spans="1:21" x14ac:dyDescent="0.3">
      <c r="A470" s="2"/>
      <c r="B470" s="2"/>
      <c r="C470" s="2"/>
      <c r="D470" s="2"/>
      <c r="E470" s="11"/>
      <c r="F470" s="11"/>
      <c r="G470" s="2"/>
      <c r="H470" s="13"/>
      <c r="I470" s="13"/>
      <c r="J470" s="13"/>
      <c r="K470" s="6"/>
      <c r="L470" s="6"/>
      <c r="M470" s="6"/>
      <c r="N470" s="6"/>
      <c r="O470" s="6"/>
      <c r="P470" s="6"/>
      <c r="Q470" s="6"/>
      <c r="R470" s="6"/>
      <c r="S470" s="108"/>
      <c r="T470" s="111"/>
      <c r="U470" s="12"/>
    </row>
    <row r="471" spans="1:21" x14ac:dyDescent="0.3">
      <c r="A471" s="2"/>
      <c r="B471" s="2"/>
      <c r="C471" s="2"/>
      <c r="D471" s="2"/>
      <c r="E471" s="11"/>
      <c r="F471" s="11"/>
      <c r="G471" s="2"/>
      <c r="H471" s="13"/>
      <c r="I471" s="13"/>
      <c r="J471" s="13"/>
      <c r="K471" s="6"/>
      <c r="L471" s="6"/>
      <c r="M471" s="6"/>
      <c r="N471" s="6"/>
      <c r="O471" s="6"/>
      <c r="P471" s="6"/>
      <c r="Q471" s="6"/>
      <c r="R471" s="6"/>
      <c r="S471" s="108"/>
      <c r="T471" s="111"/>
      <c r="U471" s="12"/>
    </row>
    <row r="472" spans="1:21" x14ac:dyDescent="0.3">
      <c r="A472" s="2"/>
      <c r="B472" s="2"/>
      <c r="C472" s="2"/>
      <c r="D472" s="2"/>
      <c r="E472" s="11"/>
      <c r="F472" s="11"/>
      <c r="G472" s="2"/>
      <c r="H472" s="13"/>
      <c r="I472" s="13"/>
      <c r="J472" s="13"/>
      <c r="K472" s="6"/>
      <c r="L472" s="6"/>
      <c r="M472" s="6"/>
      <c r="N472" s="6"/>
      <c r="O472" s="6"/>
      <c r="P472" s="6"/>
      <c r="Q472" s="6"/>
      <c r="R472" s="6"/>
      <c r="S472" s="108"/>
      <c r="T472" s="111"/>
      <c r="U472" s="12"/>
    </row>
    <row r="473" spans="1:21" x14ac:dyDescent="0.3">
      <c r="A473" s="2"/>
      <c r="B473" s="2"/>
      <c r="C473" s="2"/>
      <c r="D473" s="2"/>
      <c r="E473" s="11"/>
      <c r="F473" s="11"/>
      <c r="G473" s="2"/>
      <c r="H473" s="13"/>
      <c r="I473" s="13"/>
      <c r="J473" s="13"/>
      <c r="K473" s="6"/>
      <c r="L473" s="6"/>
      <c r="M473" s="6"/>
      <c r="N473" s="6"/>
      <c r="O473" s="6"/>
      <c r="P473" s="6"/>
      <c r="Q473" s="6"/>
      <c r="R473" s="6"/>
      <c r="S473" s="108"/>
      <c r="T473" s="111"/>
      <c r="U473" s="12"/>
    </row>
    <row r="474" spans="1:21" x14ac:dyDescent="0.3">
      <c r="A474" s="2"/>
      <c r="B474" s="2"/>
      <c r="C474" s="2"/>
      <c r="D474" s="2"/>
      <c r="E474" s="11"/>
      <c r="F474" s="11"/>
      <c r="G474" s="2"/>
      <c r="H474" s="13"/>
      <c r="I474" s="13"/>
      <c r="J474" s="13"/>
      <c r="K474" s="6"/>
      <c r="L474" s="6"/>
      <c r="M474" s="6"/>
      <c r="N474" s="6"/>
      <c r="O474" s="6"/>
      <c r="P474" s="6"/>
      <c r="Q474" s="6"/>
      <c r="R474" s="6"/>
      <c r="S474" s="108"/>
      <c r="T474" s="111"/>
      <c r="U474" s="12"/>
    </row>
    <row r="475" spans="1:21" x14ac:dyDescent="0.3">
      <c r="A475" s="2"/>
      <c r="B475" s="2"/>
      <c r="C475" s="2"/>
      <c r="D475" s="2"/>
      <c r="E475" s="11"/>
      <c r="F475" s="11"/>
      <c r="G475" s="2"/>
      <c r="H475" s="13"/>
      <c r="I475" s="13"/>
      <c r="J475" s="13"/>
      <c r="K475" s="6"/>
      <c r="L475" s="6"/>
      <c r="M475" s="6"/>
      <c r="N475" s="6"/>
      <c r="O475" s="6"/>
      <c r="P475" s="6"/>
      <c r="Q475" s="6"/>
      <c r="R475" s="6"/>
      <c r="S475" s="108"/>
      <c r="T475" s="111"/>
      <c r="U475" s="12"/>
    </row>
    <row r="476" spans="1:21" x14ac:dyDescent="0.3">
      <c r="A476" s="2"/>
      <c r="B476" s="2"/>
      <c r="C476" s="2"/>
      <c r="D476" s="2"/>
      <c r="E476" s="11"/>
      <c r="F476" s="11"/>
      <c r="G476" s="2"/>
      <c r="H476" s="13"/>
      <c r="I476" s="13"/>
      <c r="J476" s="13"/>
      <c r="K476" s="6"/>
      <c r="L476" s="6"/>
      <c r="M476" s="6"/>
      <c r="N476" s="6"/>
      <c r="O476" s="6"/>
      <c r="P476" s="6"/>
      <c r="Q476" s="6"/>
      <c r="R476" s="6"/>
      <c r="S476" s="108"/>
      <c r="T476" s="111"/>
      <c r="U476" s="12"/>
    </row>
    <row r="477" spans="1:21" x14ac:dyDescent="0.3">
      <c r="A477" s="2"/>
      <c r="B477" s="2"/>
      <c r="C477" s="2"/>
      <c r="D477" s="2"/>
      <c r="E477" s="11"/>
      <c r="F477" s="11"/>
      <c r="G477" s="2"/>
      <c r="H477" s="13"/>
      <c r="I477" s="13"/>
      <c r="J477" s="13"/>
      <c r="K477" s="6"/>
      <c r="L477" s="6"/>
      <c r="M477" s="6"/>
      <c r="N477" s="6"/>
      <c r="O477" s="6"/>
      <c r="P477" s="6"/>
      <c r="Q477" s="6"/>
      <c r="R477" s="6"/>
      <c r="S477" s="108"/>
      <c r="T477" s="111"/>
      <c r="U477" s="12"/>
    </row>
    <row r="478" spans="1:21" x14ac:dyDescent="0.3">
      <c r="A478" s="2"/>
      <c r="B478" s="2"/>
      <c r="C478" s="2"/>
      <c r="D478" s="2"/>
      <c r="E478" s="11"/>
      <c r="F478" s="11"/>
      <c r="G478" s="2"/>
      <c r="H478" s="13"/>
      <c r="I478" s="13"/>
      <c r="J478" s="13"/>
      <c r="K478" s="6"/>
      <c r="L478" s="6"/>
      <c r="M478" s="6"/>
      <c r="N478" s="6"/>
      <c r="O478" s="6"/>
      <c r="P478" s="6"/>
      <c r="Q478" s="6"/>
      <c r="R478" s="6"/>
      <c r="S478" s="108"/>
      <c r="T478" s="111"/>
      <c r="U478" s="12"/>
    </row>
    <row r="479" spans="1:21" x14ac:dyDescent="0.3">
      <c r="A479" s="2"/>
      <c r="B479" s="2"/>
      <c r="C479" s="2"/>
      <c r="D479" s="2"/>
      <c r="E479" s="11"/>
      <c r="F479" s="11"/>
      <c r="G479" s="2"/>
      <c r="H479" s="13"/>
      <c r="I479" s="13"/>
      <c r="J479" s="13"/>
      <c r="K479" s="6"/>
      <c r="L479" s="6"/>
      <c r="M479" s="6"/>
      <c r="N479" s="6"/>
      <c r="O479" s="6"/>
      <c r="P479" s="6"/>
      <c r="Q479" s="6"/>
      <c r="R479" s="6"/>
      <c r="S479" s="108"/>
      <c r="T479" s="111"/>
      <c r="U479" s="12"/>
    </row>
    <row r="480" spans="1:21" x14ac:dyDescent="0.3">
      <c r="A480" s="2"/>
      <c r="B480" s="2"/>
      <c r="C480" s="2"/>
      <c r="D480" s="2"/>
      <c r="E480" s="11"/>
      <c r="F480" s="11"/>
      <c r="G480" s="2"/>
      <c r="H480" s="13"/>
      <c r="I480" s="13"/>
      <c r="J480" s="13"/>
      <c r="K480" s="6"/>
      <c r="L480" s="6"/>
      <c r="M480" s="6"/>
      <c r="N480" s="6"/>
      <c r="O480" s="6"/>
      <c r="P480" s="6"/>
      <c r="Q480" s="6"/>
      <c r="R480" s="6"/>
      <c r="S480" s="108"/>
      <c r="T480" s="111"/>
      <c r="U480" s="12"/>
    </row>
    <row r="481" spans="1:21" x14ac:dyDescent="0.3">
      <c r="A481" s="2"/>
      <c r="B481" s="2"/>
      <c r="C481" s="2"/>
      <c r="D481" s="2"/>
      <c r="E481" s="11"/>
      <c r="F481" s="11"/>
      <c r="G481" s="2"/>
      <c r="H481" s="13"/>
      <c r="I481" s="13"/>
      <c r="J481" s="13"/>
      <c r="K481" s="6"/>
      <c r="L481" s="6"/>
      <c r="M481" s="6"/>
      <c r="N481" s="6"/>
      <c r="O481" s="6"/>
      <c r="P481" s="6"/>
      <c r="Q481" s="6"/>
      <c r="R481" s="6"/>
      <c r="S481" s="108"/>
      <c r="T481" s="111"/>
      <c r="U481" s="12"/>
    </row>
    <row r="482" spans="1:21" x14ac:dyDescent="0.3">
      <c r="A482" s="2"/>
      <c r="B482" s="2"/>
      <c r="C482" s="2"/>
      <c r="D482" s="2"/>
      <c r="E482" s="11"/>
      <c r="F482" s="11"/>
      <c r="G482" s="2"/>
      <c r="H482" s="13"/>
      <c r="I482" s="13"/>
      <c r="J482" s="13"/>
      <c r="K482" s="6"/>
      <c r="L482" s="6"/>
      <c r="M482" s="6"/>
      <c r="N482" s="6"/>
      <c r="O482" s="6"/>
      <c r="P482" s="6"/>
      <c r="Q482" s="6"/>
      <c r="R482" s="6"/>
      <c r="S482" s="108"/>
      <c r="T482" s="111"/>
      <c r="U482" s="12"/>
    </row>
    <row r="483" spans="1:21" x14ac:dyDescent="0.3">
      <c r="A483" s="2"/>
      <c r="B483" s="2"/>
      <c r="C483" s="2"/>
      <c r="D483" s="2"/>
      <c r="E483" s="11"/>
      <c r="F483" s="11"/>
      <c r="G483" s="2"/>
      <c r="H483" s="13"/>
      <c r="I483" s="13"/>
      <c r="J483" s="13"/>
      <c r="K483" s="6"/>
      <c r="L483" s="6"/>
      <c r="M483" s="6"/>
      <c r="N483" s="6"/>
      <c r="O483" s="6"/>
      <c r="P483" s="6"/>
      <c r="Q483" s="6"/>
      <c r="R483" s="6"/>
      <c r="S483" s="108"/>
      <c r="T483" s="111"/>
      <c r="U483" s="12"/>
    </row>
    <row r="484" spans="1:21" x14ac:dyDescent="0.3">
      <c r="A484" s="2"/>
      <c r="B484" s="2"/>
      <c r="C484" s="2"/>
      <c r="D484" s="2"/>
      <c r="E484" s="11"/>
      <c r="F484" s="11"/>
      <c r="G484" s="2"/>
      <c r="H484" s="13"/>
      <c r="I484" s="13"/>
      <c r="J484" s="13"/>
      <c r="K484" s="6"/>
      <c r="L484" s="6"/>
      <c r="M484" s="6"/>
      <c r="N484" s="6"/>
      <c r="O484" s="6"/>
      <c r="P484" s="6"/>
      <c r="Q484" s="6"/>
      <c r="R484" s="6"/>
      <c r="S484" s="108"/>
      <c r="T484" s="111"/>
      <c r="U484" s="12"/>
    </row>
    <row r="485" spans="1:21" x14ac:dyDescent="0.3">
      <c r="A485" s="2"/>
      <c r="B485" s="2"/>
      <c r="C485" s="2"/>
      <c r="D485" s="2"/>
      <c r="E485" s="11"/>
      <c r="F485" s="11"/>
      <c r="G485" s="2"/>
      <c r="H485" s="13"/>
      <c r="I485" s="13"/>
      <c r="J485" s="13"/>
      <c r="K485" s="6"/>
      <c r="L485" s="6"/>
      <c r="M485" s="6"/>
      <c r="N485" s="6"/>
      <c r="O485" s="6"/>
      <c r="P485" s="6"/>
      <c r="Q485" s="6"/>
      <c r="R485" s="6"/>
      <c r="S485" s="108"/>
      <c r="T485" s="111"/>
      <c r="U485" s="12"/>
    </row>
    <row r="486" spans="1:21" x14ac:dyDescent="0.3">
      <c r="A486" s="2"/>
      <c r="B486" s="2"/>
      <c r="C486" s="2"/>
      <c r="D486" s="2"/>
      <c r="E486" s="11"/>
      <c r="F486" s="11"/>
      <c r="G486" s="2"/>
      <c r="H486" s="13"/>
      <c r="I486" s="13"/>
      <c r="J486" s="13"/>
      <c r="K486" s="6"/>
      <c r="L486" s="6"/>
      <c r="M486" s="6"/>
      <c r="N486" s="6"/>
      <c r="O486" s="6"/>
      <c r="P486" s="6"/>
      <c r="Q486" s="6"/>
      <c r="R486" s="6"/>
      <c r="S486" s="108"/>
      <c r="T486" s="111"/>
      <c r="U486" s="12"/>
    </row>
    <row r="487" spans="1:21" x14ac:dyDescent="0.3">
      <c r="A487" s="2"/>
      <c r="B487" s="2"/>
      <c r="C487" s="2"/>
      <c r="D487" s="2"/>
      <c r="E487" s="11"/>
      <c r="F487" s="11"/>
      <c r="G487" s="2"/>
      <c r="H487" s="13"/>
      <c r="I487" s="13"/>
      <c r="J487" s="13"/>
      <c r="K487" s="6"/>
      <c r="L487" s="6"/>
      <c r="M487" s="6"/>
      <c r="N487" s="6"/>
      <c r="O487" s="6"/>
      <c r="P487" s="6"/>
      <c r="Q487" s="6"/>
      <c r="R487" s="6"/>
      <c r="S487" s="108"/>
      <c r="T487" s="111"/>
      <c r="U487" s="12"/>
    </row>
    <row r="488" spans="1:21" x14ac:dyDescent="0.3">
      <c r="A488" s="2"/>
      <c r="B488" s="2"/>
      <c r="C488" s="2"/>
      <c r="D488" s="2"/>
      <c r="E488" s="11"/>
      <c r="F488" s="11"/>
      <c r="G488" s="2"/>
      <c r="H488" s="13"/>
      <c r="I488" s="13"/>
      <c r="J488" s="13"/>
      <c r="K488" s="6"/>
      <c r="L488" s="6"/>
      <c r="M488" s="6"/>
      <c r="N488" s="6"/>
      <c r="O488" s="6"/>
      <c r="P488" s="6"/>
      <c r="Q488" s="6"/>
      <c r="R488" s="6"/>
      <c r="S488" s="108"/>
      <c r="T488" s="111"/>
      <c r="U488" s="12"/>
    </row>
    <row r="489" spans="1:21" x14ac:dyDescent="0.3">
      <c r="A489" s="2"/>
      <c r="B489" s="2"/>
      <c r="C489" s="2"/>
      <c r="D489" s="2"/>
      <c r="E489" s="11"/>
      <c r="F489" s="11"/>
      <c r="G489" s="2"/>
      <c r="H489" s="13"/>
      <c r="I489" s="13"/>
      <c r="J489" s="13"/>
      <c r="K489" s="6"/>
      <c r="L489" s="6"/>
      <c r="M489" s="6"/>
      <c r="N489" s="6"/>
      <c r="O489" s="6"/>
      <c r="P489" s="6"/>
      <c r="Q489" s="6"/>
      <c r="R489" s="6"/>
      <c r="S489" s="108"/>
      <c r="T489" s="111"/>
      <c r="U489" s="12"/>
    </row>
    <row r="490" spans="1:21" x14ac:dyDescent="0.3">
      <c r="A490" s="2"/>
      <c r="B490" s="2"/>
      <c r="C490" s="2"/>
      <c r="D490" s="2"/>
      <c r="E490" s="11"/>
      <c r="F490" s="11"/>
      <c r="G490" s="2"/>
      <c r="H490" s="13"/>
      <c r="I490" s="13"/>
      <c r="J490" s="13"/>
      <c r="K490" s="6"/>
      <c r="L490" s="6"/>
      <c r="M490" s="6"/>
      <c r="N490" s="6"/>
      <c r="O490" s="6"/>
      <c r="P490" s="6"/>
      <c r="Q490" s="6"/>
      <c r="R490" s="6"/>
      <c r="S490" s="108"/>
      <c r="T490" s="111"/>
      <c r="U490" s="12"/>
    </row>
    <row r="491" spans="1:21" x14ac:dyDescent="0.3">
      <c r="A491" s="2"/>
      <c r="B491" s="2"/>
      <c r="C491" s="2"/>
      <c r="D491" s="2"/>
      <c r="E491" s="11"/>
      <c r="F491" s="11"/>
      <c r="G491" s="2"/>
      <c r="H491" s="13"/>
      <c r="I491" s="13"/>
      <c r="J491" s="13"/>
      <c r="K491" s="6"/>
      <c r="L491" s="6"/>
      <c r="M491" s="6"/>
      <c r="N491" s="6"/>
      <c r="O491" s="6"/>
      <c r="P491" s="6"/>
      <c r="Q491" s="6"/>
      <c r="R491" s="6"/>
      <c r="S491" s="108"/>
      <c r="T491" s="111"/>
      <c r="U491" s="12"/>
    </row>
    <row r="492" spans="1:21" x14ac:dyDescent="0.3">
      <c r="A492" s="2"/>
      <c r="B492" s="2"/>
      <c r="C492" s="2"/>
      <c r="D492" s="2"/>
      <c r="E492" s="11"/>
      <c r="F492" s="11"/>
      <c r="G492" s="2"/>
      <c r="H492" s="13"/>
      <c r="I492" s="13"/>
      <c r="J492" s="13"/>
      <c r="K492" s="6"/>
      <c r="L492" s="6"/>
      <c r="M492" s="6"/>
      <c r="N492" s="6"/>
      <c r="O492" s="6"/>
      <c r="P492" s="6"/>
      <c r="Q492" s="6"/>
      <c r="R492" s="6"/>
      <c r="S492" s="108"/>
      <c r="T492" s="111"/>
      <c r="U492" s="12"/>
    </row>
    <row r="493" spans="1:21" x14ac:dyDescent="0.3">
      <c r="A493" s="2"/>
      <c r="B493" s="2"/>
      <c r="C493" s="2"/>
      <c r="D493" s="2"/>
      <c r="E493" s="11"/>
      <c r="F493" s="11"/>
      <c r="G493" s="2"/>
      <c r="H493" s="13"/>
      <c r="I493" s="13"/>
      <c r="J493" s="13"/>
      <c r="K493" s="6"/>
      <c r="L493" s="6"/>
      <c r="M493" s="6"/>
      <c r="N493" s="6"/>
      <c r="O493" s="6"/>
      <c r="P493" s="6"/>
      <c r="Q493" s="6"/>
      <c r="R493" s="6"/>
      <c r="S493" s="108"/>
      <c r="T493" s="111"/>
      <c r="U493" s="12"/>
    </row>
    <row r="494" spans="1:21" x14ac:dyDescent="0.3">
      <c r="A494" s="2"/>
      <c r="B494" s="2"/>
      <c r="C494" s="2"/>
      <c r="D494" s="2"/>
      <c r="E494" s="11"/>
      <c r="F494" s="11"/>
      <c r="G494" s="2"/>
      <c r="H494" s="13"/>
      <c r="I494" s="13"/>
      <c r="J494" s="13"/>
      <c r="K494" s="6"/>
      <c r="L494" s="6"/>
      <c r="M494" s="6"/>
      <c r="N494" s="6"/>
      <c r="O494" s="6"/>
      <c r="P494" s="6"/>
      <c r="Q494" s="6"/>
      <c r="R494" s="6"/>
      <c r="S494" s="108"/>
      <c r="T494" s="111"/>
      <c r="U494" s="12"/>
    </row>
    <row r="495" spans="1:21" x14ac:dyDescent="0.3">
      <c r="A495" s="2"/>
      <c r="B495" s="2"/>
      <c r="C495" s="2"/>
      <c r="D495" s="2"/>
      <c r="E495" s="11"/>
      <c r="F495" s="11"/>
      <c r="G495" s="2"/>
      <c r="H495" s="13"/>
      <c r="I495" s="13"/>
      <c r="J495" s="13"/>
      <c r="K495" s="6"/>
      <c r="L495" s="6"/>
      <c r="M495" s="6"/>
      <c r="N495" s="6"/>
      <c r="O495" s="6"/>
      <c r="P495" s="6"/>
      <c r="Q495" s="6"/>
      <c r="R495" s="6"/>
      <c r="S495" s="108"/>
      <c r="T495" s="111"/>
      <c r="U495" s="12"/>
    </row>
    <row r="496" spans="1:21" x14ac:dyDescent="0.3">
      <c r="A496" s="2"/>
      <c r="B496" s="2"/>
      <c r="C496" s="2"/>
      <c r="D496" s="2"/>
      <c r="E496" s="11"/>
      <c r="F496" s="11"/>
      <c r="G496" s="2"/>
      <c r="H496" s="13"/>
      <c r="I496" s="13"/>
      <c r="J496" s="13"/>
      <c r="K496" s="6"/>
      <c r="L496" s="6"/>
      <c r="M496" s="6"/>
      <c r="N496" s="6"/>
      <c r="O496" s="6"/>
      <c r="P496" s="6"/>
      <c r="Q496" s="6"/>
      <c r="R496" s="6"/>
      <c r="S496" s="108"/>
      <c r="T496" s="111"/>
      <c r="U496" s="12"/>
    </row>
    <row r="497" spans="1:21" x14ac:dyDescent="0.3">
      <c r="A497" s="2"/>
      <c r="B497" s="2"/>
      <c r="C497" s="2"/>
      <c r="D497" s="2"/>
      <c r="E497" s="11"/>
      <c r="F497" s="11"/>
      <c r="G497" s="2"/>
      <c r="H497" s="13"/>
      <c r="I497" s="13"/>
      <c r="J497" s="13"/>
      <c r="K497" s="6"/>
      <c r="L497" s="6"/>
      <c r="M497" s="6"/>
      <c r="N497" s="6"/>
      <c r="O497" s="6"/>
      <c r="P497" s="6"/>
      <c r="Q497" s="6"/>
      <c r="R497" s="6"/>
      <c r="S497" s="108"/>
      <c r="T497" s="111"/>
      <c r="U497" s="12"/>
    </row>
    <row r="498" spans="1:21" x14ac:dyDescent="0.3">
      <c r="A498" s="2"/>
      <c r="B498" s="2"/>
      <c r="C498" s="2"/>
      <c r="D498" s="2"/>
      <c r="E498" s="11"/>
      <c r="F498" s="11"/>
      <c r="G498" s="2"/>
      <c r="H498" s="13"/>
      <c r="I498" s="13"/>
      <c r="J498" s="13"/>
      <c r="K498" s="6"/>
      <c r="L498" s="6"/>
      <c r="M498" s="6"/>
      <c r="N498" s="6"/>
      <c r="O498" s="6"/>
      <c r="P498" s="6"/>
      <c r="Q498" s="6"/>
      <c r="R498" s="6"/>
      <c r="S498" s="108"/>
      <c r="T498" s="111"/>
      <c r="U498" s="12"/>
    </row>
    <row r="499" spans="1:21" x14ac:dyDescent="0.3">
      <c r="A499" s="2"/>
      <c r="B499" s="2"/>
      <c r="C499" s="2"/>
      <c r="D499" s="2"/>
      <c r="E499" s="11"/>
      <c r="F499" s="11"/>
      <c r="G499" s="2"/>
      <c r="H499" s="13"/>
      <c r="I499" s="13"/>
      <c r="J499" s="13"/>
      <c r="K499" s="6"/>
      <c r="L499" s="6"/>
      <c r="M499" s="6"/>
      <c r="N499" s="6"/>
      <c r="O499" s="6"/>
      <c r="P499" s="6"/>
      <c r="Q499" s="6"/>
      <c r="R499" s="6"/>
      <c r="S499" s="108"/>
      <c r="T499" s="111"/>
      <c r="U499" s="12"/>
    </row>
    <row r="500" spans="1:21" x14ac:dyDescent="0.3">
      <c r="A500" s="2"/>
      <c r="B500" s="2"/>
      <c r="C500" s="2"/>
      <c r="D500" s="2"/>
      <c r="E500" s="11"/>
      <c r="F500" s="11"/>
      <c r="G500" s="2"/>
      <c r="H500" s="13"/>
      <c r="I500" s="13"/>
      <c r="J500" s="13"/>
      <c r="K500" s="6"/>
      <c r="L500" s="6"/>
      <c r="M500" s="6"/>
      <c r="N500" s="6"/>
      <c r="O500" s="6"/>
      <c r="P500" s="6"/>
      <c r="Q500" s="6"/>
      <c r="R500" s="6"/>
      <c r="S500" s="108"/>
      <c r="T500" s="111"/>
      <c r="U500" s="12"/>
    </row>
    <row r="501" spans="1:21" x14ac:dyDescent="0.3">
      <c r="A501" s="2"/>
      <c r="B501" s="2"/>
      <c r="C501" s="2"/>
      <c r="D501" s="2"/>
      <c r="E501" s="11"/>
      <c r="F501" s="11"/>
      <c r="G501" s="2"/>
      <c r="H501" s="13"/>
      <c r="I501" s="13"/>
      <c r="J501" s="13"/>
      <c r="K501" s="6"/>
      <c r="L501" s="6"/>
      <c r="M501" s="6"/>
      <c r="N501" s="6"/>
      <c r="O501" s="6"/>
      <c r="P501" s="6"/>
      <c r="Q501" s="6"/>
      <c r="R501" s="6"/>
      <c r="S501" s="108"/>
      <c r="T501" s="111"/>
      <c r="U501" s="12"/>
    </row>
    <row r="502" spans="1:21" x14ac:dyDescent="0.3">
      <c r="A502" s="2"/>
      <c r="B502" s="2"/>
      <c r="C502" s="2"/>
      <c r="D502" s="2"/>
      <c r="E502" s="11"/>
      <c r="F502" s="11"/>
      <c r="G502" s="2"/>
      <c r="H502" s="13"/>
      <c r="I502" s="13"/>
      <c r="J502" s="13"/>
      <c r="K502" s="6"/>
      <c r="L502" s="6"/>
      <c r="M502" s="6"/>
      <c r="N502" s="6"/>
      <c r="O502" s="6"/>
      <c r="P502" s="6"/>
      <c r="Q502" s="6"/>
      <c r="R502" s="6"/>
      <c r="S502" s="108"/>
      <c r="T502" s="111"/>
      <c r="U502" s="12"/>
    </row>
    <row r="503" spans="1:21" x14ac:dyDescent="0.3">
      <c r="A503" s="11"/>
      <c r="B503" s="2"/>
      <c r="C503" s="2"/>
      <c r="D503" s="2"/>
      <c r="E503" s="11"/>
      <c r="F503" s="11"/>
      <c r="G503" s="2"/>
      <c r="H503" s="13"/>
      <c r="I503" s="13"/>
      <c r="J503" s="13"/>
      <c r="K503" s="6"/>
      <c r="L503" s="6"/>
      <c r="M503" s="6"/>
      <c r="N503" s="6"/>
      <c r="O503" s="6"/>
      <c r="P503" s="6"/>
      <c r="Q503" s="6"/>
      <c r="R503" s="6"/>
      <c r="S503" s="108"/>
      <c r="T503" s="111"/>
      <c r="U503" s="12"/>
    </row>
    <row r="504" spans="1:21" x14ac:dyDescent="0.3">
      <c r="A504" s="2"/>
      <c r="B504" s="2"/>
      <c r="C504" s="2"/>
      <c r="D504" s="2"/>
      <c r="E504" s="11"/>
      <c r="F504" s="11"/>
      <c r="G504" s="2"/>
      <c r="H504" s="13"/>
      <c r="I504" s="13"/>
      <c r="J504" s="13"/>
      <c r="K504" s="6"/>
      <c r="L504" s="6"/>
      <c r="M504" s="6"/>
      <c r="N504" s="6"/>
      <c r="O504" s="6"/>
      <c r="P504" s="6"/>
      <c r="Q504" s="6"/>
      <c r="R504" s="6"/>
      <c r="S504" s="108"/>
      <c r="T504" s="111"/>
      <c r="U504" s="12"/>
    </row>
    <row r="505" spans="1:21" x14ac:dyDescent="0.3">
      <c r="A505" s="2"/>
      <c r="B505" s="2"/>
      <c r="C505" s="2"/>
      <c r="D505" s="2"/>
      <c r="E505" s="11"/>
      <c r="F505" s="11"/>
      <c r="G505" s="2"/>
      <c r="H505" s="13"/>
      <c r="I505" s="13"/>
      <c r="J505" s="13"/>
      <c r="K505" s="6"/>
      <c r="L505" s="6"/>
      <c r="M505" s="6"/>
      <c r="N505" s="6"/>
      <c r="O505" s="6"/>
      <c r="P505" s="6"/>
      <c r="Q505" s="6"/>
      <c r="R505" s="6"/>
      <c r="S505" s="108"/>
      <c r="T505" s="111"/>
      <c r="U505" s="12"/>
    </row>
    <row r="506" spans="1:21" x14ac:dyDescent="0.3">
      <c r="A506" s="2"/>
      <c r="B506" s="2"/>
      <c r="C506" s="2"/>
      <c r="D506" s="2"/>
      <c r="E506" s="11"/>
      <c r="F506" s="11"/>
      <c r="G506" s="2"/>
      <c r="H506" s="13"/>
      <c r="I506" s="13"/>
      <c r="J506" s="13"/>
      <c r="K506" s="6"/>
      <c r="L506" s="6"/>
      <c r="M506" s="6"/>
      <c r="N506" s="6"/>
      <c r="O506" s="6"/>
      <c r="P506" s="6"/>
      <c r="Q506" s="6"/>
      <c r="R506" s="6"/>
      <c r="S506" s="108"/>
      <c r="T506" s="111"/>
      <c r="U506" s="12"/>
    </row>
    <row r="507" spans="1:21" x14ac:dyDescent="0.3">
      <c r="A507" s="2"/>
      <c r="B507" s="2"/>
      <c r="C507" s="2"/>
      <c r="D507" s="2"/>
      <c r="E507" s="11"/>
      <c r="F507" s="11"/>
      <c r="G507" s="2"/>
      <c r="H507" s="13"/>
      <c r="I507" s="13"/>
      <c r="J507" s="13"/>
      <c r="K507" s="6"/>
      <c r="L507" s="6"/>
      <c r="M507" s="6"/>
      <c r="N507" s="6"/>
      <c r="O507" s="6"/>
      <c r="P507" s="6"/>
      <c r="Q507" s="6"/>
      <c r="R507" s="6"/>
      <c r="S507" s="108"/>
      <c r="T507" s="111"/>
      <c r="U507" s="12"/>
    </row>
    <row r="508" spans="1:21" x14ac:dyDescent="0.3">
      <c r="A508" s="2"/>
      <c r="B508" s="2"/>
      <c r="C508" s="2"/>
      <c r="D508" s="2"/>
      <c r="E508" s="11"/>
      <c r="F508" s="11"/>
      <c r="G508" s="2"/>
      <c r="H508" s="13"/>
      <c r="I508" s="13"/>
      <c r="J508" s="13"/>
      <c r="K508" s="6"/>
      <c r="L508" s="6"/>
      <c r="M508" s="6"/>
      <c r="N508" s="6"/>
      <c r="O508" s="6"/>
      <c r="P508" s="6"/>
      <c r="Q508" s="6"/>
      <c r="R508" s="6"/>
      <c r="S508" s="108"/>
      <c r="T508" s="111"/>
      <c r="U508" s="12"/>
    </row>
    <row r="509" spans="1:21" x14ac:dyDescent="0.3">
      <c r="A509" s="2"/>
      <c r="B509" s="2"/>
      <c r="C509" s="2"/>
      <c r="D509" s="2"/>
      <c r="E509" s="11"/>
      <c r="F509" s="11"/>
      <c r="G509" s="2"/>
      <c r="H509" s="13"/>
      <c r="I509" s="13"/>
      <c r="J509" s="13"/>
      <c r="K509" s="6"/>
      <c r="L509" s="6"/>
      <c r="M509" s="6"/>
      <c r="N509" s="6"/>
      <c r="O509" s="6"/>
      <c r="P509" s="6"/>
      <c r="Q509" s="6"/>
      <c r="R509" s="6"/>
      <c r="S509" s="108"/>
      <c r="T509" s="111"/>
      <c r="U509" s="12"/>
    </row>
    <row r="510" spans="1:21" x14ac:dyDescent="0.3">
      <c r="A510" s="2"/>
      <c r="B510" s="2"/>
      <c r="C510" s="2"/>
      <c r="D510" s="2"/>
      <c r="E510" s="11"/>
      <c r="F510" s="11"/>
      <c r="G510" s="2"/>
      <c r="H510" s="13"/>
      <c r="I510" s="13"/>
      <c r="J510" s="13"/>
      <c r="K510" s="6"/>
      <c r="L510" s="6"/>
      <c r="M510" s="6"/>
      <c r="N510" s="6"/>
      <c r="O510" s="6"/>
      <c r="P510" s="6"/>
      <c r="Q510" s="6"/>
      <c r="R510" s="6"/>
      <c r="S510" s="108"/>
      <c r="T510" s="111"/>
      <c r="U510" s="12"/>
    </row>
    <row r="511" spans="1:21" x14ac:dyDescent="0.3">
      <c r="A511" s="2"/>
      <c r="B511" s="2"/>
      <c r="C511" s="2"/>
      <c r="D511" s="2"/>
      <c r="E511" s="11"/>
      <c r="F511" s="11"/>
      <c r="G511" s="2"/>
      <c r="H511" s="13"/>
      <c r="I511" s="13"/>
      <c r="J511" s="13"/>
      <c r="K511" s="6"/>
      <c r="L511" s="6"/>
      <c r="M511" s="6"/>
      <c r="N511" s="6"/>
      <c r="O511" s="6"/>
      <c r="P511" s="6"/>
      <c r="Q511" s="6"/>
      <c r="R511" s="6"/>
      <c r="S511" s="108"/>
      <c r="T511" s="111"/>
      <c r="U511" s="12"/>
    </row>
    <row r="512" spans="1:21" x14ac:dyDescent="0.3">
      <c r="A512" s="2"/>
      <c r="B512" s="2"/>
      <c r="C512" s="2"/>
      <c r="D512" s="2"/>
      <c r="E512" s="11"/>
      <c r="F512" s="11"/>
      <c r="G512" s="2"/>
      <c r="H512" s="13"/>
      <c r="I512" s="13"/>
      <c r="J512" s="13"/>
      <c r="K512" s="6"/>
      <c r="L512" s="6"/>
      <c r="M512" s="6"/>
      <c r="N512" s="6"/>
      <c r="O512" s="6"/>
      <c r="P512" s="6"/>
      <c r="Q512" s="6"/>
      <c r="R512" s="6"/>
      <c r="S512" s="108"/>
      <c r="T512" s="111"/>
      <c r="U512" s="12"/>
    </row>
    <row r="513" spans="1:21" x14ac:dyDescent="0.3">
      <c r="A513" s="2"/>
      <c r="B513" s="2"/>
      <c r="C513" s="2"/>
      <c r="D513" s="2"/>
      <c r="E513" s="11"/>
      <c r="F513" s="11"/>
      <c r="G513" s="2"/>
      <c r="H513" s="13"/>
      <c r="I513" s="13"/>
      <c r="J513" s="13"/>
      <c r="K513" s="6"/>
      <c r="L513" s="6"/>
      <c r="M513" s="6"/>
      <c r="N513" s="6"/>
      <c r="O513" s="6"/>
      <c r="P513" s="6"/>
      <c r="Q513" s="6"/>
      <c r="R513" s="6"/>
      <c r="S513" s="108"/>
      <c r="T513" s="111"/>
      <c r="U513" s="12"/>
    </row>
    <row r="514" spans="1:21" x14ac:dyDescent="0.3">
      <c r="A514" s="2"/>
      <c r="B514" s="2"/>
      <c r="C514" s="2"/>
      <c r="D514" s="2"/>
      <c r="E514" s="11"/>
      <c r="F514" s="11"/>
      <c r="G514" s="2"/>
      <c r="H514" s="13"/>
      <c r="I514" s="13"/>
      <c r="J514" s="13"/>
      <c r="K514" s="6"/>
      <c r="L514" s="6"/>
      <c r="M514" s="6"/>
      <c r="N514" s="6"/>
      <c r="O514" s="6"/>
      <c r="P514" s="6"/>
      <c r="Q514" s="6"/>
      <c r="R514" s="6"/>
      <c r="S514" s="108"/>
      <c r="T514" s="111"/>
      <c r="U514" s="12"/>
    </row>
    <row r="515" spans="1:21" x14ac:dyDescent="0.3">
      <c r="A515" s="2"/>
      <c r="B515" s="2"/>
      <c r="C515" s="2"/>
      <c r="D515" s="2"/>
      <c r="E515" s="11"/>
      <c r="F515" s="11"/>
      <c r="G515" s="2"/>
      <c r="H515" s="13"/>
      <c r="I515" s="13"/>
      <c r="J515" s="13"/>
      <c r="K515" s="6"/>
      <c r="L515" s="6"/>
      <c r="M515" s="6"/>
      <c r="N515" s="6"/>
      <c r="O515" s="6"/>
      <c r="P515" s="6"/>
      <c r="Q515" s="6"/>
      <c r="R515" s="6"/>
      <c r="S515" s="108"/>
      <c r="T515" s="111"/>
      <c r="U515" s="12"/>
    </row>
    <row r="516" spans="1:21" x14ac:dyDescent="0.3">
      <c r="A516" s="2"/>
      <c r="B516" s="2"/>
      <c r="C516" s="2"/>
      <c r="D516" s="2"/>
      <c r="E516" s="11"/>
      <c r="F516" s="11"/>
      <c r="G516" s="2"/>
      <c r="H516" s="13"/>
      <c r="I516" s="13"/>
      <c r="J516" s="13"/>
      <c r="K516" s="6"/>
      <c r="L516" s="6"/>
      <c r="M516" s="6"/>
      <c r="N516" s="6"/>
      <c r="O516" s="6"/>
      <c r="P516" s="6"/>
      <c r="Q516" s="6"/>
      <c r="R516" s="6"/>
      <c r="S516" s="108"/>
      <c r="T516" s="111"/>
      <c r="U516" s="12"/>
    </row>
    <row r="517" spans="1:21" x14ac:dyDescent="0.3">
      <c r="A517" s="2"/>
      <c r="B517" s="2"/>
      <c r="C517" s="2"/>
      <c r="D517" s="2"/>
      <c r="E517" s="11"/>
      <c r="F517" s="11"/>
      <c r="G517" s="2"/>
      <c r="H517" s="13"/>
      <c r="I517" s="13"/>
      <c r="J517" s="13"/>
      <c r="K517" s="6"/>
      <c r="L517" s="6"/>
      <c r="M517" s="6"/>
      <c r="N517" s="6"/>
      <c r="O517" s="6"/>
      <c r="P517" s="6"/>
      <c r="Q517" s="6"/>
      <c r="R517" s="6"/>
      <c r="S517" s="108"/>
      <c r="T517" s="111"/>
      <c r="U517" s="12"/>
    </row>
    <row r="518" spans="1:21" x14ac:dyDescent="0.3">
      <c r="A518" s="2"/>
      <c r="B518" s="2"/>
      <c r="C518" s="2"/>
      <c r="D518" s="2"/>
      <c r="E518" s="11"/>
      <c r="F518" s="11"/>
      <c r="G518" s="2"/>
      <c r="H518" s="13"/>
      <c r="I518" s="13"/>
      <c r="J518" s="13"/>
      <c r="K518" s="6"/>
      <c r="L518" s="6"/>
      <c r="M518" s="6"/>
      <c r="N518" s="6"/>
      <c r="O518" s="6"/>
      <c r="P518" s="6"/>
      <c r="Q518" s="6"/>
      <c r="R518" s="6"/>
      <c r="S518" s="108"/>
      <c r="T518" s="111"/>
      <c r="U518" s="12"/>
    </row>
    <row r="519" spans="1:21" x14ac:dyDescent="0.3">
      <c r="A519" s="2"/>
      <c r="B519" s="2"/>
      <c r="C519" s="2"/>
      <c r="D519" s="2"/>
      <c r="E519" s="11"/>
      <c r="F519" s="11"/>
      <c r="G519" s="2"/>
      <c r="H519" s="13"/>
      <c r="I519" s="13"/>
      <c r="J519" s="13"/>
      <c r="K519" s="6"/>
      <c r="L519" s="6"/>
      <c r="M519" s="6"/>
      <c r="N519" s="6"/>
      <c r="O519" s="6"/>
      <c r="P519" s="6"/>
      <c r="Q519" s="6"/>
      <c r="R519" s="6"/>
      <c r="S519" s="108"/>
      <c r="T519" s="111"/>
      <c r="U519" s="12"/>
    </row>
    <row r="520" spans="1:21" x14ac:dyDescent="0.3">
      <c r="A520" s="2"/>
      <c r="B520" s="2"/>
      <c r="C520" s="2"/>
      <c r="D520" s="2"/>
      <c r="E520" s="11"/>
      <c r="F520" s="11"/>
      <c r="G520" s="2"/>
      <c r="H520" s="13"/>
      <c r="I520" s="13"/>
      <c r="J520" s="13"/>
      <c r="K520" s="6"/>
      <c r="L520" s="6"/>
      <c r="M520" s="6"/>
      <c r="N520" s="6"/>
      <c r="O520" s="6"/>
      <c r="P520" s="6"/>
      <c r="Q520" s="6"/>
      <c r="R520" s="6"/>
      <c r="S520" s="108"/>
      <c r="T520" s="111"/>
      <c r="U520" s="12"/>
    </row>
    <row r="521" spans="1:21" x14ac:dyDescent="0.3">
      <c r="A521" s="2"/>
      <c r="B521" s="2"/>
      <c r="C521" s="2"/>
      <c r="D521" s="2"/>
      <c r="E521" s="11"/>
      <c r="F521" s="11"/>
      <c r="G521" s="2"/>
      <c r="H521" s="13"/>
      <c r="I521" s="13"/>
      <c r="J521" s="13"/>
      <c r="K521" s="6"/>
      <c r="L521" s="6"/>
      <c r="M521" s="6"/>
      <c r="N521" s="6"/>
      <c r="O521" s="6"/>
      <c r="P521" s="6"/>
      <c r="Q521" s="6"/>
      <c r="R521" s="6"/>
      <c r="S521" s="108"/>
      <c r="T521" s="111"/>
      <c r="U521" s="12"/>
    </row>
    <row r="522" spans="1:21" x14ac:dyDescent="0.3">
      <c r="A522" s="2"/>
      <c r="B522" s="2"/>
      <c r="C522" s="2"/>
      <c r="D522" s="2"/>
      <c r="E522" s="11"/>
      <c r="F522" s="11"/>
      <c r="G522" s="2"/>
      <c r="H522" s="13"/>
      <c r="I522" s="13"/>
      <c r="J522" s="13"/>
      <c r="K522" s="6"/>
      <c r="L522" s="6"/>
      <c r="M522" s="6"/>
      <c r="N522" s="6"/>
      <c r="O522" s="6"/>
      <c r="P522" s="6"/>
      <c r="Q522" s="6"/>
      <c r="R522" s="6"/>
      <c r="S522" s="108"/>
      <c r="T522" s="111"/>
      <c r="U522" s="12"/>
    </row>
    <row r="523" spans="1:21" x14ac:dyDescent="0.3">
      <c r="A523" s="2"/>
      <c r="B523" s="2"/>
      <c r="C523" s="2"/>
      <c r="D523" s="2"/>
      <c r="E523" s="11"/>
      <c r="F523" s="11"/>
      <c r="G523" s="2"/>
      <c r="H523" s="13"/>
      <c r="I523" s="13"/>
      <c r="J523" s="13"/>
      <c r="K523" s="6"/>
      <c r="L523" s="6"/>
      <c r="M523" s="6"/>
      <c r="N523" s="6"/>
      <c r="O523" s="6"/>
      <c r="P523" s="6"/>
      <c r="Q523" s="6"/>
      <c r="R523" s="6"/>
      <c r="S523" s="108"/>
      <c r="T523" s="111"/>
      <c r="U523" s="12"/>
    </row>
    <row r="524" spans="1:21" x14ac:dyDescent="0.3">
      <c r="A524" s="2"/>
      <c r="B524" s="2"/>
      <c r="C524" s="2"/>
      <c r="D524" s="2"/>
      <c r="E524" s="11"/>
      <c r="F524" s="11"/>
      <c r="G524" s="2"/>
      <c r="H524" s="13"/>
      <c r="I524" s="13"/>
      <c r="J524" s="13"/>
      <c r="K524" s="6"/>
      <c r="L524" s="6"/>
      <c r="M524" s="6"/>
      <c r="N524" s="6"/>
      <c r="O524" s="6"/>
      <c r="P524" s="6"/>
      <c r="Q524" s="6"/>
      <c r="R524" s="6"/>
      <c r="S524" s="108"/>
      <c r="T524" s="111"/>
      <c r="U524" s="12"/>
    </row>
  </sheetData>
  <sortState xmlns:xlrd2="http://schemas.microsoft.com/office/spreadsheetml/2017/richdata2" ref="A26:Y500">
    <sortCondition ref="E20:E500"/>
    <sortCondition ref="C20:C500"/>
    <sortCondition ref="T20:T500"/>
  </sortState>
  <phoneticPr fontId="3" type="noConversion"/>
  <conditionalFormatting sqref="D26:D1005">
    <cfRule type="duplicateValues" dxfId="1" priority="15"/>
  </conditionalFormatting>
  <conditionalFormatting sqref="A26:U505">
    <cfRule type="expression" dxfId="0" priority="17">
      <formula>#REF!&gt;0</formula>
    </cfRule>
  </conditionalFormatting>
  <pageMargins left="0.70866141732283472" right="0.70866141732283472" top="0.74803149606299213" bottom="0.74803149606299213" header="0.31496062992125984" footer="0.31496062992125984"/>
  <pageSetup paperSize="9" scale="7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53E1E-F341-493A-A2BC-0C0F3F028759}">
  <dimension ref="A1:AD296"/>
  <sheetViews>
    <sheetView zoomScale="70" zoomScaleNormal="70" workbookViewId="0">
      <selection activeCell="A4" sqref="A4:AD600"/>
    </sheetView>
  </sheetViews>
  <sheetFormatPr defaultRowHeight="16.5" x14ac:dyDescent="0.3"/>
  <cols>
    <col min="1" max="1" width="22.625" bestFit="1" customWidth="1"/>
    <col min="2" max="2" width="38.375" bestFit="1" customWidth="1"/>
    <col min="3" max="3" width="16" bestFit="1" customWidth="1"/>
    <col min="4" max="4" width="7.125" bestFit="1" customWidth="1"/>
    <col min="5" max="6" width="66.875" customWidth="1"/>
    <col min="7" max="7" width="24.25" bestFit="1" customWidth="1"/>
    <col min="8" max="8" width="17.625" bestFit="1" customWidth="1"/>
    <col min="9" max="9" width="24.25" bestFit="1" customWidth="1"/>
    <col min="10" max="10" width="17.625" bestFit="1" customWidth="1"/>
    <col min="11" max="11" width="24.25" bestFit="1" customWidth="1"/>
    <col min="12" max="12" width="17.625" bestFit="1" customWidth="1"/>
    <col min="13" max="13" width="26.75" bestFit="1" customWidth="1"/>
    <col min="14" max="14" width="39" bestFit="1" customWidth="1"/>
    <col min="15" max="15" width="26.75" bestFit="1" customWidth="1"/>
    <col min="16" max="16" width="38.5" bestFit="1" customWidth="1"/>
    <col min="17" max="17" width="26.75" bestFit="1" customWidth="1"/>
    <col min="18" max="18" width="34" bestFit="1" customWidth="1"/>
    <col min="19" max="19" width="27.25" bestFit="1" customWidth="1"/>
    <col min="20" max="20" width="17.625" bestFit="1" customWidth="1"/>
    <col min="21" max="21" width="27.25" bestFit="1" customWidth="1"/>
    <col min="22" max="22" width="17.625" bestFit="1" customWidth="1"/>
    <col min="23" max="23" width="27.25" bestFit="1" customWidth="1"/>
    <col min="24" max="24" width="17.625" bestFit="1" customWidth="1"/>
    <col min="25" max="25" width="27.25" bestFit="1" customWidth="1"/>
    <col min="26" max="26" width="17.625" bestFit="1" customWidth="1"/>
    <col min="27" max="27" width="27.25" bestFit="1" customWidth="1"/>
    <col min="28" max="28" width="23" bestFit="1" customWidth="1"/>
    <col min="29" max="29" width="27.25" bestFit="1" customWidth="1"/>
    <col min="30" max="30" width="17.625" bestFit="1" customWidth="1"/>
  </cols>
  <sheetData>
    <row r="1" spans="1:30" x14ac:dyDescent="0.3">
      <c r="A1" s="187" t="s">
        <v>11</v>
      </c>
      <c r="B1" s="187" t="s">
        <v>161</v>
      </c>
      <c r="C1" s="187" t="s">
        <v>162</v>
      </c>
      <c r="D1" s="187" t="s">
        <v>3</v>
      </c>
      <c r="E1" s="187" t="s">
        <v>163</v>
      </c>
      <c r="F1" s="187" t="s">
        <v>164</v>
      </c>
      <c r="G1" s="188" t="s">
        <v>165</v>
      </c>
      <c r="H1" s="189"/>
      <c r="I1" s="189"/>
      <c r="J1" s="189"/>
      <c r="K1" s="189"/>
      <c r="L1" s="190"/>
      <c r="M1" s="188" t="s">
        <v>166</v>
      </c>
      <c r="N1" s="189"/>
      <c r="O1" s="189"/>
      <c r="P1" s="189"/>
      <c r="Q1" s="189"/>
      <c r="R1" s="190"/>
      <c r="S1" s="188" t="s">
        <v>167</v>
      </c>
      <c r="T1" s="189"/>
      <c r="U1" s="189"/>
      <c r="V1" s="190"/>
      <c r="W1" s="188" t="s">
        <v>168</v>
      </c>
      <c r="X1" s="189"/>
      <c r="Y1" s="189"/>
      <c r="Z1" s="189"/>
      <c r="AA1" s="189"/>
      <c r="AB1" s="189"/>
      <c r="AC1" s="189"/>
      <c r="AD1" s="190"/>
    </row>
    <row r="2" spans="1:30" ht="16.5" customHeight="1" x14ac:dyDescent="0.3">
      <c r="A2" s="191"/>
      <c r="B2" s="191"/>
      <c r="C2" s="191"/>
      <c r="D2" s="191"/>
      <c r="E2" s="191"/>
      <c r="F2" s="191"/>
      <c r="G2" s="188" t="s">
        <v>169</v>
      </c>
      <c r="H2" s="190"/>
      <c r="I2" s="188" t="s">
        <v>170</v>
      </c>
      <c r="J2" s="190"/>
      <c r="K2" s="188" t="s">
        <v>171</v>
      </c>
      <c r="L2" s="190"/>
      <c r="M2" s="188" t="s">
        <v>25</v>
      </c>
      <c r="N2" s="190"/>
      <c r="O2" s="188" t="s">
        <v>144</v>
      </c>
      <c r="P2" s="190"/>
      <c r="Q2" s="188" t="s">
        <v>145</v>
      </c>
      <c r="R2" s="190"/>
      <c r="S2" s="188" t="s">
        <v>172</v>
      </c>
      <c r="T2" s="190"/>
      <c r="U2" s="188" t="s">
        <v>173</v>
      </c>
      <c r="V2" s="190"/>
      <c r="W2" s="188" t="s">
        <v>174</v>
      </c>
      <c r="X2" s="190"/>
      <c r="Y2" s="188" t="s">
        <v>175</v>
      </c>
      <c r="Z2" s="190"/>
      <c r="AA2" s="188" t="s">
        <v>176</v>
      </c>
      <c r="AB2" s="190"/>
      <c r="AC2" s="188" t="s">
        <v>177</v>
      </c>
      <c r="AD2" s="190"/>
    </row>
    <row r="3" spans="1:30" ht="16.5" customHeight="1" x14ac:dyDescent="0.3">
      <c r="A3" s="192"/>
      <c r="B3" s="192"/>
      <c r="C3" s="192"/>
      <c r="D3" s="192"/>
      <c r="E3" s="192"/>
      <c r="F3" s="192"/>
      <c r="G3" s="193" t="s">
        <v>178</v>
      </c>
      <c r="H3" s="193" t="s">
        <v>179</v>
      </c>
      <c r="I3" s="193" t="s">
        <v>178</v>
      </c>
      <c r="J3" s="193" t="s">
        <v>179</v>
      </c>
      <c r="K3" s="193" t="s">
        <v>178</v>
      </c>
      <c r="L3" s="193" t="s">
        <v>179</v>
      </c>
      <c r="M3" s="193" t="s">
        <v>180</v>
      </c>
      <c r="N3" s="193" t="s">
        <v>181</v>
      </c>
      <c r="O3" s="193" t="s">
        <v>180</v>
      </c>
      <c r="P3" s="193" t="s">
        <v>181</v>
      </c>
      <c r="Q3" s="193" t="s">
        <v>180</v>
      </c>
      <c r="R3" s="193" t="s">
        <v>181</v>
      </c>
      <c r="S3" s="193" t="s">
        <v>178</v>
      </c>
      <c r="T3" s="193" t="s">
        <v>179</v>
      </c>
      <c r="U3" s="193" t="s">
        <v>178</v>
      </c>
      <c r="V3" s="193" t="s">
        <v>179</v>
      </c>
      <c r="W3" s="193" t="s">
        <v>178</v>
      </c>
      <c r="X3" s="193" t="s">
        <v>179</v>
      </c>
      <c r="Y3" s="193" t="s">
        <v>178</v>
      </c>
      <c r="Z3" s="193" t="s">
        <v>179</v>
      </c>
      <c r="AA3" s="193" t="s">
        <v>178</v>
      </c>
      <c r="AB3" s="193" t="s">
        <v>179</v>
      </c>
      <c r="AC3" s="193" t="s">
        <v>178</v>
      </c>
      <c r="AD3" s="193" t="s">
        <v>179</v>
      </c>
    </row>
    <row r="4" spans="1:30" ht="81" x14ac:dyDescent="0.3">
      <c r="A4" s="5" t="s">
        <v>182</v>
      </c>
      <c r="B4" s="4">
        <v>10101</v>
      </c>
      <c r="C4" s="4">
        <v>2</v>
      </c>
      <c r="D4" s="4" t="s">
        <v>183</v>
      </c>
      <c r="E4" s="194" t="s">
        <v>184</v>
      </c>
      <c r="F4" s="194" t="s">
        <v>185</v>
      </c>
      <c r="G4" s="194">
        <v>23</v>
      </c>
      <c r="H4" s="194" t="s">
        <v>186</v>
      </c>
      <c r="I4" s="194">
        <v>23</v>
      </c>
      <c r="J4" s="194" t="s">
        <v>186</v>
      </c>
      <c r="K4" s="194">
        <v>45</v>
      </c>
      <c r="L4" s="194" t="s">
        <v>187</v>
      </c>
      <c r="M4" s="194">
        <v>0</v>
      </c>
      <c r="N4" s="194" t="s">
        <v>188</v>
      </c>
      <c r="O4" s="194">
        <v>3</v>
      </c>
      <c r="P4" s="194" t="s">
        <v>189</v>
      </c>
      <c r="Q4" s="194">
        <v>3</v>
      </c>
      <c r="R4" s="194" t="s">
        <v>190</v>
      </c>
      <c r="S4" s="194">
        <v>37</v>
      </c>
      <c r="T4" s="194" t="s">
        <v>187</v>
      </c>
      <c r="U4" s="194">
        <v>58</v>
      </c>
      <c r="V4" s="194" t="s">
        <v>191</v>
      </c>
      <c r="W4" s="194">
        <v>45</v>
      </c>
      <c r="X4" s="194" t="s">
        <v>191</v>
      </c>
      <c r="Y4" s="194">
        <v>48</v>
      </c>
      <c r="Z4" s="194" t="s">
        <v>191</v>
      </c>
      <c r="AA4" s="194">
        <v>32</v>
      </c>
      <c r="AB4" s="194" t="s">
        <v>187</v>
      </c>
      <c r="AC4" s="194">
        <v>62</v>
      </c>
      <c r="AD4" s="5" t="s">
        <v>192</v>
      </c>
    </row>
    <row r="5" spans="1:30" ht="81" x14ac:dyDescent="0.3">
      <c r="A5" s="5" t="s">
        <v>182</v>
      </c>
      <c r="B5" s="4">
        <v>10102</v>
      </c>
      <c r="C5" s="4">
        <v>2</v>
      </c>
      <c r="D5" s="4" t="s">
        <v>193</v>
      </c>
      <c r="E5" s="194" t="s">
        <v>194</v>
      </c>
      <c r="F5" s="194" t="s">
        <v>195</v>
      </c>
      <c r="G5" s="194">
        <v>32</v>
      </c>
      <c r="H5" s="194" t="s">
        <v>196</v>
      </c>
      <c r="I5" s="194">
        <v>31</v>
      </c>
      <c r="J5" s="194" t="s">
        <v>196</v>
      </c>
      <c r="K5" s="194">
        <v>26</v>
      </c>
      <c r="L5" s="194" t="s">
        <v>186</v>
      </c>
      <c r="M5" s="194">
        <v>0</v>
      </c>
      <c r="N5" s="194" t="s">
        <v>188</v>
      </c>
      <c r="O5" s="194">
        <v>1</v>
      </c>
      <c r="P5" s="194" t="s">
        <v>197</v>
      </c>
      <c r="Q5" s="194">
        <v>3</v>
      </c>
      <c r="R5" s="194" t="s">
        <v>190</v>
      </c>
      <c r="S5" s="194">
        <v>37</v>
      </c>
      <c r="T5" s="194" t="s">
        <v>187</v>
      </c>
      <c r="U5" s="194">
        <v>37</v>
      </c>
      <c r="V5" s="194" t="s">
        <v>187</v>
      </c>
      <c r="W5" s="194">
        <v>33</v>
      </c>
      <c r="X5" s="194" t="s">
        <v>187</v>
      </c>
      <c r="Y5" s="194">
        <v>36</v>
      </c>
      <c r="Z5" s="194" t="s">
        <v>187</v>
      </c>
      <c r="AA5" s="194">
        <v>32</v>
      </c>
      <c r="AB5" s="194" t="s">
        <v>187</v>
      </c>
      <c r="AC5" s="194">
        <v>36</v>
      </c>
      <c r="AD5" s="194" t="s">
        <v>187</v>
      </c>
    </row>
    <row r="6" spans="1:30" ht="81" x14ac:dyDescent="0.3">
      <c r="A6" s="5" t="s">
        <v>182</v>
      </c>
      <c r="B6" s="4">
        <v>10103</v>
      </c>
      <c r="C6" s="4">
        <v>2</v>
      </c>
      <c r="D6" s="4" t="s">
        <v>198</v>
      </c>
      <c r="E6" s="194" t="s">
        <v>199</v>
      </c>
      <c r="F6" s="194" t="s">
        <v>200</v>
      </c>
      <c r="G6" s="194">
        <v>77</v>
      </c>
      <c r="H6" s="194" t="s">
        <v>201</v>
      </c>
      <c r="I6" s="194">
        <v>65</v>
      </c>
      <c r="J6" s="194" t="s">
        <v>202</v>
      </c>
      <c r="K6" s="194">
        <v>76</v>
      </c>
      <c r="L6" s="194" t="s">
        <v>201</v>
      </c>
      <c r="M6" s="194">
        <v>0</v>
      </c>
      <c r="N6" s="194" t="s">
        <v>188</v>
      </c>
      <c r="O6" s="194">
        <v>5</v>
      </c>
      <c r="P6" s="194" t="s">
        <v>189</v>
      </c>
      <c r="Q6" s="194">
        <v>0</v>
      </c>
      <c r="R6" s="194" t="s">
        <v>203</v>
      </c>
      <c r="S6" s="194">
        <v>85</v>
      </c>
      <c r="T6" s="5" t="s">
        <v>192</v>
      </c>
      <c r="U6" s="194">
        <v>79</v>
      </c>
      <c r="V6" s="5" t="s">
        <v>192</v>
      </c>
      <c r="W6" s="194">
        <v>81</v>
      </c>
      <c r="X6" s="5" t="s">
        <v>192</v>
      </c>
      <c r="Y6" s="194">
        <v>85</v>
      </c>
      <c r="Z6" s="5" t="s">
        <v>192</v>
      </c>
      <c r="AA6" s="194">
        <v>80</v>
      </c>
      <c r="AB6" s="5" t="s">
        <v>192</v>
      </c>
      <c r="AC6" s="194">
        <v>87</v>
      </c>
      <c r="AD6" s="5" t="s">
        <v>192</v>
      </c>
    </row>
    <row r="7" spans="1:30" ht="94.5" x14ac:dyDescent="0.3">
      <c r="A7" s="5" t="s">
        <v>182</v>
      </c>
      <c r="B7" s="4">
        <v>10104</v>
      </c>
      <c r="C7" s="4">
        <v>2</v>
      </c>
      <c r="D7" s="4" t="s">
        <v>204</v>
      </c>
      <c r="E7" s="194" t="s">
        <v>205</v>
      </c>
      <c r="F7" s="194" t="s">
        <v>206</v>
      </c>
      <c r="G7" s="194">
        <v>81</v>
      </c>
      <c r="H7" s="194" t="s">
        <v>201</v>
      </c>
      <c r="I7" s="194">
        <v>86</v>
      </c>
      <c r="J7" s="194" t="s">
        <v>201</v>
      </c>
      <c r="K7" s="194">
        <v>76</v>
      </c>
      <c r="L7" s="194" t="s">
        <v>201</v>
      </c>
      <c r="M7" s="194">
        <v>0</v>
      </c>
      <c r="N7" s="194" t="s">
        <v>188</v>
      </c>
      <c r="O7" s="194">
        <v>1</v>
      </c>
      <c r="P7" s="194" t="s">
        <v>197</v>
      </c>
      <c r="Q7" s="194">
        <v>0</v>
      </c>
      <c r="R7" s="194" t="s">
        <v>203</v>
      </c>
      <c r="S7" s="194">
        <v>37</v>
      </c>
      <c r="T7" s="194" t="s">
        <v>187</v>
      </c>
      <c r="U7" s="194">
        <v>37</v>
      </c>
      <c r="V7" s="194" t="s">
        <v>187</v>
      </c>
      <c r="W7" s="194">
        <v>33</v>
      </c>
      <c r="X7" s="194" t="s">
        <v>187</v>
      </c>
      <c r="Y7" s="194">
        <v>36</v>
      </c>
      <c r="Z7" s="194" t="s">
        <v>187</v>
      </c>
      <c r="AA7" s="194">
        <v>32</v>
      </c>
      <c r="AB7" s="194" t="s">
        <v>187</v>
      </c>
      <c r="AC7" s="194">
        <v>36</v>
      </c>
      <c r="AD7" s="194" t="s">
        <v>187</v>
      </c>
    </row>
    <row r="8" spans="1:30" ht="81" x14ac:dyDescent="0.3">
      <c r="A8" s="5" t="s">
        <v>182</v>
      </c>
      <c r="B8" s="4">
        <v>10105</v>
      </c>
      <c r="C8" s="4">
        <v>2</v>
      </c>
      <c r="D8" s="4" t="s">
        <v>207</v>
      </c>
      <c r="E8" s="194" t="s">
        <v>184</v>
      </c>
      <c r="F8" s="194" t="s">
        <v>185</v>
      </c>
      <c r="G8" s="194">
        <v>23</v>
      </c>
      <c r="H8" s="194" t="s">
        <v>186</v>
      </c>
      <c r="I8" s="194">
        <v>23</v>
      </c>
      <c r="J8" s="194" t="s">
        <v>186</v>
      </c>
      <c r="K8" s="194">
        <v>45</v>
      </c>
      <c r="L8" s="194" t="s">
        <v>187</v>
      </c>
      <c r="M8" s="194">
        <v>0</v>
      </c>
      <c r="N8" s="194" t="s">
        <v>188</v>
      </c>
      <c r="O8" s="194">
        <v>3</v>
      </c>
      <c r="P8" s="194" t="s">
        <v>189</v>
      </c>
      <c r="Q8" s="194">
        <v>3</v>
      </c>
      <c r="R8" s="194" t="s">
        <v>190</v>
      </c>
      <c r="S8" s="194">
        <v>37</v>
      </c>
      <c r="T8" s="194" t="s">
        <v>187</v>
      </c>
      <c r="U8" s="194">
        <v>58</v>
      </c>
      <c r="V8" s="194" t="s">
        <v>191</v>
      </c>
      <c r="W8" s="194">
        <v>45</v>
      </c>
      <c r="X8" s="194" t="s">
        <v>191</v>
      </c>
      <c r="Y8" s="194">
        <v>48</v>
      </c>
      <c r="Z8" s="194" t="s">
        <v>191</v>
      </c>
      <c r="AA8" s="194">
        <v>32</v>
      </c>
      <c r="AB8" s="194" t="s">
        <v>187</v>
      </c>
      <c r="AC8" s="194">
        <v>62</v>
      </c>
      <c r="AD8" s="5" t="s">
        <v>192</v>
      </c>
    </row>
    <row r="9" spans="1:30" ht="81" x14ac:dyDescent="0.3">
      <c r="A9" s="5" t="s">
        <v>182</v>
      </c>
      <c r="B9" s="4">
        <v>10106</v>
      </c>
      <c r="C9" s="4">
        <v>2</v>
      </c>
      <c r="D9" s="4" t="s">
        <v>208</v>
      </c>
      <c r="E9" s="194" t="s">
        <v>194</v>
      </c>
      <c r="F9" s="194" t="s">
        <v>195</v>
      </c>
      <c r="G9" s="194">
        <v>32</v>
      </c>
      <c r="H9" s="194" t="s">
        <v>196</v>
      </c>
      <c r="I9" s="194">
        <v>31</v>
      </c>
      <c r="J9" s="194" t="s">
        <v>196</v>
      </c>
      <c r="K9" s="194">
        <v>26</v>
      </c>
      <c r="L9" s="194" t="s">
        <v>186</v>
      </c>
      <c r="M9" s="194">
        <v>0</v>
      </c>
      <c r="N9" s="194" t="s">
        <v>188</v>
      </c>
      <c r="O9" s="194">
        <v>1</v>
      </c>
      <c r="P9" s="194" t="s">
        <v>197</v>
      </c>
      <c r="Q9" s="194">
        <v>3</v>
      </c>
      <c r="R9" s="194" t="s">
        <v>190</v>
      </c>
      <c r="S9" s="194">
        <v>37</v>
      </c>
      <c r="T9" s="194" t="s">
        <v>187</v>
      </c>
      <c r="U9" s="194">
        <v>37</v>
      </c>
      <c r="V9" s="194" t="s">
        <v>187</v>
      </c>
      <c r="W9" s="194">
        <v>33</v>
      </c>
      <c r="X9" s="194" t="s">
        <v>187</v>
      </c>
      <c r="Y9" s="194">
        <v>36</v>
      </c>
      <c r="Z9" s="194" t="s">
        <v>187</v>
      </c>
      <c r="AA9" s="194">
        <v>32</v>
      </c>
      <c r="AB9" s="194" t="s">
        <v>187</v>
      </c>
      <c r="AC9" s="194">
        <v>36</v>
      </c>
      <c r="AD9" s="194" t="s">
        <v>187</v>
      </c>
    </row>
    <row r="10" spans="1:30" ht="81" x14ac:dyDescent="0.3">
      <c r="A10" s="5" t="s">
        <v>182</v>
      </c>
      <c r="B10" s="4">
        <v>10107</v>
      </c>
      <c r="C10" s="4">
        <v>2</v>
      </c>
      <c r="D10" s="4" t="s">
        <v>209</v>
      </c>
      <c r="E10" s="194" t="s">
        <v>199</v>
      </c>
      <c r="F10" s="194" t="s">
        <v>200</v>
      </c>
      <c r="G10" s="194">
        <v>77</v>
      </c>
      <c r="H10" s="194" t="s">
        <v>201</v>
      </c>
      <c r="I10" s="194">
        <v>65</v>
      </c>
      <c r="J10" s="194" t="s">
        <v>202</v>
      </c>
      <c r="K10" s="194">
        <v>76</v>
      </c>
      <c r="L10" s="194" t="s">
        <v>201</v>
      </c>
      <c r="M10" s="194">
        <v>0</v>
      </c>
      <c r="N10" s="194" t="s">
        <v>188</v>
      </c>
      <c r="O10" s="194">
        <v>5</v>
      </c>
      <c r="P10" s="194" t="s">
        <v>189</v>
      </c>
      <c r="Q10" s="194">
        <v>0</v>
      </c>
      <c r="R10" s="194" t="s">
        <v>203</v>
      </c>
      <c r="S10" s="194">
        <v>85</v>
      </c>
      <c r="T10" s="5" t="s">
        <v>192</v>
      </c>
      <c r="U10" s="194">
        <v>79</v>
      </c>
      <c r="V10" s="5" t="s">
        <v>192</v>
      </c>
      <c r="W10" s="194">
        <v>81</v>
      </c>
      <c r="X10" s="5" t="s">
        <v>192</v>
      </c>
      <c r="Y10" s="194">
        <v>85</v>
      </c>
      <c r="Z10" s="5" t="s">
        <v>192</v>
      </c>
      <c r="AA10" s="194">
        <v>80</v>
      </c>
      <c r="AB10" s="5" t="s">
        <v>192</v>
      </c>
      <c r="AC10" s="194">
        <v>87</v>
      </c>
      <c r="AD10" s="5" t="s">
        <v>192</v>
      </c>
    </row>
    <row r="11" spans="1:30" ht="94.5" x14ac:dyDescent="0.3">
      <c r="A11" s="5" t="s">
        <v>182</v>
      </c>
      <c r="B11" s="4">
        <v>10108</v>
      </c>
      <c r="C11" s="4">
        <v>2</v>
      </c>
      <c r="D11" s="4" t="s">
        <v>210</v>
      </c>
      <c r="E11" s="194" t="s">
        <v>205</v>
      </c>
      <c r="F11" s="194" t="s">
        <v>206</v>
      </c>
      <c r="G11" s="194">
        <v>81</v>
      </c>
      <c r="H11" s="194" t="s">
        <v>201</v>
      </c>
      <c r="I11" s="194">
        <v>86</v>
      </c>
      <c r="J11" s="194" t="s">
        <v>201</v>
      </c>
      <c r="K11" s="194">
        <v>76</v>
      </c>
      <c r="L11" s="194" t="s">
        <v>201</v>
      </c>
      <c r="M11" s="194">
        <v>0</v>
      </c>
      <c r="N11" s="194" t="s">
        <v>188</v>
      </c>
      <c r="O11" s="194">
        <v>1</v>
      </c>
      <c r="P11" s="194" t="s">
        <v>197</v>
      </c>
      <c r="Q11" s="194">
        <v>0</v>
      </c>
      <c r="R11" s="194" t="s">
        <v>203</v>
      </c>
      <c r="S11" s="194">
        <v>37</v>
      </c>
      <c r="T11" s="194" t="s">
        <v>187</v>
      </c>
      <c r="U11" s="194">
        <v>37</v>
      </c>
      <c r="V11" s="194" t="s">
        <v>187</v>
      </c>
      <c r="W11" s="194">
        <v>33</v>
      </c>
      <c r="X11" s="194" t="s">
        <v>187</v>
      </c>
      <c r="Y11" s="194">
        <v>36</v>
      </c>
      <c r="Z11" s="194" t="s">
        <v>187</v>
      </c>
      <c r="AA11" s="194">
        <v>32</v>
      </c>
      <c r="AB11" s="194" t="s">
        <v>187</v>
      </c>
      <c r="AC11" s="194">
        <v>36</v>
      </c>
      <c r="AD11" s="194" t="s">
        <v>187</v>
      </c>
    </row>
    <row r="12" spans="1:30" ht="81" x14ac:dyDescent="0.3">
      <c r="A12" s="5" t="s">
        <v>182</v>
      </c>
      <c r="B12" s="4">
        <v>10109</v>
      </c>
      <c r="C12" s="4">
        <v>2</v>
      </c>
      <c r="D12" s="4" t="s">
        <v>211</v>
      </c>
      <c r="E12" s="194" t="s">
        <v>184</v>
      </c>
      <c r="F12" s="194" t="s">
        <v>185</v>
      </c>
      <c r="G12" s="194">
        <v>23</v>
      </c>
      <c r="H12" s="194" t="s">
        <v>186</v>
      </c>
      <c r="I12" s="194">
        <v>23</v>
      </c>
      <c r="J12" s="194" t="s">
        <v>186</v>
      </c>
      <c r="K12" s="194">
        <v>45</v>
      </c>
      <c r="L12" s="194" t="s">
        <v>187</v>
      </c>
      <c r="M12" s="194">
        <v>0</v>
      </c>
      <c r="N12" s="194" t="s">
        <v>188</v>
      </c>
      <c r="O12" s="194">
        <v>3</v>
      </c>
      <c r="P12" s="194" t="s">
        <v>189</v>
      </c>
      <c r="Q12" s="194">
        <v>3</v>
      </c>
      <c r="R12" s="194" t="s">
        <v>190</v>
      </c>
      <c r="S12" s="194">
        <v>37</v>
      </c>
      <c r="T12" s="194" t="s">
        <v>187</v>
      </c>
      <c r="U12" s="194">
        <v>58</v>
      </c>
      <c r="V12" s="194" t="s">
        <v>191</v>
      </c>
      <c r="W12" s="194">
        <v>45</v>
      </c>
      <c r="X12" s="194" t="s">
        <v>191</v>
      </c>
      <c r="Y12" s="194">
        <v>48</v>
      </c>
      <c r="Z12" s="194" t="s">
        <v>191</v>
      </c>
      <c r="AA12" s="194">
        <v>32</v>
      </c>
      <c r="AB12" s="194" t="s">
        <v>187</v>
      </c>
      <c r="AC12" s="194">
        <v>62</v>
      </c>
      <c r="AD12" s="5" t="s">
        <v>192</v>
      </c>
    </row>
    <row r="13" spans="1:30" ht="81" x14ac:dyDescent="0.3">
      <c r="A13" s="5" t="s">
        <v>182</v>
      </c>
      <c r="B13" s="4">
        <v>10110</v>
      </c>
      <c r="C13" s="4">
        <v>2</v>
      </c>
      <c r="D13" s="4" t="s">
        <v>212</v>
      </c>
      <c r="E13" s="194" t="s">
        <v>194</v>
      </c>
      <c r="F13" s="194" t="s">
        <v>195</v>
      </c>
      <c r="G13" s="194">
        <v>32</v>
      </c>
      <c r="H13" s="194" t="s">
        <v>196</v>
      </c>
      <c r="I13" s="194">
        <v>31</v>
      </c>
      <c r="J13" s="194" t="s">
        <v>196</v>
      </c>
      <c r="K13" s="194">
        <v>26</v>
      </c>
      <c r="L13" s="194" t="s">
        <v>186</v>
      </c>
      <c r="M13" s="194">
        <v>0</v>
      </c>
      <c r="N13" s="194" t="s">
        <v>188</v>
      </c>
      <c r="O13" s="194">
        <v>1</v>
      </c>
      <c r="P13" s="194" t="s">
        <v>197</v>
      </c>
      <c r="Q13" s="194">
        <v>3</v>
      </c>
      <c r="R13" s="194" t="s">
        <v>190</v>
      </c>
      <c r="S13" s="194">
        <v>37</v>
      </c>
      <c r="T13" s="194" t="s">
        <v>187</v>
      </c>
      <c r="U13" s="194">
        <v>37</v>
      </c>
      <c r="V13" s="194" t="s">
        <v>187</v>
      </c>
      <c r="W13" s="194">
        <v>33</v>
      </c>
      <c r="X13" s="194" t="s">
        <v>187</v>
      </c>
      <c r="Y13" s="194">
        <v>36</v>
      </c>
      <c r="Z13" s="194" t="s">
        <v>187</v>
      </c>
      <c r="AA13" s="194">
        <v>32</v>
      </c>
      <c r="AB13" s="194" t="s">
        <v>187</v>
      </c>
      <c r="AC13" s="194">
        <v>36</v>
      </c>
      <c r="AD13" s="194" t="s">
        <v>187</v>
      </c>
    </row>
    <row r="14" spans="1:30" ht="81" x14ac:dyDescent="0.3">
      <c r="A14" s="5" t="s">
        <v>182</v>
      </c>
      <c r="B14" s="4">
        <v>10111</v>
      </c>
      <c r="C14" s="4">
        <v>2</v>
      </c>
      <c r="D14" s="4" t="s">
        <v>213</v>
      </c>
      <c r="E14" s="194" t="s">
        <v>199</v>
      </c>
      <c r="F14" s="194" t="s">
        <v>200</v>
      </c>
      <c r="G14" s="194">
        <v>77</v>
      </c>
      <c r="H14" s="194" t="s">
        <v>201</v>
      </c>
      <c r="I14" s="194">
        <v>65</v>
      </c>
      <c r="J14" s="194" t="s">
        <v>202</v>
      </c>
      <c r="K14" s="194">
        <v>76</v>
      </c>
      <c r="L14" s="194" t="s">
        <v>201</v>
      </c>
      <c r="M14" s="194">
        <v>0</v>
      </c>
      <c r="N14" s="194" t="s">
        <v>188</v>
      </c>
      <c r="O14" s="194">
        <v>5</v>
      </c>
      <c r="P14" s="194" t="s">
        <v>189</v>
      </c>
      <c r="Q14" s="194">
        <v>0</v>
      </c>
      <c r="R14" s="194" t="s">
        <v>203</v>
      </c>
      <c r="S14" s="194">
        <v>85</v>
      </c>
      <c r="T14" s="5" t="s">
        <v>192</v>
      </c>
      <c r="U14" s="194">
        <v>79</v>
      </c>
      <c r="V14" s="5" t="s">
        <v>192</v>
      </c>
      <c r="W14" s="194">
        <v>81</v>
      </c>
      <c r="X14" s="5" t="s">
        <v>192</v>
      </c>
      <c r="Y14" s="194">
        <v>85</v>
      </c>
      <c r="Z14" s="5" t="s">
        <v>192</v>
      </c>
      <c r="AA14" s="194">
        <v>80</v>
      </c>
      <c r="AB14" s="5" t="s">
        <v>192</v>
      </c>
      <c r="AC14" s="194">
        <v>87</v>
      </c>
      <c r="AD14" s="5" t="s">
        <v>192</v>
      </c>
    </row>
    <row r="15" spans="1:30" ht="94.5" x14ac:dyDescent="0.3">
      <c r="A15" s="5" t="s">
        <v>182</v>
      </c>
      <c r="B15" s="4">
        <v>10112</v>
      </c>
      <c r="C15" s="4">
        <v>2</v>
      </c>
      <c r="D15" s="4" t="s">
        <v>214</v>
      </c>
      <c r="E15" s="194" t="s">
        <v>205</v>
      </c>
      <c r="F15" s="194" t="s">
        <v>206</v>
      </c>
      <c r="G15" s="194">
        <v>81</v>
      </c>
      <c r="H15" s="194" t="s">
        <v>201</v>
      </c>
      <c r="I15" s="194">
        <v>86</v>
      </c>
      <c r="J15" s="194" t="s">
        <v>201</v>
      </c>
      <c r="K15" s="194">
        <v>76</v>
      </c>
      <c r="L15" s="194" t="s">
        <v>201</v>
      </c>
      <c r="M15" s="194">
        <v>0</v>
      </c>
      <c r="N15" s="194" t="s">
        <v>188</v>
      </c>
      <c r="O15" s="194">
        <v>1</v>
      </c>
      <c r="P15" s="194" t="s">
        <v>197</v>
      </c>
      <c r="Q15" s="194">
        <v>0</v>
      </c>
      <c r="R15" s="194" t="s">
        <v>203</v>
      </c>
      <c r="S15" s="194">
        <v>37</v>
      </c>
      <c r="T15" s="194" t="s">
        <v>187</v>
      </c>
      <c r="U15" s="194">
        <v>37</v>
      </c>
      <c r="V15" s="194" t="s">
        <v>187</v>
      </c>
      <c r="W15" s="194">
        <v>33</v>
      </c>
      <c r="X15" s="194" t="s">
        <v>187</v>
      </c>
      <c r="Y15" s="194">
        <v>36</v>
      </c>
      <c r="Z15" s="194" t="s">
        <v>187</v>
      </c>
      <c r="AA15" s="194">
        <v>32</v>
      </c>
      <c r="AB15" s="194" t="s">
        <v>187</v>
      </c>
      <c r="AC15" s="194">
        <v>36</v>
      </c>
      <c r="AD15" s="194" t="s">
        <v>187</v>
      </c>
    </row>
    <row r="16" spans="1:30" ht="81" x14ac:dyDescent="0.3">
      <c r="A16" s="5" t="s">
        <v>182</v>
      </c>
      <c r="B16" s="4">
        <v>10113</v>
      </c>
      <c r="C16" s="4">
        <v>2</v>
      </c>
      <c r="D16" s="4" t="s">
        <v>215</v>
      </c>
      <c r="E16" s="194" t="s">
        <v>184</v>
      </c>
      <c r="F16" s="194" t="s">
        <v>185</v>
      </c>
      <c r="G16" s="194">
        <v>23</v>
      </c>
      <c r="H16" s="194" t="s">
        <v>186</v>
      </c>
      <c r="I16" s="194">
        <v>23</v>
      </c>
      <c r="J16" s="194" t="s">
        <v>186</v>
      </c>
      <c r="K16" s="194">
        <v>45</v>
      </c>
      <c r="L16" s="194" t="s">
        <v>187</v>
      </c>
      <c r="M16" s="194">
        <v>0</v>
      </c>
      <c r="N16" s="194" t="s">
        <v>188</v>
      </c>
      <c r="O16" s="194">
        <v>3</v>
      </c>
      <c r="P16" s="194" t="s">
        <v>189</v>
      </c>
      <c r="Q16" s="194">
        <v>3</v>
      </c>
      <c r="R16" s="194" t="s">
        <v>190</v>
      </c>
      <c r="S16" s="194">
        <v>37</v>
      </c>
      <c r="T16" s="194" t="s">
        <v>187</v>
      </c>
      <c r="U16" s="194">
        <v>58</v>
      </c>
      <c r="V16" s="194" t="s">
        <v>191</v>
      </c>
      <c r="W16" s="194">
        <v>45</v>
      </c>
      <c r="X16" s="194" t="s">
        <v>191</v>
      </c>
      <c r="Y16" s="194">
        <v>48</v>
      </c>
      <c r="Z16" s="194" t="s">
        <v>191</v>
      </c>
      <c r="AA16" s="194">
        <v>32</v>
      </c>
      <c r="AB16" s="194" t="s">
        <v>187</v>
      </c>
      <c r="AC16" s="194">
        <v>62</v>
      </c>
      <c r="AD16" s="5" t="s">
        <v>192</v>
      </c>
    </row>
    <row r="17" spans="1:30" ht="81" x14ac:dyDescent="0.3">
      <c r="A17" s="5" t="s">
        <v>182</v>
      </c>
      <c r="B17" s="4">
        <v>10114</v>
      </c>
      <c r="C17" s="4">
        <v>2</v>
      </c>
      <c r="D17" s="4" t="s">
        <v>216</v>
      </c>
      <c r="E17" s="194" t="s">
        <v>194</v>
      </c>
      <c r="F17" s="194" t="s">
        <v>195</v>
      </c>
      <c r="G17" s="194">
        <v>32</v>
      </c>
      <c r="H17" s="194" t="s">
        <v>196</v>
      </c>
      <c r="I17" s="194">
        <v>31</v>
      </c>
      <c r="J17" s="194" t="s">
        <v>196</v>
      </c>
      <c r="K17" s="194">
        <v>26</v>
      </c>
      <c r="L17" s="194" t="s">
        <v>186</v>
      </c>
      <c r="M17" s="194">
        <v>0</v>
      </c>
      <c r="N17" s="194" t="s">
        <v>188</v>
      </c>
      <c r="O17" s="194">
        <v>1</v>
      </c>
      <c r="P17" s="194" t="s">
        <v>197</v>
      </c>
      <c r="Q17" s="194">
        <v>3</v>
      </c>
      <c r="R17" s="194" t="s">
        <v>190</v>
      </c>
      <c r="S17" s="194">
        <v>37</v>
      </c>
      <c r="T17" s="194" t="s">
        <v>187</v>
      </c>
      <c r="U17" s="194">
        <v>37</v>
      </c>
      <c r="V17" s="194" t="s">
        <v>187</v>
      </c>
      <c r="W17" s="194">
        <v>33</v>
      </c>
      <c r="X17" s="194" t="s">
        <v>187</v>
      </c>
      <c r="Y17" s="194">
        <v>36</v>
      </c>
      <c r="Z17" s="194" t="s">
        <v>187</v>
      </c>
      <c r="AA17" s="194">
        <v>32</v>
      </c>
      <c r="AB17" s="194" t="s">
        <v>187</v>
      </c>
      <c r="AC17" s="194">
        <v>36</v>
      </c>
      <c r="AD17" s="194" t="s">
        <v>187</v>
      </c>
    </row>
    <row r="18" spans="1:30" ht="81" x14ac:dyDescent="0.3">
      <c r="A18" s="5" t="s">
        <v>182</v>
      </c>
      <c r="B18" s="4">
        <v>10115</v>
      </c>
      <c r="C18" s="4">
        <v>2</v>
      </c>
      <c r="D18" s="4" t="s">
        <v>217</v>
      </c>
      <c r="E18" s="194" t="s">
        <v>199</v>
      </c>
      <c r="F18" s="194" t="s">
        <v>200</v>
      </c>
      <c r="G18" s="194">
        <v>77</v>
      </c>
      <c r="H18" s="194" t="s">
        <v>201</v>
      </c>
      <c r="I18" s="194">
        <v>65</v>
      </c>
      <c r="J18" s="194" t="s">
        <v>202</v>
      </c>
      <c r="K18" s="194">
        <v>76</v>
      </c>
      <c r="L18" s="194" t="s">
        <v>201</v>
      </c>
      <c r="M18" s="194">
        <v>0</v>
      </c>
      <c r="N18" s="194" t="s">
        <v>188</v>
      </c>
      <c r="O18" s="194">
        <v>5</v>
      </c>
      <c r="P18" s="194" t="s">
        <v>189</v>
      </c>
      <c r="Q18" s="194">
        <v>0</v>
      </c>
      <c r="R18" s="194" t="s">
        <v>203</v>
      </c>
      <c r="S18" s="194">
        <v>85</v>
      </c>
      <c r="T18" s="5" t="s">
        <v>192</v>
      </c>
      <c r="U18" s="194">
        <v>79</v>
      </c>
      <c r="V18" s="5" t="s">
        <v>192</v>
      </c>
      <c r="W18" s="194">
        <v>81</v>
      </c>
      <c r="X18" s="5" t="s">
        <v>192</v>
      </c>
      <c r="Y18" s="194">
        <v>85</v>
      </c>
      <c r="Z18" s="5" t="s">
        <v>192</v>
      </c>
      <c r="AA18" s="194">
        <v>80</v>
      </c>
      <c r="AB18" s="5" t="s">
        <v>192</v>
      </c>
      <c r="AC18" s="194">
        <v>87</v>
      </c>
      <c r="AD18" s="5" t="s">
        <v>192</v>
      </c>
    </row>
    <row r="19" spans="1:30" ht="94.5" x14ac:dyDescent="0.3">
      <c r="A19" s="5" t="s">
        <v>182</v>
      </c>
      <c r="B19" s="4">
        <v>10116</v>
      </c>
      <c r="C19" s="4">
        <v>1</v>
      </c>
      <c r="D19" s="4" t="s">
        <v>218</v>
      </c>
      <c r="E19" s="194" t="s">
        <v>205</v>
      </c>
      <c r="F19" s="194" t="s">
        <v>206</v>
      </c>
      <c r="G19" s="194">
        <v>81</v>
      </c>
      <c r="H19" s="194" t="s">
        <v>201</v>
      </c>
      <c r="I19" s="194">
        <v>86</v>
      </c>
      <c r="J19" s="194" t="s">
        <v>201</v>
      </c>
      <c r="K19" s="194">
        <v>76</v>
      </c>
      <c r="L19" s="194" t="s">
        <v>201</v>
      </c>
      <c r="M19" s="194">
        <v>0</v>
      </c>
      <c r="N19" s="194" t="s">
        <v>188</v>
      </c>
      <c r="O19" s="194">
        <v>1</v>
      </c>
      <c r="P19" s="194" t="s">
        <v>197</v>
      </c>
      <c r="Q19" s="194">
        <v>0</v>
      </c>
      <c r="R19" s="194" t="s">
        <v>203</v>
      </c>
      <c r="S19" s="194">
        <v>37</v>
      </c>
      <c r="T19" s="194" t="s">
        <v>187</v>
      </c>
      <c r="U19" s="194">
        <v>37</v>
      </c>
      <c r="V19" s="194" t="s">
        <v>187</v>
      </c>
      <c r="W19" s="194">
        <v>33</v>
      </c>
      <c r="X19" s="194" t="s">
        <v>187</v>
      </c>
      <c r="Y19" s="194">
        <v>36</v>
      </c>
      <c r="Z19" s="194" t="s">
        <v>187</v>
      </c>
      <c r="AA19" s="194">
        <v>32</v>
      </c>
      <c r="AB19" s="194" t="s">
        <v>187</v>
      </c>
      <c r="AC19" s="194">
        <v>36</v>
      </c>
      <c r="AD19" s="194" t="s">
        <v>187</v>
      </c>
    </row>
    <row r="20" spans="1:30" ht="81" x14ac:dyDescent="0.3">
      <c r="A20" s="5" t="s">
        <v>182</v>
      </c>
      <c r="B20" s="4">
        <v>10117</v>
      </c>
      <c r="C20" s="4">
        <v>1</v>
      </c>
      <c r="D20" s="4" t="s">
        <v>219</v>
      </c>
      <c r="E20" s="194" t="s">
        <v>184</v>
      </c>
      <c r="F20" s="194" t="s">
        <v>185</v>
      </c>
      <c r="G20" s="194">
        <v>23</v>
      </c>
      <c r="H20" s="194" t="s">
        <v>186</v>
      </c>
      <c r="I20" s="194">
        <v>23</v>
      </c>
      <c r="J20" s="194" t="s">
        <v>186</v>
      </c>
      <c r="K20" s="194">
        <v>45</v>
      </c>
      <c r="L20" s="194" t="s">
        <v>187</v>
      </c>
      <c r="M20" s="194">
        <v>0</v>
      </c>
      <c r="N20" s="194" t="s">
        <v>188</v>
      </c>
      <c r="O20" s="194">
        <v>3</v>
      </c>
      <c r="P20" s="194" t="s">
        <v>189</v>
      </c>
      <c r="Q20" s="194">
        <v>3</v>
      </c>
      <c r="R20" s="194" t="s">
        <v>190</v>
      </c>
      <c r="S20" s="194">
        <v>37</v>
      </c>
      <c r="T20" s="194" t="s">
        <v>187</v>
      </c>
      <c r="U20" s="194">
        <v>58</v>
      </c>
      <c r="V20" s="194" t="s">
        <v>191</v>
      </c>
      <c r="W20" s="194">
        <v>45</v>
      </c>
      <c r="X20" s="194" t="s">
        <v>191</v>
      </c>
      <c r="Y20" s="194">
        <v>48</v>
      </c>
      <c r="Z20" s="194" t="s">
        <v>191</v>
      </c>
      <c r="AA20" s="194">
        <v>32</v>
      </c>
      <c r="AB20" s="194" t="s">
        <v>187</v>
      </c>
      <c r="AC20" s="194">
        <v>62</v>
      </c>
      <c r="AD20" s="5" t="s">
        <v>192</v>
      </c>
    </row>
    <row r="21" spans="1:30" ht="81" x14ac:dyDescent="0.3">
      <c r="A21" s="5" t="s">
        <v>182</v>
      </c>
      <c r="B21" s="4">
        <v>10118</v>
      </c>
      <c r="C21" s="4">
        <v>1</v>
      </c>
      <c r="D21" s="4" t="s">
        <v>220</v>
      </c>
      <c r="E21" s="194" t="s">
        <v>194</v>
      </c>
      <c r="F21" s="194" t="s">
        <v>195</v>
      </c>
      <c r="G21" s="194">
        <v>32</v>
      </c>
      <c r="H21" s="194" t="s">
        <v>196</v>
      </c>
      <c r="I21" s="194">
        <v>31</v>
      </c>
      <c r="J21" s="194" t="s">
        <v>196</v>
      </c>
      <c r="K21" s="194">
        <v>26</v>
      </c>
      <c r="L21" s="194" t="s">
        <v>186</v>
      </c>
      <c r="M21" s="194">
        <v>0</v>
      </c>
      <c r="N21" s="194" t="s">
        <v>188</v>
      </c>
      <c r="O21" s="194">
        <v>1</v>
      </c>
      <c r="P21" s="194" t="s">
        <v>197</v>
      </c>
      <c r="Q21" s="194">
        <v>3</v>
      </c>
      <c r="R21" s="194" t="s">
        <v>190</v>
      </c>
      <c r="S21" s="194">
        <v>37</v>
      </c>
      <c r="T21" s="194" t="s">
        <v>187</v>
      </c>
      <c r="U21" s="194">
        <v>37</v>
      </c>
      <c r="V21" s="194" t="s">
        <v>187</v>
      </c>
      <c r="W21" s="194">
        <v>33</v>
      </c>
      <c r="X21" s="194" t="s">
        <v>187</v>
      </c>
      <c r="Y21" s="194">
        <v>36</v>
      </c>
      <c r="Z21" s="194" t="s">
        <v>187</v>
      </c>
      <c r="AA21" s="194">
        <v>32</v>
      </c>
      <c r="AB21" s="194" t="s">
        <v>187</v>
      </c>
      <c r="AC21" s="194">
        <v>36</v>
      </c>
      <c r="AD21" s="194" t="s">
        <v>187</v>
      </c>
    </row>
    <row r="22" spans="1:30" ht="81" x14ac:dyDescent="0.3">
      <c r="A22" s="5" t="s">
        <v>182</v>
      </c>
      <c r="B22" s="4">
        <v>10119</v>
      </c>
      <c r="C22" s="4">
        <v>1</v>
      </c>
      <c r="D22" s="4" t="s">
        <v>221</v>
      </c>
      <c r="E22" s="194" t="s">
        <v>199</v>
      </c>
      <c r="F22" s="194" t="s">
        <v>200</v>
      </c>
      <c r="G22" s="194">
        <v>77</v>
      </c>
      <c r="H22" s="194" t="s">
        <v>201</v>
      </c>
      <c r="I22" s="194">
        <v>65</v>
      </c>
      <c r="J22" s="194" t="s">
        <v>202</v>
      </c>
      <c r="K22" s="194">
        <v>76</v>
      </c>
      <c r="L22" s="194" t="s">
        <v>201</v>
      </c>
      <c r="M22" s="194">
        <v>0</v>
      </c>
      <c r="N22" s="194" t="s">
        <v>188</v>
      </c>
      <c r="O22" s="194">
        <v>5</v>
      </c>
      <c r="P22" s="194" t="s">
        <v>189</v>
      </c>
      <c r="Q22" s="194">
        <v>0</v>
      </c>
      <c r="R22" s="194" t="s">
        <v>203</v>
      </c>
      <c r="S22" s="194">
        <v>85</v>
      </c>
      <c r="T22" s="5" t="s">
        <v>192</v>
      </c>
      <c r="U22" s="194">
        <v>79</v>
      </c>
      <c r="V22" s="5" t="s">
        <v>192</v>
      </c>
      <c r="W22" s="194">
        <v>81</v>
      </c>
      <c r="X22" s="5" t="s">
        <v>192</v>
      </c>
      <c r="Y22" s="194">
        <v>85</v>
      </c>
      <c r="Z22" s="5" t="s">
        <v>192</v>
      </c>
      <c r="AA22" s="194">
        <v>80</v>
      </c>
      <c r="AB22" s="5" t="s">
        <v>192</v>
      </c>
      <c r="AC22" s="194">
        <v>87</v>
      </c>
      <c r="AD22" s="5" t="s">
        <v>192</v>
      </c>
    </row>
    <row r="23" spans="1:30" ht="94.5" x14ac:dyDescent="0.3">
      <c r="A23" s="5" t="s">
        <v>182</v>
      </c>
      <c r="B23" s="4">
        <v>10120</v>
      </c>
      <c r="C23" s="4">
        <v>1</v>
      </c>
      <c r="D23" s="4" t="s">
        <v>222</v>
      </c>
      <c r="E23" s="194" t="s">
        <v>205</v>
      </c>
      <c r="F23" s="194" t="s">
        <v>206</v>
      </c>
      <c r="G23" s="194">
        <v>81</v>
      </c>
      <c r="H23" s="194" t="s">
        <v>201</v>
      </c>
      <c r="I23" s="194">
        <v>86</v>
      </c>
      <c r="J23" s="194" t="s">
        <v>201</v>
      </c>
      <c r="K23" s="194">
        <v>76</v>
      </c>
      <c r="L23" s="194" t="s">
        <v>201</v>
      </c>
      <c r="M23" s="194">
        <v>0</v>
      </c>
      <c r="N23" s="194" t="s">
        <v>188</v>
      </c>
      <c r="O23" s="194">
        <v>1</v>
      </c>
      <c r="P23" s="194" t="s">
        <v>197</v>
      </c>
      <c r="Q23" s="194">
        <v>0</v>
      </c>
      <c r="R23" s="194" t="s">
        <v>203</v>
      </c>
      <c r="S23" s="194">
        <v>37</v>
      </c>
      <c r="T23" s="194" t="s">
        <v>187</v>
      </c>
      <c r="U23" s="194">
        <v>37</v>
      </c>
      <c r="V23" s="194" t="s">
        <v>187</v>
      </c>
      <c r="W23" s="194">
        <v>33</v>
      </c>
      <c r="X23" s="194" t="s">
        <v>187</v>
      </c>
      <c r="Y23" s="194">
        <v>36</v>
      </c>
      <c r="Z23" s="194" t="s">
        <v>187</v>
      </c>
      <c r="AA23" s="194">
        <v>32</v>
      </c>
      <c r="AB23" s="194" t="s">
        <v>187</v>
      </c>
      <c r="AC23" s="194">
        <v>36</v>
      </c>
      <c r="AD23" s="194" t="s">
        <v>187</v>
      </c>
    </row>
    <row r="24" spans="1:30" ht="81" x14ac:dyDescent="0.3">
      <c r="A24" s="5" t="s">
        <v>182</v>
      </c>
      <c r="B24" s="4">
        <v>10121</v>
      </c>
      <c r="C24" s="4">
        <v>1</v>
      </c>
      <c r="D24" s="4" t="s">
        <v>223</v>
      </c>
      <c r="E24" s="194" t="s">
        <v>184</v>
      </c>
      <c r="F24" s="194" t="s">
        <v>185</v>
      </c>
      <c r="G24" s="194">
        <v>23</v>
      </c>
      <c r="H24" s="194" t="s">
        <v>186</v>
      </c>
      <c r="I24" s="194">
        <v>23</v>
      </c>
      <c r="J24" s="194" t="s">
        <v>186</v>
      </c>
      <c r="K24" s="194">
        <v>45</v>
      </c>
      <c r="L24" s="194" t="s">
        <v>187</v>
      </c>
      <c r="M24" s="194">
        <v>0</v>
      </c>
      <c r="N24" s="194" t="s">
        <v>188</v>
      </c>
      <c r="O24" s="194">
        <v>3</v>
      </c>
      <c r="P24" s="194" t="s">
        <v>189</v>
      </c>
      <c r="Q24" s="194">
        <v>3</v>
      </c>
      <c r="R24" s="194" t="s">
        <v>190</v>
      </c>
      <c r="S24" s="194">
        <v>37</v>
      </c>
      <c r="T24" s="194" t="s">
        <v>187</v>
      </c>
      <c r="U24" s="194">
        <v>58</v>
      </c>
      <c r="V24" s="194" t="s">
        <v>191</v>
      </c>
      <c r="W24" s="194">
        <v>45</v>
      </c>
      <c r="X24" s="194" t="s">
        <v>191</v>
      </c>
      <c r="Y24" s="194">
        <v>48</v>
      </c>
      <c r="Z24" s="194" t="s">
        <v>191</v>
      </c>
      <c r="AA24" s="194">
        <v>32</v>
      </c>
      <c r="AB24" s="194" t="s">
        <v>187</v>
      </c>
      <c r="AC24" s="194">
        <v>62</v>
      </c>
      <c r="AD24" s="5" t="s">
        <v>192</v>
      </c>
    </row>
    <row r="25" spans="1:30" ht="81" x14ac:dyDescent="0.3">
      <c r="A25" s="5" t="s">
        <v>182</v>
      </c>
      <c r="B25" s="4">
        <v>10122</v>
      </c>
      <c r="C25" s="4">
        <v>1</v>
      </c>
      <c r="D25" s="4" t="s">
        <v>224</v>
      </c>
      <c r="E25" s="194" t="s">
        <v>194</v>
      </c>
      <c r="F25" s="194" t="s">
        <v>195</v>
      </c>
      <c r="G25" s="194">
        <v>32</v>
      </c>
      <c r="H25" s="194" t="s">
        <v>196</v>
      </c>
      <c r="I25" s="194">
        <v>31</v>
      </c>
      <c r="J25" s="194" t="s">
        <v>196</v>
      </c>
      <c r="K25" s="194">
        <v>26</v>
      </c>
      <c r="L25" s="194" t="s">
        <v>186</v>
      </c>
      <c r="M25" s="194">
        <v>0</v>
      </c>
      <c r="N25" s="194" t="s">
        <v>188</v>
      </c>
      <c r="O25" s="194">
        <v>1</v>
      </c>
      <c r="P25" s="194" t="s">
        <v>197</v>
      </c>
      <c r="Q25" s="194">
        <v>3</v>
      </c>
      <c r="R25" s="194" t="s">
        <v>190</v>
      </c>
      <c r="S25" s="194">
        <v>37</v>
      </c>
      <c r="T25" s="194" t="s">
        <v>187</v>
      </c>
      <c r="U25" s="194">
        <v>37</v>
      </c>
      <c r="V25" s="194" t="s">
        <v>187</v>
      </c>
      <c r="W25" s="194">
        <v>33</v>
      </c>
      <c r="X25" s="194" t="s">
        <v>187</v>
      </c>
      <c r="Y25" s="194">
        <v>36</v>
      </c>
      <c r="Z25" s="194" t="s">
        <v>187</v>
      </c>
      <c r="AA25" s="194">
        <v>32</v>
      </c>
      <c r="AB25" s="194" t="s">
        <v>187</v>
      </c>
      <c r="AC25" s="194">
        <v>36</v>
      </c>
      <c r="AD25" s="194" t="s">
        <v>187</v>
      </c>
    </row>
    <row r="26" spans="1:30" ht="81" x14ac:dyDescent="0.3">
      <c r="A26" s="5" t="s">
        <v>182</v>
      </c>
      <c r="B26" s="4">
        <v>10123</v>
      </c>
      <c r="C26" s="4">
        <v>1</v>
      </c>
      <c r="D26" s="4" t="s">
        <v>225</v>
      </c>
      <c r="E26" s="194" t="s">
        <v>199</v>
      </c>
      <c r="F26" s="194" t="s">
        <v>200</v>
      </c>
      <c r="G26" s="194">
        <v>77</v>
      </c>
      <c r="H26" s="194" t="s">
        <v>201</v>
      </c>
      <c r="I26" s="194">
        <v>65</v>
      </c>
      <c r="J26" s="194" t="s">
        <v>202</v>
      </c>
      <c r="K26" s="194">
        <v>76</v>
      </c>
      <c r="L26" s="194" t="s">
        <v>201</v>
      </c>
      <c r="M26" s="194">
        <v>0</v>
      </c>
      <c r="N26" s="194" t="s">
        <v>188</v>
      </c>
      <c r="O26" s="194">
        <v>5</v>
      </c>
      <c r="P26" s="194" t="s">
        <v>189</v>
      </c>
      <c r="Q26" s="194">
        <v>0</v>
      </c>
      <c r="R26" s="194" t="s">
        <v>203</v>
      </c>
      <c r="S26" s="194">
        <v>85</v>
      </c>
      <c r="T26" s="5" t="s">
        <v>192</v>
      </c>
      <c r="U26" s="194">
        <v>79</v>
      </c>
      <c r="V26" s="5" t="s">
        <v>192</v>
      </c>
      <c r="W26" s="194">
        <v>81</v>
      </c>
      <c r="X26" s="5" t="s">
        <v>192</v>
      </c>
      <c r="Y26" s="194">
        <v>85</v>
      </c>
      <c r="Z26" s="5" t="s">
        <v>192</v>
      </c>
      <c r="AA26" s="194">
        <v>80</v>
      </c>
      <c r="AB26" s="5" t="s">
        <v>192</v>
      </c>
      <c r="AC26" s="194">
        <v>87</v>
      </c>
      <c r="AD26" s="5" t="s">
        <v>192</v>
      </c>
    </row>
    <row r="27" spans="1:30" ht="94.5" x14ac:dyDescent="0.3">
      <c r="A27" s="5" t="s">
        <v>182</v>
      </c>
      <c r="B27" s="4">
        <v>10124</v>
      </c>
      <c r="C27" s="4">
        <v>1</v>
      </c>
      <c r="D27" s="4" t="s">
        <v>226</v>
      </c>
      <c r="E27" s="194" t="s">
        <v>205</v>
      </c>
      <c r="F27" s="194" t="s">
        <v>206</v>
      </c>
      <c r="G27" s="194">
        <v>81</v>
      </c>
      <c r="H27" s="194" t="s">
        <v>201</v>
      </c>
      <c r="I27" s="194">
        <v>86</v>
      </c>
      <c r="J27" s="194" t="s">
        <v>201</v>
      </c>
      <c r="K27" s="194">
        <v>76</v>
      </c>
      <c r="L27" s="194" t="s">
        <v>201</v>
      </c>
      <c r="M27" s="194">
        <v>0</v>
      </c>
      <c r="N27" s="194" t="s">
        <v>188</v>
      </c>
      <c r="O27" s="194">
        <v>1</v>
      </c>
      <c r="P27" s="194" t="s">
        <v>197</v>
      </c>
      <c r="Q27" s="194">
        <v>0</v>
      </c>
      <c r="R27" s="194" t="s">
        <v>203</v>
      </c>
      <c r="S27" s="194">
        <v>37</v>
      </c>
      <c r="T27" s="194" t="s">
        <v>187</v>
      </c>
      <c r="U27" s="194">
        <v>37</v>
      </c>
      <c r="V27" s="194" t="s">
        <v>187</v>
      </c>
      <c r="W27" s="194">
        <v>33</v>
      </c>
      <c r="X27" s="194" t="s">
        <v>187</v>
      </c>
      <c r="Y27" s="194">
        <v>36</v>
      </c>
      <c r="Z27" s="194" t="s">
        <v>187</v>
      </c>
      <c r="AA27" s="194">
        <v>32</v>
      </c>
      <c r="AB27" s="194" t="s">
        <v>187</v>
      </c>
      <c r="AC27" s="194">
        <v>36</v>
      </c>
      <c r="AD27" s="194" t="s">
        <v>187</v>
      </c>
    </row>
    <row r="28" spans="1:30" ht="81" x14ac:dyDescent="0.3">
      <c r="A28" s="5" t="s">
        <v>182</v>
      </c>
      <c r="B28" s="4">
        <v>10125</v>
      </c>
      <c r="C28" s="4">
        <v>1</v>
      </c>
      <c r="D28" s="4" t="s">
        <v>227</v>
      </c>
      <c r="E28" s="194" t="s">
        <v>184</v>
      </c>
      <c r="F28" s="194" t="s">
        <v>185</v>
      </c>
      <c r="G28" s="194">
        <v>23</v>
      </c>
      <c r="H28" s="194" t="s">
        <v>186</v>
      </c>
      <c r="I28" s="194">
        <v>23</v>
      </c>
      <c r="J28" s="194" t="s">
        <v>186</v>
      </c>
      <c r="K28" s="194">
        <v>45</v>
      </c>
      <c r="L28" s="194" t="s">
        <v>187</v>
      </c>
      <c r="M28" s="194">
        <v>0</v>
      </c>
      <c r="N28" s="194" t="s">
        <v>188</v>
      </c>
      <c r="O28" s="194">
        <v>3</v>
      </c>
      <c r="P28" s="194" t="s">
        <v>189</v>
      </c>
      <c r="Q28" s="194">
        <v>3</v>
      </c>
      <c r="R28" s="194" t="s">
        <v>190</v>
      </c>
      <c r="S28" s="194">
        <v>37</v>
      </c>
      <c r="T28" s="194" t="s">
        <v>187</v>
      </c>
      <c r="U28" s="194">
        <v>58</v>
      </c>
      <c r="V28" s="194" t="s">
        <v>191</v>
      </c>
      <c r="W28" s="194">
        <v>45</v>
      </c>
      <c r="X28" s="194" t="s">
        <v>191</v>
      </c>
      <c r="Y28" s="194">
        <v>48</v>
      </c>
      <c r="Z28" s="194" t="s">
        <v>191</v>
      </c>
      <c r="AA28" s="194">
        <v>32</v>
      </c>
      <c r="AB28" s="194" t="s">
        <v>187</v>
      </c>
      <c r="AC28" s="194">
        <v>62</v>
      </c>
      <c r="AD28" s="5" t="s">
        <v>192</v>
      </c>
    </row>
    <row r="29" spans="1:30" ht="81" x14ac:dyDescent="0.3">
      <c r="A29" s="5" t="s">
        <v>182</v>
      </c>
      <c r="B29" s="4">
        <v>10126</v>
      </c>
      <c r="C29" s="4">
        <v>1</v>
      </c>
      <c r="D29" s="4" t="s">
        <v>228</v>
      </c>
      <c r="E29" s="194" t="s">
        <v>194</v>
      </c>
      <c r="F29" s="194" t="s">
        <v>195</v>
      </c>
      <c r="G29" s="194">
        <v>32</v>
      </c>
      <c r="H29" s="194" t="s">
        <v>196</v>
      </c>
      <c r="I29" s="194">
        <v>31</v>
      </c>
      <c r="J29" s="194" t="s">
        <v>196</v>
      </c>
      <c r="K29" s="194">
        <v>26</v>
      </c>
      <c r="L29" s="194" t="s">
        <v>186</v>
      </c>
      <c r="M29" s="194">
        <v>0</v>
      </c>
      <c r="N29" s="194" t="s">
        <v>188</v>
      </c>
      <c r="O29" s="194">
        <v>1</v>
      </c>
      <c r="P29" s="194" t="s">
        <v>197</v>
      </c>
      <c r="Q29" s="194">
        <v>3</v>
      </c>
      <c r="R29" s="194" t="s">
        <v>190</v>
      </c>
      <c r="S29" s="194">
        <v>37</v>
      </c>
      <c r="T29" s="194" t="s">
        <v>187</v>
      </c>
      <c r="U29" s="194">
        <v>37</v>
      </c>
      <c r="V29" s="194" t="s">
        <v>187</v>
      </c>
      <c r="W29" s="194">
        <v>33</v>
      </c>
      <c r="X29" s="194" t="s">
        <v>187</v>
      </c>
      <c r="Y29" s="194">
        <v>36</v>
      </c>
      <c r="Z29" s="194" t="s">
        <v>187</v>
      </c>
      <c r="AA29" s="194">
        <v>32</v>
      </c>
      <c r="AB29" s="194" t="s">
        <v>187</v>
      </c>
      <c r="AC29" s="194">
        <v>36</v>
      </c>
      <c r="AD29" s="194" t="s">
        <v>187</v>
      </c>
    </row>
    <row r="30" spans="1:30" ht="81" x14ac:dyDescent="0.3">
      <c r="A30" s="5" t="s">
        <v>182</v>
      </c>
      <c r="B30" s="4">
        <v>10127</v>
      </c>
      <c r="C30" s="4">
        <v>1</v>
      </c>
      <c r="D30" s="4" t="s">
        <v>229</v>
      </c>
      <c r="E30" s="194" t="s">
        <v>199</v>
      </c>
      <c r="F30" s="194" t="s">
        <v>200</v>
      </c>
      <c r="G30" s="194">
        <v>77</v>
      </c>
      <c r="H30" s="194" t="s">
        <v>201</v>
      </c>
      <c r="I30" s="194">
        <v>65</v>
      </c>
      <c r="J30" s="194" t="s">
        <v>202</v>
      </c>
      <c r="K30" s="194">
        <v>76</v>
      </c>
      <c r="L30" s="194" t="s">
        <v>201</v>
      </c>
      <c r="M30" s="194">
        <v>0</v>
      </c>
      <c r="N30" s="194" t="s">
        <v>188</v>
      </c>
      <c r="O30" s="194">
        <v>5</v>
      </c>
      <c r="P30" s="194" t="s">
        <v>189</v>
      </c>
      <c r="Q30" s="194">
        <v>0</v>
      </c>
      <c r="R30" s="194" t="s">
        <v>203</v>
      </c>
      <c r="S30" s="194">
        <v>85</v>
      </c>
      <c r="T30" s="5" t="s">
        <v>192</v>
      </c>
      <c r="U30" s="194">
        <v>79</v>
      </c>
      <c r="V30" s="5" t="s">
        <v>192</v>
      </c>
      <c r="W30" s="194">
        <v>81</v>
      </c>
      <c r="X30" s="5" t="s">
        <v>192</v>
      </c>
      <c r="Y30" s="194">
        <v>85</v>
      </c>
      <c r="Z30" s="5" t="s">
        <v>192</v>
      </c>
      <c r="AA30" s="194">
        <v>80</v>
      </c>
      <c r="AB30" s="5" t="s">
        <v>192</v>
      </c>
      <c r="AC30" s="194">
        <v>87</v>
      </c>
      <c r="AD30" s="5" t="s">
        <v>192</v>
      </c>
    </row>
    <row r="31" spans="1:30" ht="94.5" x14ac:dyDescent="0.3">
      <c r="A31" s="5" t="s">
        <v>182</v>
      </c>
      <c r="B31" s="4">
        <v>10128</v>
      </c>
      <c r="C31" s="4">
        <v>1</v>
      </c>
      <c r="D31" s="4" t="s">
        <v>230</v>
      </c>
      <c r="E31" s="194" t="s">
        <v>205</v>
      </c>
      <c r="F31" s="194" t="s">
        <v>206</v>
      </c>
      <c r="G31" s="194">
        <v>81</v>
      </c>
      <c r="H31" s="194" t="s">
        <v>201</v>
      </c>
      <c r="I31" s="194">
        <v>86</v>
      </c>
      <c r="J31" s="194" t="s">
        <v>201</v>
      </c>
      <c r="K31" s="194">
        <v>76</v>
      </c>
      <c r="L31" s="194" t="s">
        <v>201</v>
      </c>
      <c r="M31" s="194">
        <v>0</v>
      </c>
      <c r="N31" s="194" t="s">
        <v>188</v>
      </c>
      <c r="O31" s="194">
        <v>1</v>
      </c>
      <c r="P31" s="194" t="s">
        <v>197</v>
      </c>
      <c r="Q31" s="194">
        <v>0</v>
      </c>
      <c r="R31" s="194" t="s">
        <v>203</v>
      </c>
      <c r="S31" s="194">
        <v>37</v>
      </c>
      <c r="T31" s="194" t="s">
        <v>187</v>
      </c>
      <c r="U31" s="194">
        <v>37</v>
      </c>
      <c r="V31" s="194" t="s">
        <v>187</v>
      </c>
      <c r="W31" s="194">
        <v>33</v>
      </c>
      <c r="X31" s="194" t="s">
        <v>187</v>
      </c>
      <c r="Y31" s="194">
        <v>36</v>
      </c>
      <c r="Z31" s="194" t="s">
        <v>187</v>
      </c>
      <c r="AA31" s="194">
        <v>32</v>
      </c>
      <c r="AB31" s="194" t="s">
        <v>187</v>
      </c>
      <c r="AC31" s="194">
        <v>36</v>
      </c>
      <c r="AD31" s="194" t="s">
        <v>187</v>
      </c>
    </row>
    <row r="32" spans="1:30" ht="81" x14ac:dyDescent="0.3">
      <c r="A32" s="5" t="s">
        <v>182</v>
      </c>
      <c r="B32" s="4">
        <v>10130</v>
      </c>
      <c r="C32" s="4">
        <v>1</v>
      </c>
      <c r="D32" s="4" t="s">
        <v>231</v>
      </c>
      <c r="E32" s="194" t="s">
        <v>184</v>
      </c>
      <c r="F32" s="194" t="s">
        <v>185</v>
      </c>
      <c r="G32" s="194">
        <v>23</v>
      </c>
      <c r="H32" s="194" t="s">
        <v>186</v>
      </c>
      <c r="I32" s="194">
        <v>23</v>
      </c>
      <c r="J32" s="194" t="s">
        <v>186</v>
      </c>
      <c r="K32" s="194">
        <v>45</v>
      </c>
      <c r="L32" s="194" t="s">
        <v>187</v>
      </c>
      <c r="M32" s="194">
        <v>0</v>
      </c>
      <c r="N32" s="194" t="s">
        <v>188</v>
      </c>
      <c r="O32" s="194">
        <v>3</v>
      </c>
      <c r="P32" s="194" t="s">
        <v>189</v>
      </c>
      <c r="Q32" s="194">
        <v>3</v>
      </c>
      <c r="R32" s="194" t="s">
        <v>190</v>
      </c>
      <c r="S32" s="194">
        <v>37</v>
      </c>
      <c r="T32" s="194" t="s">
        <v>187</v>
      </c>
      <c r="U32" s="194">
        <v>58</v>
      </c>
      <c r="V32" s="194" t="s">
        <v>191</v>
      </c>
      <c r="W32" s="194">
        <v>45</v>
      </c>
      <c r="X32" s="194" t="s">
        <v>191</v>
      </c>
      <c r="Y32" s="194">
        <v>48</v>
      </c>
      <c r="Z32" s="194" t="s">
        <v>191</v>
      </c>
      <c r="AA32" s="194">
        <v>32</v>
      </c>
      <c r="AB32" s="194" t="s">
        <v>187</v>
      </c>
      <c r="AC32" s="194">
        <v>62</v>
      </c>
      <c r="AD32" s="5" t="s">
        <v>192</v>
      </c>
    </row>
    <row r="33" spans="1:30" ht="81" x14ac:dyDescent="0.3">
      <c r="A33" s="5" t="s">
        <v>182</v>
      </c>
      <c r="B33" s="4">
        <v>10201</v>
      </c>
      <c r="C33" s="4">
        <v>2</v>
      </c>
      <c r="D33" s="4" t="s">
        <v>232</v>
      </c>
      <c r="E33" s="194" t="s">
        <v>194</v>
      </c>
      <c r="F33" s="194" t="s">
        <v>195</v>
      </c>
      <c r="G33" s="194">
        <v>32</v>
      </c>
      <c r="H33" s="194" t="s">
        <v>196</v>
      </c>
      <c r="I33" s="194">
        <v>31</v>
      </c>
      <c r="J33" s="194" t="s">
        <v>196</v>
      </c>
      <c r="K33" s="194">
        <v>26</v>
      </c>
      <c r="L33" s="194" t="s">
        <v>186</v>
      </c>
      <c r="M33" s="194">
        <v>0</v>
      </c>
      <c r="N33" s="194" t="s">
        <v>188</v>
      </c>
      <c r="O33" s="194">
        <v>1</v>
      </c>
      <c r="P33" s="194" t="s">
        <v>197</v>
      </c>
      <c r="Q33" s="194">
        <v>3</v>
      </c>
      <c r="R33" s="194" t="s">
        <v>190</v>
      </c>
      <c r="S33" s="194">
        <v>37</v>
      </c>
      <c r="T33" s="194" t="s">
        <v>187</v>
      </c>
      <c r="U33" s="194">
        <v>37</v>
      </c>
      <c r="V33" s="194" t="s">
        <v>187</v>
      </c>
      <c r="W33" s="194">
        <v>33</v>
      </c>
      <c r="X33" s="194" t="s">
        <v>187</v>
      </c>
      <c r="Y33" s="194">
        <v>36</v>
      </c>
      <c r="Z33" s="194" t="s">
        <v>187</v>
      </c>
      <c r="AA33" s="194">
        <v>32</v>
      </c>
      <c r="AB33" s="194" t="s">
        <v>187</v>
      </c>
      <c r="AC33" s="194">
        <v>36</v>
      </c>
      <c r="AD33" s="194" t="s">
        <v>187</v>
      </c>
    </row>
    <row r="34" spans="1:30" ht="81" x14ac:dyDescent="0.3">
      <c r="A34" s="5" t="s">
        <v>182</v>
      </c>
      <c r="B34" s="4">
        <v>10202</v>
      </c>
      <c r="C34" s="4">
        <v>2</v>
      </c>
      <c r="D34" s="4" t="s">
        <v>233</v>
      </c>
      <c r="E34" s="194" t="s">
        <v>199</v>
      </c>
      <c r="F34" s="194" t="s">
        <v>200</v>
      </c>
      <c r="G34" s="194">
        <v>77</v>
      </c>
      <c r="H34" s="194" t="s">
        <v>201</v>
      </c>
      <c r="I34" s="194">
        <v>65</v>
      </c>
      <c r="J34" s="194" t="s">
        <v>202</v>
      </c>
      <c r="K34" s="194">
        <v>76</v>
      </c>
      <c r="L34" s="194" t="s">
        <v>201</v>
      </c>
      <c r="M34" s="194">
        <v>0</v>
      </c>
      <c r="N34" s="194" t="s">
        <v>188</v>
      </c>
      <c r="O34" s="194">
        <v>5</v>
      </c>
      <c r="P34" s="194" t="s">
        <v>189</v>
      </c>
      <c r="Q34" s="194">
        <v>0</v>
      </c>
      <c r="R34" s="194" t="s">
        <v>203</v>
      </c>
      <c r="S34" s="194">
        <v>85</v>
      </c>
      <c r="T34" s="5" t="s">
        <v>192</v>
      </c>
      <c r="U34" s="194">
        <v>79</v>
      </c>
      <c r="V34" s="5" t="s">
        <v>192</v>
      </c>
      <c r="W34" s="194">
        <v>81</v>
      </c>
      <c r="X34" s="5" t="s">
        <v>192</v>
      </c>
      <c r="Y34" s="194">
        <v>85</v>
      </c>
      <c r="Z34" s="5" t="s">
        <v>192</v>
      </c>
      <c r="AA34" s="194">
        <v>80</v>
      </c>
      <c r="AB34" s="5" t="s">
        <v>192</v>
      </c>
      <c r="AC34" s="194">
        <v>87</v>
      </c>
      <c r="AD34" s="5" t="s">
        <v>192</v>
      </c>
    </row>
    <row r="35" spans="1:30" ht="94.5" x14ac:dyDescent="0.3">
      <c r="A35" s="5" t="s">
        <v>182</v>
      </c>
      <c r="B35" s="4">
        <v>10203</v>
      </c>
      <c r="C35" s="4">
        <v>2</v>
      </c>
      <c r="D35" s="4" t="s">
        <v>234</v>
      </c>
      <c r="E35" s="194" t="s">
        <v>205</v>
      </c>
      <c r="F35" s="194" t="s">
        <v>206</v>
      </c>
      <c r="G35" s="194">
        <v>81</v>
      </c>
      <c r="H35" s="194" t="s">
        <v>201</v>
      </c>
      <c r="I35" s="194">
        <v>86</v>
      </c>
      <c r="J35" s="194" t="s">
        <v>201</v>
      </c>
      <c r="K35" s="194">
        <v>76</v>
      </c>
      <c r="L35" s="194" t="s">
        <v>201</v>
      </c>
      <c r="M35" s="194">
        <v>0</v>
      </c>
      <c r="N35" s="194" t="s">
        <v>188</v>
      </c>
      <c r="O35" s="194">
        <v>1</v>
      </c>
      <c r="P35" s="194" t="s">
        <v>197</v>
      </c>
      <c r="Q35" s="194">
        <v>0</v>
      </c>
      <c r="R35" s="194" t="s">
        <v>203</v>
      </c>
      <c r="S35" s="194">
        <v>37</v>
      </c>
      <c r="T35" s="194" t="s">
        <v>187</v>
      </c>
      <c r="U35" s="194">
        <v>37</v>
      </c>
      <c r="V35" s="194" t="s">
        <v>187</v>
      </c>
      <c r="W35" s="194">
        <v>33</v>
      </c>
      <c r="X35" s="194" t="s">
        <v>187</v>
      </c>
      <c r="Y35" s="194">
        <v>36</v>
      </c>
      <c r="Z35" s="194" t="s">
        <v>187</v>
      </c>
      <c r="AA35" s="194">
        <v>32</v>
      </c>
      <c r="AB35" s="194" t="s">
        <v>187</v>
      </c>
      <c r="AC35" s="194">
        <v>36</v>
      </c>
      <c r="AD35" s="194" t="s">
        <v>187</v>
      </c>
    </row>
    <row r="36" spans="1:30" ht="81" x14ac:dyDescent="0.3">
      <c r="A36" s="5" t="s">
        <v>182</v>
      </c>
      <c r="B36" s="4">
        <v>10204</v>
      </c>
      <c r="C36" s="4">
        <v>2</v>
      </c>
      <c r="D36" s="4" t="s">
        <v>235</v>
      </c>
      <c r="E36" s="194" t="s">
        <v>184</v>
      </c>
      <c r="F36" s="194" t="s">
        <v>185</v>
      </c>
      <c r="G36" s="194">
        <v>23</v>
      </c>
      <c r="H36" s="194" t="s">
        <v>186</v>
      </c>
      <c r="I36" s="194">
        <v>23</v>
      </c>
      <c r="J36" s="194" t="s">
        <v>186</v>
      </c>
      <c r="K36" s="194">
        <v>45</v>
      </c>
      <c r="L36" s="194" t="s">
        <v>187</v>
      </c>
      <c r="M36" s="194">
        <v>0</v>
      </c>
      <c r="N36" s="194" t="s">
        <v>188</v>
      </c>
      <c r="O36" s="194">
        <v>3</v>
      </c>
      <c r="P36" s="194" t="s">
        <v>189</v>
      </c>
      <c r="Q36" s="194">
        <v>3</v>
      </c>
      <c r="R36" s="194" t="s">
        <v>190</v>
      </c>
      <c r="S36" s="194">
        <v>37</v>
      </c>
      <c r="T36" s="194" t="s">
        <v>187</v>
      </c>
      <c r="U36" s="194">
        <v>58</v>
      </c>
      <c r="V36" s="194" t="s">
        <v>191</v>
      </c>
      <c r="W36" s="194">
        <v>45</v>
      </c>
      <c r="X36" s="194" t="s">
        <v>191</v>
      </c>
      <c r="Y36" s="194">
        <v>48</v>
      </c>
      <c r="Z36" s="194" t="s">
        <v>191</v>
      </c>
      <c r="AA36" s="194">
        <v>32</v>
      </c>
      <c r="AB36" s="194" t="s">
        <v>187</v>
      </c>
      <c r="AC36" s="194">
        <v>62</v>
      </c>
      <c r="AD36" s="5" t="s">
        <v>192</v>
      </c>
    </row>
    <row r="37" spans="1:30" ht="81" x14ac:dyDescent="0.3">
      <c r="A37" s="5" t="s">
        <v>182</v>
      </c>
      <c r="B37" s="4">
        <v>10205</v>
      </c>
      <c r="C37" s="4">
        <v>2</v>
      </c>
      <c r="D37" s="4" t="s">
        <v>236</v>
      </c>
      <c r="E37" s="194" t="s">
        <v>194</v>
      </c>
      <c r="F37" s="194" t="s">
        <v>195</v>
      </c>
      <c r="G37" s="194">
        <v>32</v>
      </c>
      <c r="H37" s="194" t="s">
        <v>196</v>
      </c>
      <c r="I37" s="194">
        <v>31</v>
      </c>
      <c r="J37" s="194" t="s">
        <v>196</v>
      </c>
      <c r="K37" s="194">
        <v>26</v>
      </c>
      <c r="L37" s="194" t="s">
        <v>186</v>
      </c>
      <c r="M37" s="194">
        <v>0</v>
      </c>
      <c r="N37" s="194" t="s">
        <v>188</v>
      </c>
      <c r="O37" s="194">
        <v>1</v>
      </c>
      <c r="P37" s="194" t="s">
        <v>197</v>
      </c>
      <c r="Q37" s="194">
        <v>3</v>
      </c>
      <c r="R37" s="194" t="s">
        <v>190</v>
      </c>
      <c r="S37" s="194">
        <v>37</v>
      </c>
      <c r="T37" s="194" t="s">
        <v>187</v>
      </c>
      <c r="U37" s="194">
        <v>37</v>
      </c>
      <c r="V37" s="194" t="s">
        <v>187</v>
      </c>
      <c r="W37" s="194">
        <v>33</v>
      </c>
      <c r="X37" s="194" t="s">
        <v>187</v>
      </c>
      <c r="Y37" s="194">
        <v>36</v>
      </c>
      <c r="Z37" s="194" t="s">
        <v>187</v>
      </c>
      <c r="AA37" s="194">
        <v>32</v>
      </c>
      <c r="AB37" s="194" t="s">
        <v>187</v>
      </c>
      <c r="AC37" s="194">
        <v>36</v>
      </c>
      <c r="AD37" s="194" t="s">
        <v>187</v>
      </c>
    </row>
    <row r="38" spans="1:30" ht="81" x14ac:dyDescent="0.3">
      <c r="A38" s="5" t="s">
        <v>182</v>
      </c>
      <c r="B38" s="4">
        <v>10206</v>
      </c>
      <c r="C38" s="4">
        <v>2</v>
      </c>
      <c r="D38" s="4" t="s">
        <v>237</v>
      </c>
      <c r="E38" s="194" t="s">
        <v>199</v>
      </c>
      <c r="F38" s="194" t="s">
        <v>200</v>
      </c>
      <c r="G38" s="194">
        <v>77</v>
      </c>
      <c r="H38" s="194" t="s">
        <v>201</v>
      </c>
      <c r="I38" s="194">
        <v>65</v>
      </c>
      <c r="J38" s="194" t="s">
        <v>202</v>
      </c>
      <c r="K38" s="194">
        <v>76</v>
      </c>
      <c r="L38" s="194" t="s">
        <v>201</v>
      </c>
      <c r="M38" s="194">
        <v>0</v>
      </c>
      <c r="N38" s="194" t="s">
        <v>188</v>
      </c>
      <c r="O38" s="194">
        <v>5</v>
      </c>
      <c r="P38" s="194" t="s">
        <v>189</v>
      </c>
      <c r="Q38" s="194">
        <v>0</v>
      </c>
      <c r="R38" s="194" t="s">
        <v>203</v>
      </c>
      <c r="S38" s="194">
        <v>85</v>
      </c>
      <c r="T38" s="5" t="s">
        <v>192</v>
      </c>
      <c r="U38" s="194">
        <v>79</v>
      </c>
      <c r="V38" s="5" t="s">
        <v>192</v>
      </c>
      <c r="W38" s="194">
        <v>81</v>
      </c>
      <c r="X38" s="5" t="s">
        <v>192</v>
      </c>
      <c r="Y38" s="194">
        <v>85</v>
      </c>
      <c r="Z38" s="5" t="s">
        <v>192</v>
      </c>
      <c r="AA38" s="194">
        <v>80</v>
      </c>
      <c r="AB38" s="5" t="s">
        <v>192</v>
      </c>
      <c r="AC38" s="194">
        <v>87</v>
      </c>
      <c r="AD38" s="5" t="s">
        <v>192</v>
      </c>
    </row>
    <row r="39" spans="1:30" ht="94.5" x14ac:dyDescent="0.3">
      <c r="A39" s="5" t="s">
        <v>182</v>
      </c>
      <c r="B39" s="4">
        <v>10207</v>
      </c>
      <c r="C39" s="4">
        <v>2</v>
      </c>
      <c r="D39" s="4" t="s">
        <v>238</v>
      </c>
      <c r="E39" s="194" t="s">
        <v>205</v>
      </c>
      <c r="F39" s="194" t="s">
        <v>206</v>
      </c>
      <c r="G39" s="194">
        <v>81</v>
      </c>
      <c r="H39" s="194" t="s">
        <v>201</v>
      </c>
      <c r="I39" s="194">
        <v>86</v>
      </c>
      <c r="J39" s="194" t="s">
        <v>201</v>
      </c>
      <c r="K39" s="194">
        <v>76</v>
      </c>
      <c r="L39" s="194" t="s">
        <v>201</v>
      </c>
      <c r="M39" s="194">
        <v>0</v>
      </c>
      <c r="N39" s="194" t="s">
        <v>188</v>
      </c>
      <c r="O39" s="194">
        <v>1</v>
      </c>
      <c r="P39" s="194" t="s">
        <v>197</v>
      </c>
      <c r="Q39" s="194">
        <v>0</v>
      </c>
      <c r="R39" s="194" t="s">
        <v>203</v>
      </c>
      <c r="S39" s="194">
        <v>37</v>
      </c>
      <c r="T39" s="194" t="s">
        <v>187</v>
      </c>
      <c r="U39" s="194">
        <v>37</v>
      </c>
      <c r="V39" s="194" t="s">
        <v>187</v>
      </c>
      <c r="W39" s="194">
        <v>33</v>
      </c>
      <c r="X39" s="194" t="s">
        <v>187</v>
      </c>
      <c r="Y39" s="194">
        <v>36</v>
      </c>
      <c r="Z39" s="194" t="s">
        <v>187</v>
      </c>
      <c r="AA39" s="194">
        <v>32</v>
      </c>
      <c r="AB39" s="194" t="s">
        <v>187</v>
      </c>
      <c r="AC39" s="194">
        <v>36</v>
      </c>
      <c r="AD39" s="194" t="s">
        <v>187</v>
      </c>
    </row>
    <row r="40" spans="1:30" ht="81" x14ac:dyDescent="0.3">
      <c r="A40" s="5" t="s">
        <v>182</v>
      </c>
      <c r="B40" s="4">
        <v>10208</v>
      </c>
      <c r="C40" s="4">
        <v>2</v>
      </c>
      <c r="D40" s="4" t="s">
        <v>239</v>
      </c>
      <c r="E40" s="194" t="s">
        <v>184</v>
      </c>
      <c r="F40" s="194" t="s">
        <v>185</v>
      </c>
      <c r="G40" s="194">
        <v>23</v>
      </c>
      <c r="H40" s="194" t="s">
        <v>186</v>
      </c>
      <c r="I40" s="194">
        <v>23</v>
      </c>
      <c r="J40" s="194" t="s">
        <v>186</v>
      </c>
      <c r="K40" s="194">
        <v>45</v>
      </c>
      <c r="L40" s="194" t="s">
        <v>187</v>
      </c>
      <c r="M40" s="194">
        <v>0</v>
      </c>
      <c r="N40" s="194" t="s">
        <v>188</v>
      </c>
      <c r="O40" s="194">
        <v>3</v>
      </c>
      <c r="P40" s="194" t="s">
        <v>189</v>
      </c>
      <c r="Q40" s="194">
        <v>3</v>
      </c>
      <c r="R40" s="194" t="s">
        <v>190</v>
      </c>
      <c r="S40" s="194">
        <v>37</v>
      </c>
      <c r="T40" s="194" t="s">
        <v>187</v>
      </c>
      <c r="U40" s="194">
        <v>58</v>
      </c>
      <c r="V40" s="194" t="s">
        <v>191</v>
      </c>
      <c r="W40" s="194">
        <v>45</v>
      </c>
      <c r="X40" s="194" t="s">
        <v>191</v>
      </c>
      <c r="Y40" s="194">
        <v>48</v>
      </c>
      <c r="Z40" s="194" t="s">
        <v>191</v>
      </c>
      <c r="AA40" s="194">
        <v>32</v>
      </c>
      <c r="AB40" s="194" t="s">
        <v>187</v>
      </c>
      <c r="AC40" s="194">
        <v>62</v>
      </c>
      <c r="AD40" s="5" t="s">
        <v>192</v>
      </c>
    </row>
    <row r="41" spans="1:30" ht="81" x14ac:dyDescent="0.3">
      <c r="A41" s="5" t="s">
        <v>182</v>
      </c>
      <c r="B41" s="4">
        <v>10209</v>
      </c>
      <c r="C41" s="4">
        <v>2</v>
      </c>
      <c r="D41" s="4" t="s">
        <v>240</v>
      </c>
      <c r="E41" s="194" t="s">
        <v>194</v>
      </c>
      <c r="F41" s="194" t="s">
        <v>195</v>
      </c>
      <c r="G41" s="194">
        <v>32</v>
      </c>
      <c r="H41" s="194" t="s">
        <v>196</v>
      </c>
      <c r="I41" s="194">
        <v>31</v>
      </c>
      <c r="J41" s="194" t="s">
        <v>196</v>
      </c>
      <c r="K41" s="194">
        <v>26</v>
      </c>
      <c r="L41" s="194" t="s">
        <v>186</v>
      </c>
      <c r="M41" s="194">
        <v>0</v>
      </c>
      <c r="N41" s="194" t="s">
        <v>188</v>
      </c>
      <c r="O41" s="194">
        <v>1</v>
      </c>
      <c r="P41" s="194" t="s">
        <v>197</v>
      </c>
      <c r="Q41" s="194">
        <v>3</v>
      </c>
      <c r="R41" s="194" t="s">
        <v>190</v>
      </c>
      <c r="S41" s="194">
        <v>37</v>
      </c>
      <c r="T41" s="194" t="s">
        <v>187</v>
      </c>
      <c r="U41" s="194">
        <v>37</v>
      </c>
      <c r="V41" s="194" t="s">
        <v>187</v>
      </c>
      <c r="W41" s="194">
        <v>33</v>
      </c>
      <c r="X41" s="194" t="s">
        <v>187</v>
      </c>
      <c r="Y41" s="194">
        <v>36</v>
      </c>
      <c r="Z41" s="194" t="s">
        <v>187</v>
      </c>
      <c r="AA41" s="194">
        <v>32</v>
      </c>
      <c r="AB41" s="194" t="s">
        <v>187</v>
      </c>
      <c r="AC41" s="194">
        <v>36</v>
      </c>
      <c r="AD41" s="194" t="s">
        <v>187</v>
      </c>
    </row>
    <row r="42" spans="1:30" ht="81" x14ac:dyDescent="0.3">
      <c r="A42" s="5" t="s">
        <v>182</v>
      </c>
      <c r="B42" s="4">
        <v>10210</v>
      </c>
      <c r="C42" s="4">
        <v>2</v>
      </c>
      <c r="D42" s="4" t="s">
        <v>241</v>
      </c>
      <c r="E42" s="194" t="s">
        <v>199</v>
      </c>
      <c r="F42" s="194" t="s">
        <v>200</v>
      </c>
      <c r="G42" s="194">
        <v>77</v>
      </c>
      <c r="H42" s="194" t="s">
        <v>201</v>
      </c>
      <c r="I42" s="194">
        <v>65</v>
      </c>
      <c r="J42" s="194" t="s">
        <v>202</v>
      </c>
      <c r="K42" s="194">
        <v>76</v>
      </c>
      <c r="L42" s="194" t="s">
        <v>201</v>
      </c>
      <c r="M42" s="194">
        <v>0</v>
      </c>
      <c r="N42" s="194" t="s">
        <v>188</v>
      </c>
      <c r="O42" s="194">
        <v>5</v>
      </c>
      <c r="P42" s="194" t="s">
        <v>189</v>
      </c>
      <c r="Q42" s="194">
        <v>0</v>
      </c>
      <c r="R42" s="194" t="s">
        <v>203</v>
      </c>
      <c r="S42" s="194">
        <v>85</v>
      </c>
      <c r="T42" s="5" t="s">
        <v>192</v>
      </c>
      <c r="U42" s="194">
        <v>79</v>
      </c>
      <c r="V42" s="5" t="s">
        <v>192</v>
      </c>
      <c r="W42" s="194">
        <v>81</v>
      </c>
      <c r="X42" s="5" t="s">
        <v>192</v>
      </c>
      <c r="Y42" s="194">
        <v>85</v>
      </c>
      <c r="Z42" s="5" t="s">
        <v>192</v>
      </c>
      <c r="AA42" s="194">
        <v>80</v>
      </c>
      <c r="AB42" s="5" t="s">
        <v>192</v>
      </c>
      <c r="AC42" s="194">
        <v>87</v>
      </c>
      <c r="AD42" s="5" t="s">
        <v>192</v>
      </c>
    </row>
    <row r="43" spans="1:30" ht="94.5" x14ac:dyDescent="0.3">
      <c r="A43" s="5" t="s">
        <v>182</v>
      </c>
      <c r="B43" s="4">
        <v>10211</v>
      </c>
      <c r="C43" s="4">
        <v>2</v>
      </c>
      <c r="D43" s="4" t="s">
        <v>242</v>
      </c>
      <c r="E43" s="194" t="s">
        <v>205</v>
      </c>
      <c r="F43" s="194" t="s">
        <v>206</v>
      </c>
      <c r="G43" s="194">
        <v>81</v>
      </c>
      <c r="H43" s="194" t="s">
        <v>201</v>
      </c>
      <c r="I43" s="194">
        <v>86</v>
      </c>
      <c r="J43" s="194" t="s">
        <v>201</v>
      </c>
      <c r="K43" s="194">
        <v>76</v>
      </c>
      <c r="L43" s="194" t="s">
        <v>201</v>
      </c>
      <c r="M43" s="194">
        <v>0</v>
      </c>
      <c r="N43" s="194" t="s">
        <v>188</v>
      </c>
      <c r="O43" s="194">
        <v>1</v>
      </c>
      <c r="P43" s="194" t="s">
        <v>197</v>
      </c>
      <c r="Q43" s="194">
        <v>0</v>
      </c>
      <c r="R43" s="194" t="s">
        <v>203</v>
      </c>
      <c r="S43" s="194">
        <v>37</v>
      </c>
      <c r="T43" s="194" t="s">
        <v>187</v>
      </c>
      <c r="U43" s="194">
        <v>37</v>
      </c>
      <c r="V43" s="194" t="s">
        <v>187</v>
      </c>
      <c r="W43" s="194">
        <v>33</v>
      </c>
      <c r="X43" s="194" t="s">
        <v>187</v>
      </c>
      <c r="Y43" s="194">
        <v>36</v>
      </c>
      <c r="Z43" s="194" t="s">
        <v>187</v>
      </c>
      <c r="AA43" s="194">
        <v>32</v>
      </c>
      <c r="AB43" s="194" t="s">
        <v>187</v>
      </c>
      <c r="AC43" s="194">
        <v>36</v>
      </c>
      <c r="AD43" s="194" t="s">
        <v>187</v>
      </c>
    </row>
    <row r="44" spans="1:30" ht="81" x14ac:dyDescent="0.3">
      <c r="A44" s="5" t="s">
        <v>182</v>
      </c>
      <c r="B44" s="4">
        <v>10212</v>
      </c>
      <c r="C44" s="4">
        <v>2</v>
      </c>
      <c r="D44" s="4" t="s">
        <v>243</v>
      </c>
      <c r="E44" s="194" t="s">
        <v>184</v>
      </c>
      <c r="F44" s="194" t="s">
        <v>185</v>
      </c>
      <c r="G44" s="194">
        <v>23</v>
      </c>
      <c r="H44" s="194" t="s">
        <v>186</v>
      </c>
      <c r="I44" s="194">
        <v>23</v>
      </c>
      <c r="J44" s="194" t="s">
        <v>186</v>
      </c>
      <c r="K44" s="194">
        <v>45</v>
      </c>
      <c r="L44" s="194" t="s">
        <v>187</v>
      </c>
      <c r="M44" s="194">
        <v>0</v>
      </c>
      <c r="N44" s="194" t="s">
        <v>188</v>
      </c>
      <c r="O44" s="194">
        <v>3</v>
      </c>
      <c r="P44" s="194" t="s">
        <v>189</v>
      </c>
      <c r="Q44" s="194">
        <v>3</v>
      </c>
      <c r="R44" s="194" t="s">
        <v>190</v>
      </c>
      <c r="S44" s="194">
        <v>37</v>
      </c>
      <c r="T44" s="194" t="s">
        <v>187</v>
      </c>
      <c r="U44" s="194">
        <v>58</v>
      </c>
      <c r="V44" s="194" t="s">
        <v>191</v>
      </c>
      <c r="W44" s="194">
        <v>45</v>
      </c>
      <c r="X44" s="194" t="s">
        <v>191</v>
      </c>
      <c r="Y44" s="194">
        <v>48</v>
      </c>
      <c r="Z44" s="194" t="s">
        <v>191</v>
      </c>
      <c r="AA44" s="194">
        <v>32</v>
      </c>
      <c r="AB44" s="194" t="s">
        <v>187</v>
      </c>
      <c r="AC44" s="194">
        <v>62</v>
      </c>
      <c r="AD44" s="5" t="s">
        <v>192</v>
      </c>
    </row>
    <row r="45" spans="1:30" ht="81" x14ac:dyDescent="0.3">
      <c r="A45" s="5" t="s">
        <v>182</v>
      </c>
      <c r="B45" s="4">
        <v>10213</v>
      </c>
      <c r="C45" s="4">
        <v>2</v>
      </c>
      <c r="D45" s="4" t="s">
        <v>244</v>
      </c>
      <c r="E45" s="194" t="s">
        <v>194</v>
      </c>
      <c r="F45" s="194" t="s">
        <v>195</v>
      </c>
      <c r="G45" s="194">
        <v>32</v>
      </c>
      <c r="H45" s="194" t="s">
        <v>196</v>
      </c>
      <c r="I45" s="194">
        <v>31</v>
      </c>
      <c r="J45" s="194" t="s">
        <v>196</v>
      </c>
      <c r="K45" s="194">
        <v>26</v>
      </c>
      <c r="L45" s="194" t="s">
        <v>186</v>
      </c>
      <c r="M45" s="194">
        <v>0</v>
      </c>
      <c r="N45" s="194" t="s">
        <v>188</v>
      </c>
      <c r="O45" s="194">
        <v>1</v>
      </c>
      <c r="P45" s="194" t="s">
        <v>197</v>
      </c>
      <c r="Q45" s="194">
        <v>3</v>
      </c>
      <c r="R45" s="194" t="s">
        <v>190</v>
      </c>
      <c r="S45" s="194">
        <v>37</v>
      </c>
      <c r="T45" s="194" t="s">
        <v>187</v>
      </c>
      <c r="U45" s="194">
        <v>37</v>
      </c>
      <c r="V45" s="194" t="s">
        <v>187</v>
      </c>
      <c r="W45" s="194">
        <v>33</v>
      </c>
      <c r="X45" s="194" t="s">
        <v>187</v>
      </c>
      <c r="Y45" s="194">
        <v>36</v>
      </c>
      <c r="Z45" s="194" t="s">
        <v>187</v>
      </c>
      <c r="AA45" s="194">
        <v>32</v>
      </c>
      <c r="AB45" s="194" t="s">
        <v>187</v>
      </c>
      <c r="AC45" s="194">
        <v>36</v>
      </c>
      <c r="AD45" s="194" t="s">
        <v>187</v>
      </c>
    </row>
    <row r="46" spans="1:30" ht="81" x14ac:dyDescent="0.3">
      <c r="A46" s="5" t="s">
        <v>182</v>
      </c>
      <c r="B46" s="4">
        <v>10214</v>
      </c>
      <c r="C46" s="4">
        <v>2</v>
      </c>
      <c r="D46" s="4" t="s">
        <v>245</v>
      </c>
      <c r="E46" s="194" t="s">
        <v>199</v>
      </c>
      <c r="F46" s="194" t="s">
        <v>200</v>
      </c>
      <c r="G46" s="194">
        <v>77</v>
      </c>
      <c r="H46" s="194" t="s">
        <v>201</v>
      </c>
      <c r="I46" s="194">
        <v>65</v>
      </c>
      <c r="J46" s="194" t="s">
        <v>202</v>
      </c>
      <c r="K46" s="194">
        <v>76</v>
      </c>
      <c r="L46" s="194" t="s">
        <v>201</v>
      </c>
      <c r="M46" s="194">
        <v>0</v>
      </c>
      <c r="N46" s="194" t="s">
        <v>188</v>
      </c>
      <c r="O46" s="194">
        <v>5</v>
      </c>
      <c r="P46" s="194" t="s">
        <v>189</v>
      </c>
      <c r="Q46" s="194">
        <v>0</v>
      </c>
      <c r="R46" s="194" t="s">
        <v>203</v>
      </c>
      <c r="S46" s="194">
        <v>85</v>
      </c>
      <c r="T46" s="5" t="s">
        <v>192</v>
      </c>
      <c r="U46" s="194">
        <v>79</v>
      </c>
      <c r="V46" s="5" t="s">
        <v>192</v>
      </c>
      <c r="W46" s="194">
        <v>81</v>
      </c>
      <c r="X46" s="5" t="s">
        <v>192</v>
      </c>
      <c r="Y46" s="194">
        <v>85</v>
      </c>
      <c r="Z46" s="5" t="s">
        <v>192</v>
      </c>
      <c r="AA46" s="194">
        <v>80</v>
      </c>
      <c r="AB46" s="5" t="s">
        <v>192</v>
      </c>
      <c r="AC46" s="194">
        <v>87</v>
      </c>
      <c r="AD46" s="5" t="s">
        <v>192</v>
      </c>
    </row>
    <row r="47" spans="1:30" ht="94.5" x14ac:dyDescent="0.3">
      <c r="A47" s="5" t="s">
        <v>182</v>
      </c>
      <c r="B47" s="4">
        <v>10215</v>
      </c>
      <c r="C47" s="4">
        <v>2</v>
      </c>
      <c r="D47" s="4" t="s">
        <v>246</v>
      </c>
      <c r="E47" s="194" t="s">
        <v>205</v>
      </c>
      <c r="F47" s="194" t="s">
        <v>206</v>
      </c>
      <c r="G47" s="194">
        <v>81</v>
      </c>
      <c r="H47" s="194" t="s">
        <v>201</v>
      </c>
      <c r="I47" s="194">
        <v>86</v>
      </c>
      <c r="J47" s="194" t="s">
        <v>201</v>
      </c>
      <c r="K47" s="194">
        <v>76</v>
      </c>
      <c r="L47" s="194" t="s">
        <v>201</v>
      </c>
      <c r="M47" s="194">
        <v>0</v>
      </c>
      <c r="N47" s="194" t="s">
        <v>188</v>
      </c>
      <c r="O47" s="194">
        <v>1</v>
      </c>
      <c r="P47" s="194" t="s">
        <v>197</v>
      </c>
      <c r="Q47" s="194">
        <v>0</v>
      </c>
      <c r="R47" s="194" t="s">
        <v>203</v>
      </c>
      <c r="S47" s="194">
        <v>37</v>
      </c>
      <c r="T47" s="194" t="s">
        <v>187</v>
      </c>
      <c r="U47" s="194">
        <v>37</v>
      </c>
      <c r="V47" s="194" t="s">
        <v>187</v>
      </c>
      <c r="W47" s="194">
        <v>33</v>
      </c>
      <c r="X47" s="194" t="s">
        <v>187</v>
      </c>
      <c r="Y47" s="194">
        <v>36</v>
      </c>
      <c r="Z47" s="194" t="s">
        <v>187</v>
      </c>
      <c r="AA47" s="194">
        <v>32</v>
      </c>
      <c r="AB47" s="194" t="s">
        <v>187</v>
      </c>
      <c r="AC47" s="194">
        <v>36</v>
      </c>
      <c r="AD47" s="194" t="s">
        <v>187</v>
      </c>
    </row>
    <row r="48" spans="1:30" ht="81" x14ac:dyDescent="0.3">
      <c r="A48" s="5" t="s">
        <v>182</v>
      </c>
      <c r="B48" s="4">
        <v>10216</v>
      </c>
      <c r="C48" s="4">
        <v>1</v>
      </c>
      <c r="D48" s="4" t="s">
        <v>247</v>
      </c>
      <c r="E48" s="194" t="s">
        <v>184</v>
      </c>
      <c r="F48" s="194" t="s">
        <v>185</v>
      </c>
      <c r="G48" s="194">
        <v>23</v>
      </c>
      <c r="H48" s="194" t="s">
        <v>186</v>
      </c>
      <c r="I48" s="194">
        <v>23</v>
      </c>
      <c r="J48" s="194" t="s">
        <v>186</v>
      </c>
      <c r="K48" s="194">
        <v>45</v>
      </c>
      <c r="L48" s="194" t="s">
        <v>187</v>
      </c>
      <c r="M48" s="194">
        <v>0</v>
      </c>
      <c r="N48" s="194" t="s">
        <v>188</v>
      </c>
      <c r="O48" s="194">
        <v>3</v>
      </c>
      <c r="P48" s="194" t="s">
        <v>189</v>
      </c>
      <c r="Q48" s="194">
        <v>3</v>
      </c>
      <c r="R48" s="194" t="s">
        <v>190</v>
      </c>
      <c r="S48" s="194">
        <v>37</v>
      </c>
      <c r="T48" s="194" t="s">
        <v>187</v>
      </c>
      <c r="U48" s="194">
        <v>58</v>
      </c>
      <c r="V48" s="194" t="s">
        <v>191</v>
      </c>
      <c r="W48" s="194">
        <v>45</v>
      </c>
      <c r="X48" s="194" t="s">
        <v>191</v>
      </c>
      <c r="Y48" s="194">
        <v>48</v>
      </c>
      <c r="Z48" s="194" t="s">
        <v>191</v>
      </c>
      <c r="AA48" s="194">
        <v>32</v>
      </c>
      <c r="AB48" s="194" t="s">
        <v>187</v>
      </c>
      <c r="AC48" s="194">
        <v>62</v>
      </c>
      <c r="AD48" s="5" t="s">
        <v>192</v>
      </c>
    </row>
    <row r="49" spans="1:30" ht="81" x14ac:dyDescent="0.3">
      <c r="A49" s="5" t="s">
        <v>182</v>
      </c>
      <c r="B49" s="4">
        <v>10217</v>
      </c>
      <c r="C49" s="4">
        <v>1</v>
      </c>
      <c r="D49" s="4" t="s">
        <v>248</v>
      </c>
      <c r="E49" s="194" t="s">
        <v>194</v>
      </c>
      <c r="F49" s="194" t="s">
        <v>195</v>
      </c>
      <c r="G49" s="194">
        <v>32</v>
      </c>
      <c r="H49" s="194" t="s">
        <v>196</v>
      </c>
      <c r="I49" s="194">
        <v>31</v>
      </c>
      <c r="J49" s="194" t="s">
        <v>196</v>
      </c>
      <c r="K49" s="194">
        <v>26</v>
      </c>
      <c r="L49" s="194" t="s">
        <v>186</v>
      </c>
      <c r="M49" s="194">
        <v>0</v>
      </c>
      <c r="N49" s="194" t="s">
        <v>188</v>
      </c>
      <c r="O49" s="194">
        <v>1</v>
      </c>
      <c r="P49" s="194" t="s">
        <v>197</v>
      </c>
      <c r="Q49" s="194">
        <v>3</v>
      </c>
      <c r="R49" s="194" t="s">
        <v>190</v>
      </c>
      <c r="S49" s="194">
        <v>37</v>
      </c>
      <c r="T49" s="194" t="s">
        <v>187</v>
      </c>
      <c r="U49" s="194">
        <v>37</v>
      </c>
      <c r="V49" s="194" t="s">
        <v>187</v>
      </c>
      <c r="W49" s="194">
        <v>33</v>
      </c>
      <c r="X49" s="194" t="s">
        <v>187</v>
      </c>
      <c r="Y49" s="194">
        <v>36</v>
      </c>
      <c r="Z49" s="194" t="s">
        <v>187</v>
      </c>
      <c r="AA49" s="194">
        <v>32</v>
      </c>
      <c r="AB49" s="194" t="s">
        <v>187</v>
      </c>
      <c r="AC49" s="194">
        <v>36</v>
      </c>
      <c r="AD49" s="194" t="s">
        <v>187</v>
      </c>
    </row>
    <row r="50" spans="1:30" ht="81" x14ac:dyDescent="0.3">
      <c r="A50" s="5" t="s">
        <v>182</v>
      </c>
      <c r="B50" s="4">
        <v>10218</v>
      </c>
      <c r="C50" s="4">
        <v>1</v>
      </c>
      <c r="D50" s="4" t="s">
        <v>249</v>
      </c>
      <c r="E50" s="194" t="s">
        <v>199</v>
      </c>
      <c r="F50" s="194" t="s">
        <v>200</v>
      </c>
      <c r="G50" s="194">
        <v>77</v>
      </c>
      <c r="H50" s="194" t="s">
        <v>201</v>
      </c>
      <c r="I50" s="194">
        <v>65</v>
      </c>
      <c r="J50" s="194" t="s">
        <v>202</v>
      </c>
      <c r="K50" s="194">
        <v>76</v>
      </c>
      <c r="L50" s="194" t="s">
        <v>201</v>
      </c>
      <c r="M50" s="194">
        <v>0</v>
      </c>
      <c r="N50" s="194" t="s">
        <v>188</v>
      </c>
      <c r="O50" s="194">
        <v>5</v>
      </c>
      <c r="P50" s="194" t="s">
        <v>189</v>
      </c>
      <c r="Q50" s="194">
        <v>0</v>
      </c>
      <c r="R50" s="194" t="s">
        <v>203</v>
      </c>
      <c r="S50" s="194">
        <v>85</v>
      </c>
      <c r="T50" s="5" t="s">
        <v>192</v>
      </c>
      <c r="U50" s="194">
        <v>79</v>
      </c>
      <c r="V50" s="5" t="s">
        <v>192</v>
      </c>
      <c r="W50" s="194">
        <v>81</v>
      </c>
      <c r="X50" s="5" t="s">
        <v>192</v>
      </c>
      <c r="Y50" s="194">
        <v>85</v>
      </c>
      <c r="Z50" s="5" t="s">
        <v>192</v>
      </c>
      <c r="AA50" s="194">
        <v>80</v>
      </c>
      <c r="AB50" s="5" t="s">
        <v>192</v>
      </c>
      <c r="AC50" s="194">
        <v>87</v>
      </c>
      <c r="AD50" s="5" t="s">
        <v>192</v>
      </c>
    </row>
    <row r="51" spans="1:30" ht="94.5" x14ac:dyDescent="0.3">
      <c r="A51" s="5" t="s">
        <v>182</v>
      </c>
      <c r="B51" s="4">
        <v>10219</v>
      </c>
      <c r="C51" s="4">
        <v>1</v>
      </c>
      <c r="D51" s="4" t="s">
        <v>250</v>
      </c>
      <c r="E51" s="194" t="s">
        <v>205</v>
      </c>
      <c r="F51" s="194" t="s">
        <v>206</v>
      </c>
      <c r="G51" s="194">
        <v>81</v>
      </c>
      <c r="H51" s="194" t="s">
        <v>201</v>
      </c>
      <c r="I51" s="194">
        <v>86</v>
      </c>
      <c r="J51" s="194" t="s">
        <v>201</v>
      </c>
      <c r="K51" s="194">
        <v>76</v>
      </c>
      <c r="L51" s="194" t="s">
        <v>201</v>
      </c>
      <c r="M51" s="194">
        <v>0</v>
      </c>
      <c r="N51" s="194" t="s">
        <v>188</v>
      </c>
      <c r="O51" s="194">
        <v>1</v>
      </c>
      <c r="P51" s="194" t="s">
        <v>197</v>
      </c>
      <c r="Q51" s="194">
        <v>0</v>
      </c>
      <c r="R51" s="194" t="s">
        <v>203</v>
      </c>
      <c r="S51" s="194">
        <v>37</v>
      </c>
      <c r="T51" s="194" t="s">
        <v>187</v>
      </c>
      <c r="U51" s="194">
        <v>37</v>
      </c>
      <c r="V51" s="194" t="s">
        <v>187</v>
      </c>
      <c r="W51" s="194">
        <v>33</v>
      </c>
      <c r="X51" s="194" t="s">
        <v>187</v>
      </c>
      <c r="Y51" s="194">
        <v>36</v>
      </c>
      <c r="Z51" s="194" t="s">
        <v>187</v>
      </c>
      <c r="AA51" s="194">
        <v>32</v>
      </c>
      <c r="AB51" s="194" t="s">
        <v>187</v>
      </c>
      <c r="AC51" s="194">
        <v>36</v>
      </c>
      <c r="AD51" s="194" t="s">
        <v>187</v>
      </c>
    </row>
    <row r="52" spans="1:30" ht="81" x14ac:dyDescent="0.3">
      <c r="A52" s="5" t="s">
        <v>182</v>
      </c>
      <c r="B52" s="4">
        <v>10220</v>
      </c>
      <c r="C52" s="4">
        <v>1</v>
      </c>
      <c r="D52" s="4" t="s">
        <v>251</v>
      </c>
      <c r="E52" s="194" t="s">
        <v>184</v>
      </c>
      <c r="F52" s="194" t="s">
        <v>185</v>
      </c>
      <c r="G52" s="194">
        <v>23</v>
      </c>
      <c r="H52" s="194" t="s">
        <v>186</v>
      </c>
      <c r="I52" s="194">
        <v>23</v>
      </c>
      <c r="J52" s="194" t="s">
        <v>186</v>
      </c>
      <c r="K52" s="194">
        <v>45</v>
      </c>
      <c r="L52" s="194" t="s">
        <v>187</v>
      </c>
      <c r="M52" s="194">
        <v>0</v>
      </c>
      <c r="N52" s="194" t="s">
        <v>188</v>
      </c>
      <c r="O52" s="194">
        <v>3</v>
      </c>
      <c r="P52" s="194" t="s">
        <v>189</v>
      </c>
      <c r="Q52" s="194">
        <v>3</v>
      </c>
      <c r="R52" s="194" t="s">
        <v>190</v>
      </c>
      <c r="S52" s="194">
        <v>37</v>
      </c>
      <c r="T52" s="194" t="s">
        <v>187</v>
      </c>
      <c r="U52" s="194">
        <v>58</v>
      </c>
      <c r="V52" s="194" t="s">
        <v>191</v>
      </c>
      <c r="W52" s="194">
        <v>45</v>
      </c>
      <c r="X52" s="194" t="s">
        <v>191</v>
      </c>
      <c r="Y52" s="194">
        <v>48</v>
      </c>
      <c r="Z52" s="194" t="s">
        <v>191</v>
      </c>
      <c r="AA52" s="194">
        <v>32</v>
      </c>
      <c r="AB52" s="194" t="s">
        <v>187</v>
      </c>
      <c r="AC52" s="194">
        <v>62</v>
      </c>
      <c r="AD52" s="5" t="s">
        <v>192</v>
      </c>
    </row>
    <row r="53" spans="1:30" ht="81" x14ac:dyDescent="0.3">
      <c r="A53" s="5" t="s">
        <v>182</v>
      </c>
      <c r="B53" s="4">
        <v>10221</v>
      </c>
      <c r="C53" s="4">
        <v>1</v>
      </c>
      <c r="D53" s="4" t="s">
        <v>252</v>
      </c>
      <c r="E53" s="194" t="s">
        <v>194</v>
      </c>
      <c r="F53" s="194" t="s">
        <v>195</v>
      </c>
      <c r="G53" s="194">
        <v>32</v>
      </c>
      <c r="H53" s="194" t="s">
        <v>196</v>
      </c>
      <c r="I53" s="194">
        <v>31</v>
      </c>
      <c r="J53" s="194" t="s">
        <v>196</v>
      </c>
      <c r="K53" s="194">
        <v>26</v>
      </c>
      <c r="L53" s="194" t="s">
        <v>186</v>
      </c>
      <c r="M53" s="194">
        <v>0</v>
      </c>
      <c r="N53" s="194" t="s">
        <v>188</v>
      </c>
      <c r="O53" s="194">
        <v>1</v>
      </c>
      <c r="P53" s="194" t="s">
        <v>197</v>
      </c>
      <c r="Q53" s="194">
        <v>3</v>
      </c>
      <c r="R53" s="194" t="s">
        <v>190</v>
      </c>
      <c r="S53" s="194">
        <v>37</v>
      </c>
      <c r="T53" s="194" t="s">
        <v>187</v>
      </c>
      <c r="U53" s="194">
        <v>37</v>
      </c>
      <c r="V53" s="194" t="s">
        <v>187</v>
      </c>
      <c r="W53" s="194">
        <v>33</v>
      </c>
      <c r="X53" s="194" t="s">
        <v>187</v>
      </c>
      <c r="Y53" s="194">
        <v>36</v>
      </c>
      <c r="Z53" s="194" t="s">
        <v>187</v>
      </c>
      <c r="AA53" s="194">
        <v>32</v>
      </c>
      <c r="AB53" s="194" t="s">
        <v>187</v>
      </c>
      <c r="AC53" s="194">
        <v>36</v>
      </c>
      <c r="AD53" s="194" t="s">
        <v>187</v>
      </c>
    </row>
    <row r="54" spans="1:30" ht="81" x14ac:dyDescent="0.3">
      <c r="A54" s="5" t="s">
        <v>182</v>
      </c>
      <c r="B54" s="4">
        <v>10222</v>
      </c>
      <c r="C54" s="4">
        <v>1</v>
      </c>
      <c r="D54" s="4" t="s">
        <v>253</v>
      </c>
      <c r="E54" s="194" t="s">
        <v>199</v>
      </c>
      <c r="F54" s="194" t="s">
        <v>200</v>
      </c>
      <c r="G54" s="194">
        <v>77</v>
      </c>
      <c r="H54" s="194" t="s">
        <v>201</v>
      </c>
      <c r="I54" s="194">
        <v>65</v>
      </c>
      <c r="J54" s="194" t="s">
        <v>202</v>
      </c>
      <c r="K54" s="194">
        <v>76</v>
      </c>
      <c r="L54" s="194" t="s">
        <v>201</v>
      </c>
      <c r="M54" s="194">
        <v>0</v>
      </c>
      <c r="N54" s="194" t="s">
        <v>188</v>
      </c>
      <c r="O54" s="194">
        <v>5</v>
      </c>
      <c r="P54" s="194" t="s">
        <v>189</v>
      </c>
      <c r="Q54" s="194">
        <v>0</v>
      </c>
      <c r="R54" s="194" t="s">
        <v>203</v>
      </c>
      <c r="S54" s="194">
        <v>85</v>
      </c>
      <c r="T54" s="5" t="s">
        <v>192</v>
      </c>
      <c r="U54" s="194">
        <v>79</v>
      </c>
      <c r="V54" s="5" t="s">
        <v>192</v>
      </c>
      <c r="W54" s="194">
        <v>81</v>
      </c>
      <c r="X54" s="5" t="s">
        <v>192</v>
      </c>
      <c r="Y54" s="194">
        <v>85</v>
      </c>
      <c r="Z54" s="5" t="s">
        <v>192</v>
      </c>
      <c r="AA54" s="194">
        <v>80</v>
      </c>
      <c r="AB54" s="5" t="s">
        <v>192</v>
      </c>
      <c r="AC54" s="194">
        <v>87</v>
      </c>
      <c r="AD54" s="5" t="s">
        <v>192</v>
      </c>
    </row>
    <row r="55" spans="1:30" ht="94.5" x14ac:dyDescent="0.3">
      <c r="A55" s="5" t="s">
        <v>182</v>
      </c>
      <c r="B55" s="4">
        <v>10224</v>
      </c>
      <c r="C55" s="4">
        <v>1</v>
      </c>
      <c r="D55" s="4" t="s">
        <v>254</v>
      </c>
      <c r="E55" s="194" t="s">
        <v>205</v>
      </c>
      <c r="F55" s="194" t="s">
        <v>206</v>
      </c>
      <c r="G55" s="194">
        <v>81</v>
      </c>
      <c r="H55" s="194" t="s">
        <v>201</v>
      </c>
      <c r="I55" s="194">
        <v>86</v>
      </c>
      <c r="J55" s="194" t="s">
        <v>201</v>
      </c>
      <c r="K55" s="194">
        <v>76</v>
      </c>
      <c r="L55" s="194" t="s">
        <v>201</v>
      </c>
      <c r="M55" s="194">
        <v>0</v>
      </c>
      <c r="N55" s="194" t="s">
        <v>188</v>
      </c>
      <c r="O55" s="194">
        <v>1</v>
      </c>
      <c r="P55" s="194" t="s">
        <v>197</v>
      </c>
      <c r="Q55" s="194">
        <v>0</v>
      </c>
      <c r="R55" s="194" t="s">
        <v>203</v>
      </c>
      <c r="S55" s="194">
        <v>37</v>
      </c>
      <c r="T55" s="194" t="s">
        <v>187</v>
      </c>
      <c r="U55" s="194">
        <v>37</v>
      </c>
      <c r="V55" s="194" t="s">
        <v>187</v>
      </c>
      <c r="W55" s="194">
        <v>33</v>
      </c>
      <c r="X55" s="194" t="s">
        <v>187</v>
      </c>
      <c r="Y55" s="194">
        <v>36</v>
      </c>
      <c r="Z55" s="194" t="s">
        <v>187</v>
      </c>
      <c r="AA55" s="194">
        <v>32</v>
      </c>
      <c r="AB55" s="194" t="s">
        <v>187</v>
      </c>
      <c r="AC55" s="194">
        <v>36</v>
      </c>
      <c r="AD55" s="194" t="s">
        <v>187</v>
      </c>
    </row>
    <row r="56" spans="1:30" ht="81" x14ac:dyDescent="0.3">
      <c r="A56" s="5" t="s">
        <v>182</v>
      </c>
      <c r="B56" s="4">
        <v>10225</v>
      </c>
      <c r="C56" s="4">
        <v>1</v>
      </c>
      <c r="D56" s="4" t="s">
        <v>255</v>
      </c>
      <c r="E56" s="194" t="s">
        <v>184</v>
      </c>
      <c r="F56" s="194" t="s">
        <v>185</v>
      </c>
      <c r="G56" s="194">
        <v>23</v>
      </c>
      <c r="H56" s="194" t="s">
        <v>186</v>
      </c>
      <c r="I56" s="194">
        <v>23</v>
      </c>
      <c r="J56" s="194" t="s">
        <v>186</v>
      </c>
      <c r="K56" s="194">
        <v>45</v>
      </c>
      <c r="L56" s="194" t="s">
        <v>187</v>
      </c>
      <c r="M56" s="194">
        <v>0</v>
      </c>
      <c r="N56" s="194" t="s">
        <v>188</v>
      </c>
      <c r="O56" s="194">
        <v>3</v>
      </c>
      <c r="P56" s="194" t="s">
        <v>189</v>
      </c>
      <c r="Q56" s="194">
        <v>3</v>
      </c>
      <c r="R56" s="194" t="s">
        <v>190</v>
      </c>
      <c r="S56" s="194">
        <v>37</v>
      </c>
      <c r="T56" s="194" t="s">
        <v>187</v>
      </c>
      <c r="U56" s="194">
        <v>58</v>
      </c>
      <c r="V56" s="194" t="s">
        <v>191</v>
      </c>
      <c r="W56" s="194">
        <v>45</v>
      </c>
      <c r="X56" s="194" t="s">
        <v>191</v>
      </c>
      <c r="Y56" s="194">
        <v>48</v>
      </c>
      <c r="Z56" s="194" t="s">
        <v>191</v>
      </c>
      <c r="AA56" s="194">
        <v>32</v>
      </c>
      <c r="AB56" s="194" t="s">
        <v>187</v>
      </c>
      <c r="AC56" s="194">
        <v>62</v>
      </c>
      <c r="AD56" s="5" t="s">
        <v>192</v>
      </c>
    </row>
    <row r="57" spans="1:30" ht="81" x14ac:dyDescent="0.3">
      <c r="A57" s="5" t="s">
        <v>182</v>
      </c>
      <c r="B57" s="4">
        <v>10226</v>
      </c>
      <c r="C57" s="4">
        <v>1</v>
      </c>
      <c r="D57" s="4" t="s">
        <v>256</v>
      </c>
      <c r="E57" s="194" t="s">
        <v>194</v>
      </c>
      <c r="F57" s="194" t="s">
        <v>195</v>
      </c>
      <c r="G57" s="194">
        <v>32</v>
      </c>
      <c r="H57" s="194" t="s">
        <v>196</v>
      </c>
      <c r="I57" s="194">
        <v>31</v>
      </c>
      <c r="J57" s="194" t="s">
        <v>196</v>
      </c>
      <c r="K57" s="194">
        <v>26</v>
      </c>
      <c r="L57" s="194" t="s">
        <v>186</v>
      </c>
      <c r="M57" s="194">
        <v>0</v>
      </c>
      <c r="N57" s="194" t="s">
        <v>188</v>
      </c>
      <c r="O57" s="194">
        <v>1</v>
      </c>
      <c r="P57" s="194" t="s">
        <v>197</v>
      </c>
      <c r="Q57" s="194">
        <v>3</v>
      </c>
      <c r="R57" s="194" t="s">
        <v>190</v>
      </c>
      <c r="S57" s="194">
        <v>37</v>
      </c>
      <c r="T57" s="194" t="s">
        <v>187</v>
      </c>
      <c r="U57" s="194">
        <v>37</v>
      </c>
      <c r="V57" s="194" t="s">
        <v>187</v>
      </c>
      <c r="W57" s="194">
        <v>33</v>
      </c>
      <c r="X57" s="194" t="s">
        <v>187</v>
      </c>
      <c r="Y57" s="194">
        <v>36</v>
      </c>
      <c r="Z57" s="194" t="s">
        <v>187</v>
      </c>
      <c r="AA57" s="194">
        <v>32</v>
      </c>
      <c r="AB57" s="194" t="s">
        <v>187</v>
      </c>
      <c r="AC57" s="194">
        <v>36</v>
      </c>
      <c r="AD57" s="194" t="s">
        <v>187</v>
      </c>
    </row>
    <row r="58" spans="1:30" ht="81" x14ac:dyDescent="0.3">
      <c r="A58" s="5" t="s">
        <v>182</v>
      </c>
      <c r="B58" s="4">
        <v>10227</v>
      </c>
      <c r="C58" s="4">
        <v>1</v>
      </c>
      <c r="D58" s="4" t="s">
        <v>257</v>
      </c>
      <c r="E58" s="194" t="s">
        <v>199</v>
      </c>
      <c r="F58" s="194" t="s">
        <v>200</v>
      </c>
      <c r="G58" s="194">
        <v>77</v>
      </c>
      <c r="H58" s="194" t="s">
        <v>201</v>
      </c>
      <c r="I58" s="194">
        <v>65</v>
      </c>
      <c r="J58" s="194" t="s">
        <v>202</v>
      </c>
      <c r="K58" s="194">
        <v>76</v>
      </c>
      <c r="L58" s="194" t="s">
        <v>201</v>
      </c>
      <c r="M58" s="194">
        <v>0</v>
      </c>
      <c r="N58" s="194" t="s">
        <v>188</v>
      </c>
      <c r="O58" s="194">
        <v>5</v>
      </c>
      <c r="P58" s="194" t="s">
        <v>189</v>
      </c>
      <c r="Q58" s="194">
        <v>0</v>
      </c>
      <c r="R58" s="194" t="s">
        <v>203</v>
      </c>
      <c r="S58" s="194">
        <v>85</v>
      </c>
      <c r="T58" s="5" t="s">
        <v>192</v>
      </c>
      <c r="U58" s="194">
        <v>79</v>
      </c>
      <c r="V58" s="5" t="s">
        <v>192</v>
      </c>
      <c r="W58" s="194">
        <v>81</v>
      </c>
      <c r="X58" s="5" t="s">
        <v>192</v>
      </c>
      <c r="Y58" s="194">
        <v>85</v>
      </c>
      <c r="Z58" s="5" t="s">
        <v>192</v>
      </c>
      <c r="AA58" s="194">
        <v>80</v>
      </c>
      <c r="AB58" s="5" t="s">
        <v>192</v>
      </c>
      <c r="AC58" s="194">
        <v>87</v>
      </c>
      <c r="AD58" s="5" t="s">
        <v>192</v>
      </c>
    </row>
    <row r="59" spans="1:30" ht="94.5" x14ac:dyDescent="0.3">
      <c r="A59" s="5" t="s">
        <v>182</v>
      </c>
      <c r="B59" s="4">
        <v>10228</v>
      </c>
      <c r="C59" s="4">
        <v>1</v>
      </c>
      <c r="D59" s="4" t="s">
        <v>258</v>
      </c>
      <c r="E59" s="194" t="s">
        <v>205</v>
      </c>
      <c r="F59" s="194" t="s">
        <v>206</v>
      </c>
      <c r="G59" s="194">
        <v>81</v>
      </c>
      <c r="H59" s="194" t="s">
        <v>201</v>
      </c>
      <c r="I59" s="194">
        <v>86</v>
      </c>
      <c r="J59" s="194" t="s">
        <v>201</v>
      </c>
      <c r="K59" s="194">
        <v>76</v>
      </c>
      <c r="L59" s="194" t="s">
        <v>201</v>
      </c>
      <c r="M59" s="194">
        <v>0</v>
      </c>
      <c r="N59" s="194" t="s">
        <v>188</v>
      </c>
      <c r="O59" s="194">
        <v>1</v>
      </c>
      <c r="P59" s="194" t="s">
        <v>197</v>
      </c>
      <c r="Q59" s="194">
        <v>0</v>
      </c>
      <c r="R59" s="194" t="s">
        <v>203</v>
      </c>
      <c r="S59" s="194">
        <v>37</v>
      </c>
      <c r="T59" s="194" t="s">
        <v>187</v>
      </c>
      <c r="U59" s="194">
        <v>37</v>
      </c>
      <c r="V59" s="194" t="s">
        <v>187</v>
      </c>
      <c r="W59" s="194">
        <v>33</v>
      </c>
      <c r="X59" s="194" t="s">
        <v>187</v>
      </c>
      <c r="Y59" s="194">
        <v>36</v>
      </c>
      <c r="Z59" s="194" t="s">
        <v>187</v>
      </c>
      <c r="AA59" s="194">
        <v>32</v>
      </c>
      <c r="AB59" s="194" t="s">
        <v>187</v>
      </c>
      <c r="AC59" s="194">
        <v>36</v>
      </c>
      <c r="AD59" s="194" t="s">
        <v>187</v>
      </c>
    </row>
    <row r="60" spans="1:30" ht="81" x14ac:dyDescent="0.3">
      <c r="A60" s="5" t="s">
        <v>182</v>
      </c>
      <c r="B60" s="4">
        <v>10229</v>
      </c>
      <c r="C60" s="4">
        <v>1</v>
      </c>
      <c r="D60" s="4" t="s">
        <v>259</v>
      </c>
      <c r="E60" s="194" t="s">
        <v>184</v>
      </c>
      <c r="F60" s="194" t="s">
        <v>185</v>
      </c>
      <c r="G60" s="194">
        <v>23</v>
      </c>
      <c r="H60" s="194" t="s">
        <v>186</v>
      </c>
      <c r="I60" s="194">
        <v>23</v>
      </c>
      <c r="J60" s="194" t="s">
        <v>186</v>
      </c>
      <c r="K60" s="194">
        <v>45</v>
      </c>
      <c r="L60" s="194" t="s">
        <v>187</v>
      </c>
      <c r="M60" s="194">
        <v>0</v>
      </c>
      <c r="N60" s="194" t="s">
        <v>188</v>
      </c>
      <c r="O60" s="194">
        <v>3</v>
      </c>
      <c r="P60" s="194" t="s">
        <v>189</v>
      </c>
      <c r="Q60" s="194">
        <v>3</v>
      </c>
      <c r="R60" s="194" t="s">
        <v>190</v>
      </c>
      <c r="S60" s="194">
        <v>37</v>
      </c>
      <c r="T60" s="194" t="s">
        <v>187</v>
      </c>
      <c r="U60" s="194">
        <v>58</v>
      </c>
      <c r="V60" s="194" t="s">
        <v>191</v>
      </c>
      <c r="W60" s="194">
        <v>45</v>
      </c>
      <c r="X60" s="194" t="s">
        <v>191</v>
      </c>
      <c r="Y60" s="194">
        <v>48</v>
      </c>
      <c r="Z60" s="194" t="s">
        <v>191</v>
      </c>
      <c r="AA60" s="194">
        <v>32</v>
      </c>
      <c r="AB60" s="194" t="s">
        <v>187</v>
      </c>
      <c r="AC60" s="194">
        <v>62</v>
      </c>
      <c r="AD60" s="5" t="s">
        <v>192</v>
      </c>
    </row>
    <row r="61" spans="1:30" ht="81" x14ac:dyDescent="0.3">
      <c r="A61" s="5" t="s">
        <v>182</v>
      </c>
      <c r="B61" s="4">
        <v>10230</v>
      </c>
      <c r="C61" s="4">
        <v>1</v>
      </c>
      <c r="D61" s="4" t="s">
        <v>260</v>
      </c>
      <c r="E61" s="194" t="s">
        <v>194</v>
      </c>
      <c r="F61" s="194" t="s">
        <v>195</v>
      </c>
      <c r="G61" s="194">
        <v>32</v>
      </c>
      <c r="H61" s="194" t="s">
        <v>196</v>
      </c>
      <c r="I61" s="194">
        <v>31</v>
      </c>
      <c r="J61" s="194" t="s">
        <v>196</v>
      </c>
      <c r="K61" s="194">
        <v>26</v>
      </c>
      <c r="L61" s="194" t="s">
        <v>186</v>
      </c>
      <c r="M61" s="194">
        <v>0</v>
      </c>
      <c r="N61" s="194" t="s">
        <v>188</v>
      </c>
      <c r="O61" s="194">
        <v>1</v>
      </c>
      <c r="P61" s="194" t="s">
        <v>197</v>
      </c>
      <c r="Q61" s="194">
        <v>3</v>
      </c>
      <c r="R61" s="194" t="s">
        <v>190</v>
      </c>
      <c r="S61" s="194">
        <v>37</v>
      </c>
      <c r="T61" s="194" t="s">
        <v>187</v>
      </c>
      <c r="U61" s="194">
        <v>37</v>
      </c>
      <c r="V61" s="194" t="s">
        <v>187</v>
      </c>
      <c r="W61" s="194">
        <v>33</v>
      </c>
      <c r="X61" s="194" t="s">
        <v>187</v>
      </c>
      <c r="Y61" s="194">
        <v>36</v>
      </c>
      <c r="Z61" s="194" t="s">
        <v>187</v>
      </c>
      <c r="AA61" s="194">
        <v>32</v>
      </c>
      <c r="AB61" s="194" t="s">
        <v>187</v>
      </c>
      <c r="AC61" s="194">
        <v>36</v>
      </c>
      <c r="AD61" s="194" t="s">
        <v>187</v>
      </c>
    </row>
    <row r="62" spans="1:30" ht="81" x14ac:dyDescent="0.3">
      <c r="A62" s="5" t="s">
        <v>182</v>
      </c>
      <c r="B62" s="4">
        <v>10231</v>
      </c>
      <c r="C62" s="4">
        <v>1</v>
      </c>
      <c r="D62" s="4" t="s">
        <v>261</v>
      </c>
      <c r="E62" s="194" t="s">
        <v>199</v>
      </c>
      <c r="F62" s="194" t="s">
        <v>200</v>
      </c>
      <c r="G62" s="194">
        <v>77</v>
      </c>
      <c r="H62" s="194" t="s">
        <v>201</v>
      </c>
      <c r="I62" s="194">
        <v>65</v>
      </c>
      <c r="J62" s="194" t="s">
        <v>202</v>
      </c>
      <c r="K62" s="194">
        <v>76</v>
      </c>
      <c r="L62" s="194" t="s">
        <v>201</v>
      </c>
      <c r="M62" s="194">
        <v>0</v>
      </c>
      <c r="N62" s="194" t="s">
        <v>188</v>
      </c>
      <c r="O62" s="194">
        <v>5</v>
      </c>
      <c r="P62" s="194" t="s">
        <v>189</v>
      </c>
      <c r="Q62" s="194">
        <v>0</v>
      </c>
      <c r="R62" s="194" t="s">
        <v>203</v>
      </c>
      <c r="S62" s="194">
        <v>85</v>
      </c>
      <c r="T62" s="5" t="s">
        <v>192</v>
      </c>
      <c r="U62" s="194">
        <v>79</v>
      </c>
      <c r="V62" s="5" t="s">
        <v>192</v>
      </c>
      <c r="W62" s="194">
        <v>81</v>
      </c>
      <c r="X62" s="5" t="s">
        <v>192</v>
      </c>
      <c r="Y62" s="194">
        <v>85</v>
      </c>
      <c r="Z62" s="5" t="s">
        <v>192</v>
      </c>
      <c r="AA62" s="194">
        <v>80</v>
      </c>
      <c r="AB62" s="5" t="s">
        <v>192</v>
      </c>
      <c r="AC62" s="194">
        <v>87</v>
      </c>
      <c r="AD62" s="5" t="s">
        <v>192</v>
      </c>
    </row>
    <row r="63" spans="1:30" ht="94.5" x14ac:dyDescent="0.3">
      <c r="A63" s="5" t="s">
        <v>182</v>
      </c>
      <c r="B63" s="4">
        <v>10301</v>
      </c>
      <c r="C63" s="4">
        <v>2</v>
      </c>
      <c r="D63" s="4" t="s">
        <v>262</v>
      </c>
      <c r="E63" s="194" t="s">
        <v>205</v>
      </c>
      <c r="F63" s="194" t="s">
        <v>206</v>
      </c>
      <c r="G63" s="194">
        <v>81</v>
      </c>
      <c r="H63" s="194" t="s">
        <v>201</v>
      </c>
      <c r="I63" s="194">
        <v>86</v>
      </c>
      <c r="J63" s="194" t="s">
        <v>201</v>
      </c>
      <c r="K63" s="194">
        <v>76</v>
      </c>
      <c r="L63" s="194" t="s">
        <v>201</v>
      </c>
      <c r="M63" s="194">
        <v>0</v>
      </c>
      <c r="N63" s="194" t="s">
        <v>188</v>
      </c>
      <c r="O63" s="194">
        <v>1</v>
      </c>
      <c r="P63" s="194" t="s">
        <v>197</v>
      </c>
      <c r="Q63" s="194">
        <v>0</v>
      </c>
      <c r="R63" s="194" t="s">
        <v>203</v>
      </c>
      <c r="S63" s="194">
        <v>37</v>
      </c>
      <c r="T63" s="194" t="s">
        <v>187</v>
      </c>
      <c r="U63" s="194">
        <v>37</v>
      </c>
      <c r="V63" s="194" t="s">
        <v>187</v>
      </c>
      <c r="W63" s="194">
        <v>33</v>
      </c>
      <c r="X63" s="194" t="s">
        <v>187</v>
      </c>
      <c r="Y63" s="194">
        <v>36</v>
      </c>
      <c r="Z63" s="194" t="s">
        <v>187</v>
      </c>
      <c r="AA63" s="194">
        <v>32</v>
      </c>
      <c r="AB63" s="194" t="s">
        <v>187</v>
      </c>
      <c r="AC63" s="194">
        <v>36</v>
      </c>
      <c r="AD63" s="194" t="s">
        <v>187</v>
      </c>
    </row>
    <row r="64" spans="1:30" ht="81" x14ac:dyDescent="0.3">
      <c r="A64" s="5" t="s">
        <v>182</v>
      </c>
      <c r="B64" s="4">
        <v>10302</v>
      </c>
      <c r="C64" s="4">
        <v>2</v>
      </c>
      <c r="D64" s="4" t="s">
        <v>263</v>
      </c>
      <c r="E64" s="194" t="s">
        <v>184</v>
      </c>
      <c r="F64" s="194" t="s">
        <v>185</v>
      </c>
      <c r="G64" s="194">
        <v>23</v>
      </c>
      <c r="H64" s="194" t="s">
        <v>186</v>
      </c>
      <c r="I64" s="194">
        <v>23</v>
      </c>
      <c r="J64" s="194" t="s">
        <v>186</v>
      </c>
      <c r="K64" s="194">
        <v>45</v>
      </c>
      <c r="L64" s="194" t="s">
        <v>187</v>
      </c>
      <c r="M64" s="194">
        <v>0</v>
      </c>
      <c r="N64" s="194" t="s">
        <v>188</v>
      </c>
      <c r="O64" s="194">
        <v>3</v>
      </c>
      <c r="P64" s="194" t="s">
        <v>189</v>
      </c>
      <c r="Q64" s="194">
        <v>3</v>
      </c>
      <c r="R64" s="194" t="s">
        <v>190</v>
      </c>
      <c r="S64" s="194">
        <v>37</v>
      </c>
      <c r="T64" s="194" t="s">
        <v>187</v>
      </c>
      <c r="U64" s="194">
        <v>58</v>
      </c>
      <c r="V64" s="194" t="s">
        <v>191</v>
      </c>
      <c r="W64" s="194">
        <v>45</v>
      </c>
      <c r="X64" s="194" t="s">
        <v>191</v>
      </c>
      <c r="Y64" s="194">
        <v>48</v>
      </c>
      <c r="Z64" s="194" t="s">
        <v>191</v>
      </c>
      <c r="AA64" s="194">
        <v>32</v>
      </c>
      <c r="AB64" s="194" t="s">
        <v>187</v>
      </c>
      <c r="AC64" s="194">
        <v>62</v>
      </c>
      <c r="AD64" s="5" t="s">
        <v>192</v>
      </c>
    </row>
    <row r="65" spans="1:30" ht="81" x14ac:dyDescent="0.3">
      <c r="A65" s="5" t="s">
        <v>182</v>
      </c>
      <c r="B65" s="4">
        <v>10303</v>
      </c>
      <c r="C65" s="4">
        <v>2</v>
      </c>
      <c r="D65" s="4" t="s">
        <v>264</v>
      </c>
      <c r="E65" s="194" t="s">
        <v>194</v>
      </c>
      <c r="F65" s="194" t="s">
        <v>195</v>
      </c>
      <c r="G65" s="194">
        <v>32</v>
      </c>
      <c r="H65" s="194" t="s">
        <v>196</v>
      </c>
      <c r="I65" s="194">
        <v>31</v>
      </c>
      <c r="J65" s="194" t="s">
        <v>196</v>
      </c>
      <c r="K65" s="194">
        <v>26</v>
      </c>
      <c r="L65" s="194" t="s">
        <v>186</v>
      </c>
      <c r="M65" s="194">
        <v>0</v>
      </c>
      <c r="N65" s="194" t="s">
        <v>188</v>
      </c>
      <c r="O65" s="194">
        <v>1</v>
      </c>
      <c r="P65" s="194" t="s">
        <v>197</v>
      </c>
      <c r="Q65" s="194">
        <v>3</v>
      </c>
      <c r="R65" s="194" t="s">
        <v>190</v>
      </c>
      <c r="S65" s="194">
        <v>37</v>
      </c>
      <c r="T65" s="194" t="s">
        <v>187</v>
      </c>
      <c r="U65" s="194">
        <v>37</v>
      </c>
      <c r="V65" s="194" t="s">
        <v>187</v>
      </c>
      <c r="W65" s="194">
        <v>33</v>
      </c>
      <c r="X65" s="194" t="s">
        <v>187</v>
      </c>
      <c r="Y65" s="194">
        <v>36</v>
      </c>
      <c r="Z65" s="194" t="s">
        <v>187</v>
      </c>
      <c r="AA65" s="194">
        <v>32</v>
      </c>
      <c r="AB65" s="194" t="s">
        <v>187</v>
      </c>
      <c r="AC65" s="194">
        <v>36</v>
      </c>
      <c r="AD65" s="194" t="s">
        <v>187</v>
      </c>
    </row>
    <row r="66" spans="1:30" ht="81" x14ac:dyDescent="0.3">
      <c r="A66" s="5" t="s">
        <v>182</v>
      </c>
      <c r="B66" s="4">
        <v>10304</v>
      </c>
      <c r="C66" s="4">
        <v>2</v>
      </c>
      <c r="D66" s="4" t="s">
        <v>265</v>
      </c>
      <c r="E66" s="194" t="s">
        <v>199</v>
      </c>
      <c r="F66" s="194" t="s">
        <v>200</v>
      </c>
      <c r="G66" s="194">
        <v>77</v>
      </c>
      <c r="H66" s="194" t="s">
        <v>201</v>
      </c>
      <c r="I66" s="194">
        <v>65</v>
      </c>
      <c r="J66" s="194" t="s">
        <v>202</v>
      </c>
      <c r="K66" s="194">
        <v>76</v>
      </c>
      <c r="L66" s="194" t="s">
        <v>201</v>
      </c>
      <c r="M66" s="194">
        <v>0</v>
      </c>
      <c r="N66" s="194" t="s">
        <v>188</v>
      </c>
      <c r="O66" s="194">
        <v>5</v>
      </c>
      <c r="P66" s="194" t="s">
        <v>189</v>
      </c>
      <c r="Q66" s="194">
        <v>0</v>
      </c>
      <c r="R66" s="194" t="s">
        <v>203</v>
      </c>
      <c r="S66" s="194">
        <v>85</v>
      </c>
      <c r="T66" s="5" t="s">
        <v>192</v>
      </c>
      <c r="U66" s="194">
        <v>79</v>
      </c>
      <c r="V66" s="5" t="s">
        <v>192</v>
      </c>
      <c r="W66" s="194">
        <v>81</v>
      </c>
      <c r="X66" s="5" t="s">
        <v>192</v>
      </c>
      <c r="Y66" s="194">
        <v>85</v>
      </c>
      <c r="Z66" s="5" t="s">
        <v>192</v>
      </c>
      <c r="AA66" s="194">
        <v>80</v>
      </c>
      <c r="AB66" s="5" t="s">
        <v>192</v>
      </c>
      <c r="AC66" s="194">
        <v>87</v>
      </c>
      <c r="AD66" s="5" t="s">
        <v>192</v>
      </c>
    </row>
    <row r="67" spans="1:30" ht="94.5" x14ac:dyDescent="0.3">
      <c r="A67" s="5" t="s">
        <v>182</v>
      </c>
      <c r="B67" s="4">
        <v>10305</v>
      </c>
      <c r="C67" s="4">
        <v>2</v>
      </c>
      <c r="D67" s="4" t="s">
        <v>266</v>
      </c>
      <c r="E67" s="194" t="s">
        <v>205</v>
      </c>
      <c r="F67" s="194" t="s">
        <v>206</v>
      </c>
      <c r="G67" s="194">
        <v>81</v>
      </c>
      <c r="H67" s="194" t="s">
        <v>201</v>
      </c>
      <c r="I67" s="194">
        <v>86</v>
      </c>
      <c r="J67" s="194" t="s">
        <v>201</v>
      </c>
      <c r="K67" s="194">
        <v>76</v>
      </c>
      <c r="L67" s="194" t="s">
        <v>201</v>
      </c>
      <c r="M67" s="194">
        <v>0</v>
      </c>
      <c r="N67" s="194" t="s">
        <v>188</v>
      </c>
      <c r="O67" s="194">
        <v>1</v>
      </c>
      <c r="P67" s="194" t="s">
        <v>197</v>
      </c>
      <c r="Q67" s="194">
        <v>0</v>
      </c>
      <c r="R67" s="194" t="s">
        <v>203</v>
      </c>
      <c r="S67" s="194">
        <v>37</v>
      </c>
      <c r="T67" s="194" t="s">
        <v>187</v>
      </c>
      <c r="U67" s="194">
        <v>37</v>
      </c>
      <c r="V67" s="194" t="s">
        <v>187</v>
      </c>
      <c r="W67" s="194">
        <v>33</v>
      </c>
      <c r="X67" s="194" t="s">
        <v>187</v>
      </c>
      <c r="Y67" s="194">
        <v>36</v>
      </c>
      <c r="Z67" s="194" t="s">
        <v>187</v>
      </c>
      <c r="AA67" s="194">
        <v>32</v>
      </c>
      <c r="AB67" s="194" t="s">
        <v>187</v>
      </c>
      <c r="AC67" s="194">
        <v>36</v>
      </c>
      <c r="AD67" s="194" t="s">
        <v>187</v>
      </c>
    </row>
    <row r="68" spans="1:30" ht="81" x14ac:dyDescent="0.3">
      <c r="A68" s="5" t="s">
        <v>182</v>
      </c>
      <c r="B68" s="4">
        <v>10306</v>
      </c>
      <c r="C68" s="4">
        <v>2</v>
      </c>
      <c r="D68" s="4" t="s">
        <v>267</v>
      </c>
      <c r="E68" s="194" t="s">
        <v>184</v>
      </c>
      <c r="F68" s="194" t="s">
        <v>185</v>
      </c>
      <c r="G68" s="194">
        <v>23</v>
      </c>
      <c r="H68" s="194" t="s">
        <v>186</v>
      </c>
      <c r="I68" s="194">
        <v>23</v>
      </c>
      <c r="J68" s="194" t="s">
        <v>186</v>
      </c>
      <c r="K68" s="194">
        <v>45</v>
      </c>
      <c r="L68" s="194" t="s">
        <v>187</v>
      </c>
      <c r="M68" s="194">
        <v>0</v>
      </c>
      <c r="N68" s="194" t="s">
        <v>188</v>
      </c>
      <c r="O68" s="194">
        <v>3</v>
      </c>
      <c r="P68" s="194" t="s">
        <v>189</v>
      </c>
      <c r="Q68" s="194">
        <v>3</v>
      </c>
      <c r="R68" s="194" t="s">
        <v>190</v>
      </c>
      <c r="S68" s="194">
        <v>37</v>
      </c>
      <c r="T68" s="194" t="s">
        <v>187</v>
      </c>
      <c r="U68" s="194">
        <v>58</v>
      </c>
      <c r="V68" s="194" t="s">
        <v>191</v>
      </c>
      <c r="W68" s="194">
        <v>45</v>
      </c>
      <c r="X68" s="194" t="s">
        <v>191</v>
      </c>
      <c r="Y68" s="194">
        <v>48</v>
      </c>
      <c r="Z68" s="194" t="s">
        <v>191</v>
      </c>
      <c r="AA68" s="194">
        <v>32</v>
      </c>
      <c r="AB68" s="194" t="s">
        <v>187</v>
      </c>
      <c r="AC68" s="194">
        <v>62</v>
      </c>
      <c r="AD68" s="5" t="s">
        <v>192</v>
      </c>
    </row>
    <row r="69" spans="1:30" ht="81" x14ac:dyDescent="0.3">
      <c r="A69" s="5" t="s">
        <v>182</v>
      </c>
      <c r="B69" s="4">
        <v>10307</v>
      </c>
      <c r="C69" s="4">
        <v>2</v>
      </c>
      <c r="D69" s="4" t="s">
        <v>268</v>
      </c>
      <c r="E69" s="194" t="s">
        <v>194</v>
      </c>
      <c r="F69" s="194" t="s">
        <v>195</v>
      </c>
      <c r="G69" s="194">
        <v>32</v>
      </c>
      <c r="H69" s="194" t="s">
        <v>196</v>
      </c>
      <c r="I69" s="194">
        <v>31</v>
      </c>
      <c r="J69" s="194" t="s">
        <v>196</v>
      </c>
      <c r="K69" s="194">
        <v>26</v>
      </c>
      <c r="L69" s="194" t="s">
        <v>186</v>
      </c>
      <c r="M69" s="194">
        <v>0</v>
      </c>
      <c r="N69" s="194" t="s">
        <v>188</v>
      </c>
      <c r="O69" s="194">
        <v>1</v>
      </c>
      <c r="P69" s="194" t="s">
        <v>197</v>
      </c>
      <c r="Q69" s="194">
        <v>3</v>
      </c>
      <c r="R69" s="194" t="s">
        <v>190</v>
      </c>
      <c r="S69" s="194">
        <v>37</v>
      </c>
      <c r="T69" s="194" t="s">
        <v>187</v>
      </c>
      <c r="U69" s="194">
        <v>37</v>
      </c>
      <c r="V69" s="194" t="s">
        <v>187</v>
      </c>
      <c r="W69" s="194">
        <v>33</v>
      </c>
      <c r="X69" s="194" t="s">
        <v>187</v>
      </c>
      <c r="Y69" s="194">
        <v>36</v>
      </c>
      <c r="Z69" s="194" t="s">
        <v>187</v>
      </c>
      <c r="AA69" s="194">
        <v>32</v>
      </c>
      <c r="AB69" s="194" t="s">
        <v>187</v>
      </c>
      <c r="AC69" s="194">
        <v>36</v>
      </c>
      <c r="AD69" s="194" t="s">
        <v>187</v>
      </c>
    </row>
    <row r="70" spans="1:30" ht="81" x14ac:dyDescent="0.3">
      <c r="A70" s="5" t="s">
        <v>182</v>
      </c>
      <c r="B70" s="4">
        <v>10308</v>
      </c>
      <c r="C70" s="4">
        <v>2</v>
      </c>
      <c r="D70" s="4" t="s">
        <v>269</v>
      </c>
      <c r="E70" s="194" t="s">
        <v>199</v>
      </c>
      <c r="F70" s="194" t="s">
        <v>200</v>
      </c>
      <c r="G70" s="194">
        <v>77</v>
      </c>
      <c r="H70" s="194" t="s">
        <v>201</v>
      </c>
      <c r="I70" s="194">
        <v>65</v>
      </c>
      <c r="J70" s="194" t="s">
        <v>202</v>
      </c>
      <c r="K70" s="194">
        <v>76</v>
      </c>
      <c r="L70" s="194" t="s">
        <v>201</v>
      </c>
      <c r="M70" s="194">
        <v>0</v>
      </c>
      <c r="N70" s="194" t="s">
        <v>188</v>
      </c>
      <c r="O70" s="194">
        <v>5</v>
      </c>
      <c r="P70" s="194" t="s">
        <v>189</v>
      </c>
      <c r="Q70" s="194">
        <v>0</v>
      </c>
      <c r="R70" s="194" t="s">
        <v>203</v>
      </c>
      <c r="S70" s="194">
        <v>85</v>
      </c>
      <c r="T70" s="5" t="s">
        <v>192</v>
      </c>
      <c r="U70" s="194">
        <v>79</v>
      </c>
      <c r="V70" s="5" t="s">
        <v>192</v>
      </c>
      <c r="W70" s="194">
        <v>81</v>
      </c>
      <c r="X70" s="5" t="s">
        <v>192</v>
      </c>
      <c r="Y70" s="194">
        <v>85</v>
      </c>
      <c r="Z70" s="5" t="s">
        <v>192</v>
      </c>
      <c r="AA70" s="194">
        <v>80</v>
      </c>
      <c r="AB70" s="5" t="s">
        <v>192</v>
      </c>
      <c r="AC70" s="194">
        <v>87</v>
      </c>
      <c r="AD70" s="5" t="s">
        <v>192</v>
      </c>
    </row>
    <row r="71" spans="1:30" ht="94.5" x14ac:dyDescent="0.3">
      <c r="A71" s="5" t="s">
        <v>182</v>
      </c>
      <c r="B71" s="4">
        <v>10309</v>
      </c>
      <c r="C71" s="4">
        <v>2</v>
      </c>
      <c r="D71" s="4" t="s">
        <v>270</v>
      </c>
      <c r="E71" s="194" t="s">
        <v>205</v>
      </c>
      <c r="F71" s="194" t="s">
        <v>206</v>
      </c>
      <c r="G71" s="194">
        <v>81</v>
      </c>
      <c r="H71" s="194" t="s">
        <v>201</v>
      </c>
      <c r="I71" s="194">
        <v>86</v>
      </c>
      <c r="J71" s="194" t="s">
        <v>201</v>
      </c>
      <c r="K71" s="194">
        <v>76</v>
      </c>
      <c r="L71" s="194" t="s">
        <v>201</v>
      </c>
      <c r="M71" s="194">
        <v>0</v>
      </c>
      <c r="N71" s="194" t="s">
        <v>188</v>
      </c>
      <c r="O71" s="194">
        <v>1</v>
      </c>
      <c r="P71" s="194" t="s">
        <v>197</v>
      </c>
      <c r="Q71" s="194">
        <v>0</v>
      </c>
      <c r="R71" s="194" t="s">
        <v>203</v>
      </c>
      <c r="S71" s="194">
        <v>37</v>
      </c>
      <c r="T71" s="194" t="s">
        <v>187</v>
      </c>
      <c r="U71" s="194">
        <v>37</v>
      </c>
      <c r="V71" s="194" t="s">
        <v>187</v>
      </c>
      <c r="W71" s="194">
        <v>33</v>
      </c>
      <c r="X71" s="194" t="s">
        <v>187</v>
      </c>
      <c r="Y71" s="194">
        <v>36</v>
      </c>
      <c r="Z71" s="194" t="s">
        <v>187</v>
      </c>
      <c r="AA71" s="194">
        <v>32</v>
      </c>
      <c r="AB71" s="194" t="s">
        <v>187</v>
      </c>
      <c r="AC71" s="194">
        <v>36</v>
      </c>
      <c r="AD71" s="194" t="s">
        <v>187</v>
      </c>
    </row>
    <row r="72" spans="1:30" ht="81" x14ac:dyDescent="0.3">
      <c r="A72" s="5" t="s">
        <v>182</v>
      </c>
      <c r="B72" s="4">
        <v>10310</v>
      </c>
      <c r="C72" s="4">
        <v>2</v>
      </c>
      <c r="D72" s="4" t="s">
        <v>271</v>
      </c>
      <c r="E72" s="194" t="s">
        <v>184</v>
      </c>
      <c r="F72" s="194" t="s">
        <v>185</v>
      </c>
      <c r="G72" s="194">
        <v>23</v>
      </c>
      <c r="H72" s="194" t="s">
        <v>186</v>
      </c>
      <c r="I72" s="194">
        <v>23</v>
      </c>
      <c r="J72" s="194" t="s">
        <v>186</v>
      </c>
      <c r="K72" s="194">
        <v>45</v>
      </c>
      <c r="L72" s="194" t="s">
        <v>187</v>
      </c>
      <c r="M72" s="194">
        <v>0</v>
      </c>
      <c r="N72" s="194" t="s">
        <v>188</v>
      </c>
      <c r="O72" s="194">
        <v>3</v>
      </c>
      <c r="P72" s="194" t="s">
        <v>189</v>
      </c>
      <c r="Q72" s="194">
        <v>3</v>
      </c>
      <c r="R72" s="194" t="s">
        <v>190</v>
      </c>
      <c r="S72" s="194">
        <v>37</v>
      </c>
      <c r="T72" s="194" t="s">
        <v>187</v>
      </c>
      <c r="U72" s="194">
        <v>58</v>
      </c>
      <c r="V72" s="194" t="s">
        <v>191</v>
      </c>
      <c r="W72" s="194">
        <v>45</v>
      </c>
      <c r="X72" s="194" t="s">
        <v>191</v>
      </c>
      <c r="Y72" s="194">
        <v>48</v>
      </c>
      <c r="Z72" s="194" t="s">
        <v>191</v>
      </c>
      <c r="AA72" s="194">
        <v>32</v>
      </c>
      <c r="AB72" s="194" t="s">
        <v>187</v>
      </c>
      <c r="AC72" s="194">
        <v>62</v>
      </c>
      <c r="AD72" s="5" t="s">
        <v>192</v>
      </c>
    </row>
    <row r="73" spans="1:30" ht="81" x14ac:dyDescent="0.3">
      <c r="A73" s="5" t="s">
        <v>182</v>
      </c>
      <c r="B73" s="4">
        <v>10311</v>
      </c>
      <c r="C73" s="4">
        <v>2</v>
      </c>
      <c r="D73" s="4" t="s">
        <v>272</v>
      </c>
      <c r="E73" s="194" t="s">
        <v>194</v>
      </c>
      <c r="F73" s="194" t="s">
        <v>195</v>
      </c>
      <c r="G73" s="194">
        <v>32</v>
      </c>
      <c r="H73" s="194" t="s">
        <v>196</v>
      </c>
      <c r="I73" s="194">
        <v>31</v>
      </c>
      <c r="J73" s="194" t="s">
        <v>196</v>
      </c>
      <c r="K73" s="194">
        <v>26</v>
      </c>
      <c r="L73" s="194" t="s">
        <v>186</v>
      </c>
      <c r="M73" s="194">
        <v>0</v>
      </c>
      <c r="N73" s="194" t="s">
        <v>188</v>
      </c>
      <c r="O73" s="194">
        <v>1</v>
      </c>
      <c r="P73" s="194" t="s">
        <v>197</v>
      </c>
      <c r="Q73" s="194">
        <v>3</v>
      </c>
      <c r="R73" s="194" t="s">
        <v>190</v>
      </c>
      <c r="S73" s="194">
        <v>37</v>
      </c>
      <c r="T73" s="194" t="s">
        <v>187</v>
      </c>
      <c r="U73" s="194">
        <v>37</v>
      </c>
      <c r="V73" s="194" t="s">
        <v>187</v>
      </c>
      <c r="W73" s="194">
        <v>33</v>
      </c>
      <c r="X73" s="194" t="s">
        <v>187</v>
      </c>
      <c r="Y73" s="194">
        <v>36</v>
      </c>
      <c r="Z73" s="194" t="s">
        <v>187</v>
      </c>
      <c r="AA73" s="194">
        <v>32</v>
      </c>
      <c r="AB73" s="194" t="s">
        <v>187</v>
      </c>
      <c r="AC73" s="194">
        <v>36</v>
      </c>
      <c r="AD73" s="194" t="s">
        <v>187</v>
      </c>
    </row>
    <row r="74" spans="1:30" ht="81" x14ac:dyDescent="0.3">
      <c r="A74" s="5" t="s">
        <v>182</v>
      </c>
      <c r="B74" s="4">
        <v>10312</v>
      </c>
      <c r="C74" s="4">
        <v>2</v>
      </c>
      <c r="D74" s="4" t="s">
        <v>273</v>
      </c>
      <c r="E74" s="194" t="s">
        <v>199</v>
      </c>
      <c r="F74" s="194" t="s">
        <v>200</v>
      </c>
      <c r="G74" s="194">
        <v>77</v>
      </c>
      <c r="H74" s="194" t="s">
        <v>201</v>
      </c>
      <c r="I74" s="194">
        <v>65</v>
      </c>
      <c r="J74" s="194" t="s">
        <v>202</v>
      </c>
      <c r="K74" s="194">
        <v>76</v>
      </c>
      <c r="L74" s="194" t="s">
        <v>201</v>
      </c>
      <c r="M74" s="194">
        <v>0</v>
      </c>
      <c r="N74" s="194" t="s">
        <v>188</v>
      </c>
      <c r="O74" s="194">
        <v>5</v>
      </c>
      <c r="P74" s="194" t="s">
        <v>189</v>
      </c>
      <c r="Q74" s="194">
        <v>0</v>
      </c>
      <c r="R74" s="194" t="s">
        <v>203</v>
      </c>
      <c r="S74" s="194">
        <v>85</v>
      </c>
      <c r="T74" s="5" t="s">
        <v>192</v>
      </c>
      <c r="U74" s="194">
        <v>79</v>
      </c>
      <c r="V74" s="5" t="s">
        <v>192</v>
      </c>
      <c r="W74" s="194">
        <v>81</v>
      </c>
      <c r="X74" s="5" t="s">
        <v>192</v>
      </c>
      <c r="Y74" s="194">
        <v>85</v>
      </c>
      <c r="Z74" s="5" t="s">
        <v>192</v>
      </c>
      <c r="AA74" s="194">
        <v>80</v>
      </c>
      <c r="AB74" s="5" t="s">
        <v>192</v>
      </c>
      <c r="AC74" s="194">
        <v>87</v>
      </c>
      <c r="AD74" s="5" t="s">
        <v>192</v>
      </c>
    </row>
    <row r="75" spans="1:30" ht="94.5" x14ac:dyDescent="0.3">
      <c r="A75" s="5" t="s">
        <v>182</v>
      </c>
      <c r="B75" s="4">
        <v>10313</v>
      </c>
      <c r="C75" s="4">
        <v>2</v>
      </c>
      <c r="D75" s="4" t="s">
        <v>274</v>
      </c>
      <c r="E75" s="194" t="s">
        <v>205</v>
      </c>
      <c r="F75" s="194" t="s">
        <v>206</v>
      </c>
      <c r="G75" s="194">
        <v>81</v>
      </c>
      <c r="H75" s="194" t="s">
        <v>201</v>
      </c>
      <c r="I75" s="194">
        <v>86</v>
      </c>
      <c r="J75" s="194" t="s">
        <v>201</v>
      </c>
      <c r="K75" s="194">
        <v>76</v>
      </c>
      <c r="L75" s="194" t="s">
        <v>201</v>
      </c>
      <c r="M75" s="194">
        <v>0</v>
      </c>
      <c r="N75" s="194" t="s">
        <v>188</v>
      </c>
      <c r="O75" s="194">
        <v>1</v>
      </c>
      <c r="P75" s="194" t="s">
        <v>197</v>
      </c>
      <c r="Q75" s="194">
        <v>0</v>
      </c>
      <c r="R75" s="194" t="s">
        <v>203</v>
      </c>
      <c r="S75" s="194">
        <v>37</v>
      </c>
      <c r="T75" s="194" t="s">
        <v>187</v>
      </c>
      <c r="U75" s="194">
        <v>37</v>
      </c>
      <c r="V75" s="194" t="s">
        <v>187</v>
      </c>
      <c r="W75" s="194">
        <v>33</v>
      </c>
      <c r="X75" s="194" t="s">
        <v>187</v>
      </c>
      <c r="Y75" s="194">
        <v>36</v>
      </c>
      <c r="Z75" s="194" t="s">
        <v>187</v>
      </c>
      <c r="AA75" s="194">
        <v>32</v>
      </c>
      <c r="AB75" s="194" t="s">
        <v>187</v>
      </c>
      <c r="AC75" s="194">
        <v>36</v>
      </c>
      <c r="AD75" s="194" t="s">
        <v>187</v>
      </c>
    </row>
    <row r="76" spans="1:30" ht="81" x14ac:dyDescent="0.3">
      <c r="A76" s="5" t="s">
        <v>182</v>
      </c>
      <c r="B76" s="4">
        <v>10314</v>
      </c>
      <c r="C76" s="4">
        <v>2</v>
      </c>
      <c r="D76" s="4" t="s">
        <v>275</v>
      </c>
      <c r="E76" s="194" t="s">
        <v>184</v>
      </c>
      <c r="F76" s="194" t="s">
        <v>185</v>
      </c>
      <c r="G76" s="194">
        <v>23</v>
      </c>
      <c r="H76" s="194" t="s">
        <v>186</v>
      </c>
      <c r="I76" s="194">
        <v>23</v>
      </c>
      <c r="J76" s="194" t="s">
        <v>186</v>
      </c>
      <c r="K76" s="194">
        <v>45</v>
      </c>
      <c r="L76" s="194" t="s">
        <v>187</v>
      </c>
      <c r="M76" s="194">
        <v>0</v>
      </c>
      <c r="N76" s="194" t="s">
        <v>188</v>
      </c>
      <c r="O76" s="194">
        <v>3</v>
      </c>
      <c r="P76" s="194" t="s">
        <v>189</v>
      </c>
      <c r="Q76" s="194">
        <v>3</v>
      </c>
      <c r="R76" s="194" t="s">
        <v>190</v>
      </c>
      <c r="S76" s="194">
        <v>37</v>
      </c>
      <c r="T76" s="194" t="s">
        <v>187</v>
      </c>
      <c r="U76" s="194">
        <v>58</v>
      </c>
      <c r="V76" s="194" t="s">
        <v>191</v>
      </c>
      <c r="W76" s="194">
        <v>45</v>
      </c>
      <c r="X76" s="194" t="s">
        <v>191</v>
      </c>
      <c r="Y76" s="194">
        <v>48</v>
      </c>
      <c r="Z76" s="194" t="s">
        <v>191</v>
      </c>
      <c r="AA76" s="194">
        <v>32</v>
      </c>
      <c r="AB76" s="194" t="s">
        <v>187</v>
      </c>
      <c r="AC76" s="194">
        <v>62</v>
      </c>
      <c r="AD76" s="5" t="s">
        <v>192</v>
      </c>
    </row>
    <row r="77" spans="1:30" ht="81" x14ac:dyDescent="0.3">
      <c r="A77" s="5" t="s">
        <v>182</v>
      </c>
      <c r="B77" s="4">
        <v>10315</v>
      </c>
      <c r="C77" s="4">
        <v>2</v>
      </c>
      <c r="D77" s="4" t="s">
        <v>276</v>
      </c>
      <c r="E77" s="194" t="s">
        <v>194</v>
      </c>
      <c r="F77" s="194" t="s">
        <v>195</v>
      </c>
      <c r="G77" s="194">
        <v>32</v>
      </c>
      <c r="H77" s="194" t="s">
        <v>196</v>
      </c>
      <c r="I77" s="194">
        <v>31</v>
      </c>
      <c r="J77" s="194" t="s">
        <v>196</v>
      </c>
      <c r="K77" s="194">
        <v>26</v>
      </c>
      <c r="L77" s="194" t="s">
        <v>186</v>
      </c>
      <c r="M77" s="194">
        <v>0</v>
      </c>
      <c r="N77" s="194" t="s">
        <v>188</v>
      </c>
      <c r="O77" s="194">
        <v>1</v>
      </c>
      <c r="P77" s="194" t="s">
        <v>197</v>
      </c>
      <c r="Q77" s="194">
        <v>3</v>
      </c>
      <c r="R77" s="194" t="s">
        <v>190</v>
      </c>
      <c r="S77" s="194">
        <v>37</v>
      </c>
      <c r="T77" s="194" t="s">
        <v>187</v>
      </c>
      <c r="U77" s="194">
        <v>37</v>
      </c>
      <c r="V77" s="194" t="s">
        <v>187</v>
      </c>
      <c r="W77" s="194">
        <v>33</v>
      </c>
      <c r="X77" s="194" t="s">
        <v>187</v>
      </c>
      <c r="Y77" s="194">
        <v>36</v>
      </c>
      <c r="Z77" s="194" t="s">
        <v>187</v>
      </c>
      <c r="AA77" s="194">
        <v>32</v>
      </c>
      <c r="AB77" s="194" t="s">
        <v>187</v>
      </c>
      <c r="AC77" s="194">
        <v>36</v>
      </c>
      <c r="AD77" s="194" t="s">
        <v>187</v>
      </c>
    </row>
    <row r="78" spans="1:30" ht="81" x14ac:dyDescent="0.3">
      <c r="A78" s="5" t="s">
        <v>182</v>
      </c>
      <c r="B78" s="4">
        <v>10316</v>
      </c>
      <c r="C78" s="4">
        <v>1</v>
      </c>
      <c r="D78" s="4" t="s">
        <v>277</v>
      </c>
      <c r="E78" s="194" t="s">
        <v>199</v>
      </c>
      <c r="F78" s="194" t="s">
        <v>200</v>
      </c>
      <c r="G78" s="194">
        <v>77</v>
      </c>
      <c r="H78" s="194" t="s">
        <v>201</v>
      </c>
      <c r="I78" s="194">
        <v>65</v>
      </c>
      <c r="J78" s="194" t="s">
        <v>202</v>
      </c>
      <c r="K78" s="194">
        <v>76</v>
      </c>
      <c r="L78" s="194" t="s">
        <v>201</v>
      </c>
      <c r="M78" s="194">
        <v>0</v>
      </c>
      <c r="N78" s="194" t="s">
        <v>188</v>
      </c>
      <c r="O78" s="194">
        <v>5</v>
      </c>
      <c r="P78" s="194" t="s">
        <v>189</v>
      </c>
      <c r="Q78" s="194">
        <v>0</v>
      </c>
      <c r="R78" s="194" t="s">
        <v>203</v>
      </c>
      <c r="S78" s="194">
        <v>85</v>
      </c>
      <c r="T78" s="5" t="s">
        <v>192</v>
      </c>
      <c r="U78" s="194">
        <v>79</v>
      </c>
      <c r="V78" s="5" t="s">
        <v>192</v>
      </c>
      <c r="W78" s="194">
        <v>81</v>
      </c>
      <c r="X78" s="5" t="s">
        <v>192</v>
      </c>
      <c r="Y78" s="194">
        <v>85</v>
      </c>
      <c r="Z78" s="5" t="s">
        <v>192</v>
      </c>
      <c r="AA78" s="194">
        <v>80</v>
      </c>
      <c r="AB78" s="5" t="s">
        <v>192</v>
      </c>
      <c r="AC78" s="194">
        <v>87</v>
      </c>
      <c r="AD78" s="5" t="s">
        <v>192</v>
      </c>
    </row>
    <row r="79" spans="1:30" ht="94.5" x14ac:dyDescent="0.3">
      <c r="A79" s="5" t="s">
        <v>182</v>
      </c>
      <c r="B79" s="4">
        <v>10317</v>
      </c>
      <c r="C79" s="4">
        <v>1</v>
      </c>
      <c r="D79" s="4" t="s">
        <v>278</v>
      </c>
      <c r="E79" s="194" t="s">
        <v>205</v>
      </c>
      <c r="F79" s="194" t="s">
        <v>206</v>
      </c>
      <c r="G79" s="194">
        <v>81</v>
      </c>
      <c r="H79" s="194" t="s">
        <v>201</v>
      </c>
      <c r="I79" s="194">
        <v>86</v>
      </c>
      <c r="J79" s="194" t="s">
        <v>201</v>
      </c>
      <c r="K79" s="194">
        <v>76</v>
      </c>
      <c r="L79" s="194" t="s">
        <v>201</v>
      </c>
      <c r="M79" s="194">
        <v>0</v>
      </c>
      <c r="N79" s="194" t="s">
        <v>188</v>
      </c>
      <c r="O79" s="194">
        <v>1</v>
      </c>
      <c r="P79" s="194" t="s">
        <v>197</v>
      </c>
      <c r="Q79" s="194">
        <v>0</v>
      </c>
      <c r="R79" s="194" t="s">
        <v>203</v>
      </c>
      <c r="S79" s="194">
        <v>37</v>
      </c>
      <c r="T79" s="194" t="s">
        <v>187</v>
      </c>
      <c r="U79" s="194">
        <v>37</v>
      </c>
      <c r="V79" s="194" t="s">
        <v>187</v>
      </c>
      <c r="W79" s="194">
        <v>33</v>
      </c>
      <c r="X79" s="194" t="s">
        <v>187</v>
      </c>
      <c r="Y79" s="194">
        <v>36</v>
      </c>
      <c r="Z79" s="194" t="s">
        <v>187</v>
      </c>
      <c r="AA79" s="194">
        <v>32</v>
      </c>
      <c r="AB79" s="194" t="s">
        <v>187</v>
      </c>
      <c r="AC79" s="194">
        <v>36</v>
      </c>
      <c r="AD79" s="194" t="s">
        <v>187</v>
      </c>
    </row>
    <row r="80" spans="1:30" ht="81" x14ac:dyDescent="0.3">
      <c r="A80" s="5" t="s">
        <v>182</v>
      </c>
      <c r="B80" s="4">
        <v>10318</v>
      </c>
      <c r="C80" s="4">
        <v>1</v>
      </c>
      <c r="D80" s="4" t="s">
        <v>279</v>
      </c>
      <c r="E80" s="194" t="s">
        <v>184</v>
      </c>
      <c r="F80" s="194" t="s">
        <v>185</v>
      </c>
      <c r="G80" s="194">
        <v>23</v>
      </c>
      <c r="H80" s="194" t="s">
        <v>186</v>
      </c>
      <c r="I80" s="194">
        <v>23</v>
      </c>
      <c r="J80" s="194" t="s">
        <v>186</v>
      </c>
      <c r="K80" s="194">
        <v>45</v>
      </c>
      <c r="L80" s="194" t="s">
        <v>187</v>
      </c>
      <c r="M80" s="194">
        <v>0</v>
      </c>
      <c r="N80" s="194" t="s">
        <v>188</v>
      </c>
      <c r="O80" s="194">
        <v>3</v>
      </c>
      <c r="P80" s="194" t="s">
        <v>189</v>
      </c>
      <c r="Q80" s="194">
        <v>3</v>
      </c>
      <c r="R80" s="194" t="s">
        <v>190</v>
      </c>
      <c r="S80" s="194">
        <v>37</v>
      </c>
      <c r="T80" s="194" t="s">
        <v>187</v>
      </c>
      <c r="U80" s="194">
        <v>58</v>
      </c>
      <c r="V80" s="194" t="s">
        <v>191</v>
      </c>
      <c r="W80" s="194">
        <v>45</v>
      </c>
      <c r="X80" s="194" t="s">
        <v>191</v>
      </c>
      <c r="Y80" s="194">
        <v>48</v>
      </c>
      <c r="Z80" s="194" t="s">
        <v>191</v>
      </c>
      <c r="AA80" s="194">
        <v>32</v>
      </c>
      <c r="AB80" s="194" t="s">
        <v>187</v>
      </c>
      <c r="AC80" s="194">
        <v>62</v>
      </c>
      <c r="AD80" s="5" t="s">
        <v>192</v>
      </c>
    </row>
    <row r="81" spans="1:30" ht="81" x14ac:dyDescent="0.3">
      <c r="A81" s="5" t="s">
        <v>182</v>
      </c>
      <c r="B81" s="4">
        <v>10319</v>
      </c>
      <c r="C81" s="4">
        <v>1</v>
      </c>
      <c r="D81" s="4" t="s">
        <v>280</v>
      </c>
      <c r="E81" s="194" t="s">
        <v>194</v>
      </c>
      <c r="F81" s="194" t="s">
        <v>195</v>
      </c>
      <c r="G81" s="194">
        <v>32</v>
      </c>
      <c r="H81" s="194" t="s">
        <v>196</v>
      </c>
      <c r="I81" s="194">
        <v>31</v>
      </c>
      <c r="J81" s="194" t="s">
        <v>196</v>
      </c>
      <c r="K81" s="194">
        <v>26</v>
      </c>
      <c r="L81" s="194" t="s">
        <v>186</v>
      </c>
      <c r="M81" s="194">
        <v>0</v>
      </c>
      <c r="N81" s="194" t="s">
        <v>188</v>
      </c>
      <c r="O81" s="194">
        <v>1</v>
      </c>
      <c r="P81" s="194" t="s">
        <v>197</v>
      </c>
      <c r="Q81" s="194">
        <v>3</v>
      </c>
      <c r="R81" s="194" t="s">
        <v>190</v>
      </c>
      <c r="S81" s="194">
        <v>37</v>
      </c>
      <c r="T81" s="194" t="s">
        <v>187</v>
      </c>
      <c r="U81" s="194">
        <v>37</v>
      </c>
      <c r="V81" s="194" t="s">
        <v>187</v>
      </c>
      <c r="W81" s="194">
        <v>33</v>
      </c>
      <c r="X81" s="194" t="s">
        <v>187</v>
      </c>
      <c r="Y81" s="194">
        <v>36</v>
      </c>
      <c r="Z81" s="194" t="s">
        <v>187</v>
      </c>
      <c r="AA81" s="194">
        <v>32</v>
      </c>
      <c r="AB81" s="194" t="s">
        <v>187</v>
      </c>
      <c r="AC81" s="194">
        <v>36</v>
      </c>
      <c r="AD81" s="194" t="s">
        <v>187</v>
      </c>
    </row>
    <row r="82" spans="1:30" ht="81" x14ac:dyDescent="0.3">
      <c r="A82" s="5" t="s">
        <v>182</v>
      </c>
      <c r="B82" s="4">
        <v>10320</v>
      </c>
      <c r="C82" s="4">
        <v>1</v>
      </c>
      <c r="D82" s="4" t="s">
        <v>281</v>
      </c>
      <c r="E82" s="194" t="s">
        <v>199</v>
      </c>
      <c r="F82" s="194" t="s">
        <v>200</v>
      </c>
      <c r="G82" s="194">
        <v>77</v>
      </c>
      <c r="H82" s="194" t="s">
        <v>201</v>
      </c>
      <c r="I82" s="194">
        <v>65</v>
      </c>
      <c r="J82" s="194" t="s">
        <v>202</v>
      </c>
      <c r="K82" s="194">
        <v>76</v>
      </c>
      <c r="L82" s="194" t="s">
        <v>201</v>
      </c>
      <c r="M82" s="194">
        <v>0</v>
      </c>
      <c r="N82" s="194" t="s">
        <v>188</v>
      </c>
      <c r="O82" s="194">
        <v>5</v>
      </c>
      <c r="P82" s="194" t="s">
        <v>189</v>
      </c>
      <c r="Q82" s="194">
        <v>0</v>
      </c>
      <c r="R82" s="194" t="s">
        <v>203</v>
      </c>
      <c r="S82" s="194">
        <v>85</v>
      </c>
      <c r="T82" s="5" t="s">
        <v>192</v>
      </c>
      <c r="U82" s="194">
        <v>79</v>
      </c>
      <c r="V82" s="5" t="s">
        <v>192</v>
      </c>
      <c r="W82" s="194">
        <v>81</v>
      </c>
      <c r="X82" s="5" t="s">
        <v>192</v>
      </c>
      <c r="Y82" s="194">
        <v>85</v>
      </c>
      <c r="Z82" s="5" t="s">
        <v>192</v>
      </c>
      <c r="AA82" s="194">
        <v>80</v>
      </c>
      <c r="AB82" s="5" t="s">
        <v>192</v>
      </c>
      <c r="AC82" s="194">
        <v>87</v>
      </c>
      <c r="AD82" s="5" t="s">
        <v>192</v>
      </c>
    </row>
    <row r="83" spans="1:30" ht="94.5" x14ac:dyDescent="0.3">
      <c r="A83" s="5" t="s">
        <v>182</v>
      </c>
      <c r="B83" s="4">
        <v>10321</v>
      </c>
      <c r="C83" s="4">
        <v>1</v>
      </c>
      <c r="D83" s="4" t="s">
        <v>282</v>
      </c>
      <c r="E83" s="194" t="s">
        <v>205</v>
      </c>
      <c r="F83" s="194" t="s">
        <v>206</v>
      </c>
      <c r="G83" s="194">
        <v>81</v>
      </c>
      <c r="H83" s="194" t="s">
        <v>201</v>
      </c>
      <c r="I83" s="194">
        <v>86</v>
      </c>
      <c r="J83" s="194" t="s">
        <v>201</v>
      </c>
      <c r="K83" s="194">
        <v>76</v>
      </c>
      <c r="L83" s="194" t="s">
        <v>201</v>
      </c>
      <c r="M83" s="194">
        <v>0</v>
      </c>
      <c r="N83" s="194" t="s">
        <v>188</v>
      </c>
      <c r="O83" s="194">
        <v>1</v>
      </c>
      <c r="P83" s="194" t="s">
        <v>197</v>
      </c>
      <c r="Q83" s="194">
        <v>0</v>
      </c>
      <c r="R83" s="194" t="s">
        <v>203</v>
      </c>
      <c r="S83" s="194">
        <v>37</v>
      </c>
      <c r="T83" s="194" t="s">
        <v>187</v>
      </c>
      <c r="U83" s="194">
        <v>37</v>
      </c>
      <c r="V83" s="194" t="s">
        <v>187</v>
      </c>
      <c r="W83" s="194">
        <v>33</v>
      </c>
      <c r="X83" s="194" t="s">
        <v>187</v>
      </c>
      <c r="Y83" s="194">
        <v>36</v>
      </c>
      <c r="Z83" s="194" t="s">
        <v>187</v>
      </c>
      <c r="AA83" s="194">
        <v>32</v>
      </c>
      <c r="AB83" s="194" t="s">
        <v>187</v>
      </c>
      <c r="AC83" s="194">
        <v>36</v>
      </c>
      <c r="AD83" s="194" t="s">
        <v>187</v>
      </c>
    </row>
    <row r="84" spans="1:30" ht="81" x14ac:dyDescent="0.3">
      <c r="A84" s="5" t="s">
        <v>182</v>
      </c>
      <c r="B84" s="4">
        <v>10322</v>
      </c>
      <c r="C84" s="4">
        <v>1</v>
      </c>
      <c r="D84" s="4" t="s">
        <v>283</v>
      </c>
      <c r="E84" s="194" t="s">
        <v>184</v>
      </c>
      <c r="F84" s="194" t="s">
        <v>185</v>
      </c>
      <c r="G84" s="194">
        <v>23</v>
      </c>
      <c r="H84" s="194" t="s">
        <v>186</v>
      </c>
      <c r="I84" s="194">
        <v>23</v>
      </c>
      <c r="J84" s="194" t="s">
        <v>186</v>
      </c>
      <c r="K84" s="194">
        <v>45</v>
      </c>
      <c r="L84" s="194" t="s">
        <v>187</v>
      </c>
      <c r="M84" s="194">
        <v>0</v>
      </c>
      <c r="N84" s="194" t="s">
        <v>188</v>
      </c>
      <c r="O84" s="194">
        <v>3</v>
      </c>
      <c r="P84" s="194" t="s">
        <v>189</v>
      </c>
      <c r="Q84" s="194">
        <v>3</v>
      </c>
      <c r="R84" s="194" t="s">
        <v>190</v>
      </c>
      <c r="S84" s="194">
        <v>37</v>
      </c>
      <c r="T84" s="194" t="s">
        <v>187</v>
      </c>
      <c r="U84" s="194">
        <v>58</v>
      </c>
      <c r="V84" s="194" t="s">
        <v>191</v>
      </c>
      <c r="W84" s="194">
        <v>45</v>
      </c>
      <c r="X84" s="194" t="s">
        <v>191</v>
      </c>
      <c r="Y84" s="194">
        <v>48</v>
      </c>
      <c r="Z84" s="194" t="s">
        <v>191</v>
      </c>
      <c r="AA84" s="194">
        <v>32</v>
      </c>
      <c r="AB84" s="194" t="s">
        <v>187</v>
      </c>
      <c r="AC84" s="194">
        <v>62</v>
      </c>
      <c r="AD84" s="5" t="s">
        <v>192</v>
      </c>
    </row>
    <row r="85" spans="1:30" ht="81" x14ac:dyDescent="0.3">
      <c r="A85" s="5" t="s">
        <v>182</v>
      </c>
      <c r="B85" s="4">
        <v>10323</v>
      </c>
      <c r="C85" s="4">
        <v>1</v>
      </c>
      <c r="D85" s="4" t="s">
        <v>284</v>
      </c>
      <c r="E85" s="194" t="s">
        <v>194</v>
      </c>
      <c r="F85" s="194" t="s">
        <v>195</v>
      </c>
      <c r="G85" s="194">
        <v>32</v>
      </c>
      <c r="H85" s="194" t="s">
        <v>196</v>
      </c>
      <c r="I85" s="194">
        <v>31</v>
      </c>
      <c r="J85" s="194" t="s">
        <v>196</v>
      </c>
      <c r="K85" s="194">
        <v>26</v>
      </c>
      <c r="L85" s="194" t="s">
        <v>186</v>
      </c>
      <c r="M85" s="194">
        <v>0</v>
      </c>
      <c r="N85" s="194" t="s">
        <v>188</v>
      </c>
      <c r="O85" s="194">
        <v>1</v>
      </c>
      <c r="P85" s="194" t="s">
        <v>197</v>
      </c>
      <c r="Q85" s="194">
        <v>3</v>
      </c>
      <c r="R85" s="194" t="s">
        <v>190</v>
      </c>
      <c r="S85" s="194">
        <v>37</v>
      </c>
      <c r="T85" s="194" t="s">
        <v>187</v>
      </c>
      <c r="U85" s="194">
        <v>37</v>
      </c>
      <c r="V85" s="194" t="s">
        <v>187</v>
      </c>
      <c r="W85" s="194">
        <v>33</v>
      </c>
      <c r="X85" s="194" t="s">
        <v>187</v>
      </c>
      <c r="Y85" s="194">
        <v>36</v>
      </c>
      <c r="Z85" s="194" t="s">
        <v>187</v>
      </c>
      <c r="AA85" s="194">
        <v>32</v>
      </c>
      <c r="AB85" s="194" t="s">
        <v>187</v>
      </c>
      <c r="AC85" s="194">
        <v>36</v>
      </c>
      <c r="AD85" s="194" t="s">
        <v>187</v>
      </c>
    </row>
    <row r="86" spans="1:30" ht="81" x14ac:dyDescent="0.3">
      <c r="A86" s="5" t="s">
        <v>182</v>
      </c>
      <c r="B86" s="4">
        <v>10324</v>
      </c>
      <c r="C86" s="4">
        <v>1</v>
      </c>
      <c r="D86" s="4" t="s">
        <v>285</v>
      </c>
      <c r="E86" s="194" t="s">
        <v>199</v>
      </c>
      <c r="F86" s="194" t="s">
        <v>200</v>
      </c>
      <c r="G86" s="194">
        <v>77</v>
      </c>
      <c r="H86" s="194" t="s">
        <v>201</v>
      </c>
      <c r="I86" s="194">
        <v>65</v>
      </c>
      <c r="J86" s="194" t="s">
        <v>202</v>
      </c>
      <c r="K86" s="194">
        <v>76</v>
      </c>
      <c r="L86" s="194" t="s">
        <v>201</v>
      </c>
      <c r="M86" s="194">
        <v>0</v>
      </c>
      <c r="N86" s="194" t="s">
        <v>188</v>
      </c>
      <c r="O86" s="194">
        <v>5</v>
      </c>
      <c r="P86" s="194" t="s">
        <v>189</v>
      </c>
      <c r="Q86" s="194">
        <v>0</v>
      </c>
      <c r="R86" s="194" t="s">
        <v>203</v>
      </c>
      <c r="S86" s="194">
        <v>85</v>
      </c>
      <c r="T86" s="5" t="s">
        <v>192</v>
      </c>
      <c r="U86" s="194">
        <v>79</v>
      </c>
      <c r="V86" s="5" t="s">
        <v>192</v>
      </c>
      <c r="W86" s="194">
        <v>81</v>
      </c>
      <c r="X86" s="5" t="s">
        <v>192</v>
      </c>
      <c r="Y86" s="194">
        <v>85</v>
      </c>
      <c r="Z86" s="5" t="s">
        <v>192</v>
      </c>
      <c r="AA86" s="194">
        <v>80</v>
      </c>
      <c r="AB86" s="5" t="s">
        <v>192</v>
      </c>
      <c r="AC86" s="194">
        <v>87</v>
      </c>
      <c r="AD86" s="5" t="s">
        <v>192</v>
      </c>
    </row>
    <row r="87" spans="1:30" ht="94.5" x14ac:dyDescent="0.3">
      <c r="A87" s="5" t="s">
        <v>182</v>
      </c>
      <c r="B87" s="4">
        <v>10325</v>
      </c>
      <c r="C87" s="4">
        <v>1</v>
      </c>
      <c r="D87" s="4" t="s">
        <v>286</v>
      </c>
      <c r="E87" s="194" t="s">
        <v>205</v>
      </c>
      <c r="F87" s="194" t="s">
        <v>206</v>
      </c>
      <c r="G87" s="194">
        <v>81</v>
      </c>
      <c r="H87" s="194" t="s">
        <v>201</v>
      </c>
      <c r="I87" s="194">
        <v>86</v>
      </c>
      <c r="J87" s="194" t="s">
        <v>201</v>
      </c>
      <c r="K87" s="194">
        <v>76</v>
      </c>
      <c r="L87" s="194" t="s">
        <v>201</v>
      </c>
      <c r="M87" s="194">
        <v>0</v>
      </c>
      <c r="N87" s="194" t="s">
        <v>188</v>
      </c>
      <c r="O87" s="194">
        <v>1</v>
      </c>
      <c r="P87" s="194" t="s">
        <v>197</v>
      </c>
      <c r="Q87" s="194">
        <v>0</v>
      </c>
      <c r="R87" s="194" t="s">
        <v>203</v>
      </c>
      <c r="S87" s="194">
        <v>37</v>
      </c>
      <c r="T87" s="194" t="s">
        <v>187</v>
      </c>
      <c r="U87" s="194">
        <v>37</v>
      </c>
      <c r="V87" s="194" t="s">
        <v>187</v>
      </c>
      <c r="W87" s="194">
        <v>33</v>
      </c>
      <c r="X87" s="194" t="s">
        <v>187</v>
      </c>
      <c r="Y87" s="194">
        <v>36</v>
      </c>
      <c r="Z87" s="194" t="s">
        <v>187</v>
      </c>
      <c r="AA87" s="194">
        <v>32</v>
      </c>
      <c r="AB87" s="194" t="s">
        <v>187</v>
      </c>
      <c r="AC87" s="194">
        <v>36</v>
      </c>
      <c r="AD87" s="194" t="s">
        <v>187</v>
      </c>
    </row>
    <row r="88" spans="1:30" ht="81" x14ac:dyDescent="0.3">
      <c r="A88" s="5" t="s">
        <v>182</v>
      </c>
      <c r="B88" s="4">
        <v>10326</v>
      </c>
      <c r="C88" s="4">
        <v>1</v>
      </c>
      <c r="D88" s="4" t="s">
        <v>287</v>
      </c>
      <c r="E88" s="194" t="s">
        <v>184</v>
      </c>
      <c r="F88" s="194" t="s">
        <v>185</v>
      </c>
      <c r="G88" s="194">
        <v>23</v>
      </c>
      <c r="H88" s="194" t="s">
        <v>186</v>
      </c>
      <c r="I88" s="194">
        <v>23</v>
      </c>
      <c r="J88" s="194" t="s">
        <v>186</v>
      </c>
      <c r="K88" s="194">
        <v>45</v>
      </c>
      <c r="L88" s="194" t="s">
        <v>187</v>
      </c>
      <c r="M88" s="194">
        <v>0</v>
      </c>
      <c r="N88" s="194" t="s">
        <v>188</v>
      </c>
      <c r="O88" s="194">
        <v>3</v>
      </c>
      <c r="P88" s="194" t="s">
        <v>189</v>
      </c>
      <c r="Q88" s="194">
        <v>3</v>
      </c>
      <c r="R88" s="194" t="s">
        <v>190</v>
      </c>
      <c r="S88" s="194">
        <v>37</v>
      </c>
      <c r="T88" s="194" t="s">
        <v>187</v>
      </c>
      <c r="U88" s="194">
        <v>58</v>
      </c>
      <c r="V88" s="194" t="s">
        <v>191</v>
      </c>
      <c r="W88" s="194">
        <v>45</v>
      </c>
      <c r="X88" s="194" t="s">
        <v>191</v>
      </c>
      <c r="Y88" s="194">
        <v>48</v>
      </c>
      <c r="Z88" s="194" t="s">
        <v>191</v>
      </c>
      <c r="AA88" s="194">
        <v>32</v>
      </c>
      <c r="AB88" s="194" t="s">
        <v>187</v>
      </c>
      <c r="AC88" s="194">
        <v>62</v>
      </c>
      <c r="AD88" s="5" t="s">
        <v>192</v>
      </c>
    </row>
    <row r="89" spans="1:30" ht="81" x14ac:dyDescent="0.3">
      <c r="A89" s="5" t="s">
        <v>182</v>
      </c>
      <c r="B89" s="4">
        <v>10327</v>
      </c>
      <c r="C89" s="4">
        <v>1</v>
      </c>
      <c r="D89" s="4" t="s">
        <v>288</v>
      </c>
      <c r="E89" s="194" t="s">
        <v>194</v>
      </c>
      <c r="F89" s="194" t="s">
        <v>195</v>
      </c>
      <c r="G89" s="194">
        <v>32</v>
      </c>
      <c r="H89" s="194" t="s">
        <v>196</v>
      </c>
      <c r="I89" s="194">
        <v>31</v>
      </c>
      <c r="J89" s="194" t="s">
        <v>196</v>
      </c>
      <c r="K89" s="194">
        <v>26</v>
      </c>
      <c r="L89" s="194" t="s">
        <v>186</v>
      </c>
      <c r="M89" s="194">
        <v>0</v>
      </c>
      <c r="N89" s="194" t="s">
        <v>188</v>
      </c>
      <c r="O89" s="194">
        <v>1</v>
      </c>
      <c r="P89" s="194" t="s">
        <v>197</v>
      </c>
      <c r="Q89" s="194">
        <v>3</v>
      </c>
      <c r="R89" s="194" t="s">
        <v>190</v>
      </c>
      <c r="S89" s="194">
        <v>37</v>
      </c>
      <c r="T89" s="194" t="s">
        <v>187</v>
      </c>
      <c r="U89" s="194">
        <v>37</v>
      </c>
      <c r="V89" s="194" t="s">
        <v>187</v>
      </c>
      <c r="W89" s="194">
        <v>33</v>
      </c>
      <c r="X89" s="194" t="s">
        <v>187</v>
      </c>
      <c r="Y89" s="194">
        <v>36</v>
      </c>
      <c r="Z89" s="194" t="s">
        <v>187</v>
      </c>
      <c r="AA89" s="194">
        <v>32</v>
      </c>
      <c r="AB89" s="194" t="s">
        <v>187</v>
      </c>
      <c r="AC89" s="194">
        <v>36</v>
      </c>
      <c r="AD89" s="194" t="s">
        <v>187</v>
      </c>
    </row>
    <row r="90" spans="1:30" ht="81" x14ac:dyDescent="0.3">
      <c r="A90" s="5" t="s">
        <v>182</v>
      </c>
      <c r="B90" s="4">
        <v>10328</v>
      </c>
      <c r="C90" s="4">
        <v>1</v>
      </c>
      <c r="D90" s="4" t="s">
        <v>289</v>
      </c>
      <c r="E90" s="194" t="s">
        <v>199</v>
      </c>
      <c r="F90" s="194" t="s">
        <v>200</v>
      </c>
      <c r="G90" s="194">
        <v>77</v>
      </c>
      <c r="H90" s="194" t="s">
        <v>201</v>
      </c>
      <c r="I90" s="194">
        <v>65</v>
      </c>
      <c r="J90" s="194" t="s">
        <v>202</v>
      </c>
      <c r="K90" s="194">
        <v>76</v>
      </c>
      <c r="L90" s="194" t="s">
        <v>201</v>
      </c>
      <c r="M90" s="194">
        <v>0</v>
      </c>
      <c r="N90" s="194" t="s">
        <v>188</v>
      </c>
      <c r="O90" s="194">
        <v>5</v>
      </c>
      <c r="P90" s="194" t="s">
        <v>189</v>
      </c>
      <c r="Q90" s="194">
        <v>0</v>
      </c>
      <c r="R90" s="194" t="s">
        <v>203</v>
      </c>
      <c r="S90" s="194">
        <v>85</v>
      </c>
      <c r="T90" s="5" t="s">
        <v>192</v>
      </c>
      <c r="U90" s="194">
        <v>79</v>
      </c>
      <c r="V90" s="5" t="s">
        <v>192</v>
      </c>
      <c r="W90" s="194">
        <v>81</v>
      </c>
      <c r="X90" s="5" t="s">
        <v>192</v>
      </c>
      <c r="Y90" s="194">
        <v>85</v>
      </c>
      <c r="Z90" s="5" t="s">
        <v>192</v>
      </c>
      <c r="AA90" s="194">
        <v>80</v>
      </c>
      <c r="AB90" s="5" t="s">
        <v>192</v>
      </c>
      <c r="AC90" s="194">
        <v>87</v>
      </c>
      <c r="AD90" s="5" t="s">
        <v>192</v>
      </c>
    </row>
    <row r="91" spans="1:30" ht="94.5" x14ac:dyDescent="0.3">
      <c r="A91" s="5" t="s">
        <v>182</v>
      </c>
      <c r="B91" s="4">
        <v>10329</v>
      </c>
      <c r="C91" s="4">
        <v>1</v>
      </c>
      <c r="D91" s="4" t="s">
        <v>290</v>
      </c>
      <c r="E91" s="194" t="s">
        <v>205</v>
      </c>
      <c r="F91" s="194" t="s">
        <v>206</v>
      </c>
      <c r="G91" s="194">
        <v>81</v>
      </c>
      <c r="H91" s="194" t="s">
        <v>201</v>
      </c>
      <c r="I91" s="194">
        <v>86</v>
      </c>
      <c r="J91" s="194" t="s">
        <v>201</v>
      </c>
      <c r="K91" s="194">
        <v>76</v>
      </c>
      <c r="L91" s="194" t="s">
        <v>201</v>
      </c>
      <c r="M91" s="194">
        <v>0</v>
      </c>
      <c r="N91" s="194" t="s">
        <v>188</v>
      </c>
      <c r="O91" s="194">
        <v>1</v>
      </c>
      <c r="P91" s="194" t="s">
        <v>197</v>
      </c>
      <c r="Q91" s="194">
        <v>0</v>
      </c>
      <c r="R91" s="194" t="s">
        <v>203</v>
      </c>
      <c r="S91" s="194">
        <v>37</v>
      </c>
      <c r="T91" s="194" t="s">
        <v>187</v>
      </c>
      <c r="U91" s="194">
        <v>37</v>
      </c>
      <c r="V91" s="194" t="s">
        <v>187</v>
      </c>
      <c r="W91" s="194">
        <v>33</v>
      </c>
      <c r="X91" s="194" t="s">
        <v>187</v>
      </c>
      <c r="Y91" s="194">
        <v>36</v>
      </c>
      <c r="Z91" s="194" t="s">
        <v>187</v>
      </c>
      <c r="AA91" s="194">
        <v>32</v>
      </c>
      <c r="AB91" s="194" t="s">
        <v>187</v>
      </c>
      <c r="AC91" s="194">
        <v>36</v>
      </c>
      <c r="AD91" s="194" t="s">
        <v>187</v>
      </c>
    </row>
    <row r="92" spans="1:30" ht="81" x14ac:dyDescent="0.3">
      <c r="A92" s="5" t="s">
        <v>182</v>
      </c>
      <c r="B92" s="4">
        <v>10330</v>
      </c>
      <c r="C92" s="4">
        <v>1</v>
      </c>
      <c r="D92" s="4" t="s">
        <v>291</v>
      </c>
      <c r="E92" s="194" t="s">
        <v>184</v>
      </c>
      <c r="F92" s="194" t="s">
        <v>185</v>
      </c>
      <c r="G92" s="194">
        <v>23</v>
      </c>
      <c r="H92" s="194" t="s">
        <v>186</v>
      </c>
      <c r="I92" s="194">
        <v>23</v>
      </c>
      <c r="J92" s="194" t="s">
        <v>186</v>
      </c>
      <c r="K92" s="194">
        <v>45</v>
      </c>
      <c r="L92" s="194" t="s">
        <v>187</v>
      </c>
      <c r="M92" s="194">
        <v>0</v>
      </c>
      <c r="N92" s="194" t="s">
        <v>188</v>
      </c>
      <c r="O92" s="194">
        <v>3</v>
      </c>
      <c r="P92" s="194" t="s">
        <v>189</v>
      </c>
      <c r="Q92" s="194">
        <v>3</v>
      </c>
      <c r="R92" s="194" t="s">
        <v>190</v>
      </c>
      <c r="S92" s="194">
        <v>37</v>
      </c>
      <c r="T92" s="194" t="s">
        <v>187</v>
      </c>
      <c r="U92" s="194">
        <v>58</v>
      </c>
      <c r="V92" s="194" t="s">
        <v>191</v>
      </c>
      <c r="W92" s="194">
        <v>45</v>
      </c>
      <c r="X92" s="194" t="s">
        <v>191</v>
      </c>
      <c r="Y92" s="194">
        <v>48</v>
      </c>
      <c r="Z92" s="194" t="s">
        <v>191</v>
      </c>
      <c r="AA92" s="194">
        <v>32</v>
      </c>
      <c r="AB92" s="194" t="s">
        <v>187</v>
      </c>
      <c r="AC92" s="194">
        <v>62</v>
      </c>
      <c r="AD92" s="5" t="s">
        <v>192</v>
      </c>
    </row>
    <row r="93" spans="1:30" ht="81" x14ac:dyDescent="0.3">
      <c r="A93" s="5" t="s">
        <v>182</v>
      </c>
      <c r="B93" s="4">
        <v>10402</v>
      </c>
      <c r="C93" s="4">
        <v>2</v>
      </c>
      <c r="D93" s="4" t="s">
        <v>292</v>
      </c>
      <c r="E93" s="194" t="s">
        <v>194</v>
      </c>
      <c r="F93" s="194" t="s">
        <v>195</v>
      </c>
      <c r="G93" s="194">
        <v>32</v>
      </c>
      <c r="H93" s="194" t="s">
        <v>196</v>
      </c>
      <c r="I93" s="194">
        <v>31</v>
      </c>
      <c r="J93" s="194" t="s">
        <v>196</v>
      </c>
      <c r="K93" s="194">
        <v>26</v>
      </c>
      <c r="L93" s="194" t="s">
        <v>186</v>
      </c>
      <c r="M93" s="194">
        <v>0</v>
      </c>
      <c r="N93" s="194" t="s">
        <v>188</v>
      </c>
      <c r="O93" s="194">
        <v>1</v>
      </c>
      <c r="P93" s="194" t="s">
        <v>197</v>
      </c>
      <c r="Q93" s="194">
        <v>3</v>
      </c>
      <c r="R93" s="194" t="s">
        <v>190</v>
      </c>
      <c r="S93" s="194">
        <v>37</v>
      </c>
      <c r="T93" s="194" t="s">
        <v>187</v>
      </c>
      <c r="U93" s="194">
        <v>37</v>
      </c>
      <c r="V93" s="194" t="s">
        <v>187</v>
      </c>
      <c r="W93" s="194">
        <v>33</v>
      </c>
      <c r="X93" s="194" t="s">
        <v>187</v>
      </c>
      <c r="Y93" s="194">
        <v>36</v>
      </c>
      <c r="Z93" s="194" t="s">
        <v>187</v>
      </c>
      <c r="AA93" s="194">
        <v>32</v>
      </c>
      <c r="AB93" s="194" t="s">
        <v>187</v>
      </c>
      <c r="AC93" s="194">
        <v>36</v>
      </c>
      <c r="AD93" s="194" t="s">
        <v>187</v>
      </c>
    </row>
    <row r="94" spans="1:30" ht="81" x14ac:dyDescent="0.3">
      <c r="A94" s="5" t="s">
        <v>182</v>
      </c>
      <c r="B94" s="4">
        <v>10403</v>
      </c>
      <c r="C94" s="4">
        <v>2</v>
      </c>
      <c r="D94" s="4" t="s">
        <v>293</v>
      </c>
      <c r="E94" s="194" t="s">
        <v>199</v>
      </c>
      <c r="F94" s="194" t="s">
        <v>200</v>
      </c>
      <c r="G94" s="194">
        <v>77</v>
      </c>
      <c r="H94" s="194" t="s">
        <v>201</v>
      </c>
      <c r="I94" s="194">
        <v>65</v>
      </c>
      <c r="J94" s="194" t="s">
        <v>202</v>
      </c>
      <c r="K94" s="194">
        <v>76</v>
      </c>
      <c r="L94" s="194" t="s">
        <v>201</v>
      </c>
      <c r="M94" s="194">
        <v>0</v>
      </c>
      <c r="N94" s="194" t="s">
        <v>188</v>
      </c>
      <c r="O94" s="194">
        <v>5</v>
      </c>
      <c r="P94" s="194" t="s">
        <v>189</v>
      </c>
      <c r="Q94" s="194">
        <v>0</v>
      </c>
      <c r="R94" s="194" t="s">
        <v>203</v>
      </c>
      <c r="S94" s="194">
        <v>85</v>
      </c>
      <c r="T94" s="5" t="s">
        <v>192</v>
      </c>
      <c r="U94" s="194">
        <v>79</v>
      </c>
      <c r="V94" s="5" t="s">
        <v>192</v>
      </c>
      <c r="W94" s="194">
        <v>81</v>
      </c>
      <c r="X94" s="5" t="s">
        <v>192</v>
      </c>
      <c r="Y94" s="194">
        <v>85</v>
      </c>
      <c r="Z94" s="5" t="s">
        <v>192</v>
      </c>
      <c r="AA94" s="194">
        <v>80</v>
      </c>
      <c r="AB94" s="5" t="s">
        <v>192</v>
      </c>
      <c r="AC94" s="194">
        <v>87</v>
      </c>
      <c r="AD94" s="5" t="s">
        <v>192</v>
      </c>
    </row>
    <row r="95" spans="1:30" ht="94.5" x14ac:dyDescent="0.3">
      <c r="A95" s="5" t="s">
        <v>182</v>
      </c>
      <c r="B95" s="4">
        <v>10404</v>
      </c>
      <c r="C95" s="4">
        <v>2</v>
      </c>
      <c r="D95" s="4" t="s">
        <v>294</v>
      </c>
      <c r="E95" s="194" t="s">
        <v>205</v>
      </c>
      <c r="F95" s="194" t="s">
        <v>206</v>
      </c>
      <c r="G95" s="194">
        <v>81</v>
      </c>
      <c r="H95" s="194" t="s">
        <v>201</v>
      </c>
      <c r="I95" s="194">
        <v>86</v>
      </c>
      <c r="J95" s="194" t="s">
        <v>201</v>
      </c>
      <c r="K95" s="194">
        <v>76</v>
      </c>
      <c r="L95" s="194" t="s">
        <v>201</v>
      </c>
      <c r="M95" s="194">
        <v>0</v>
      </c>
      <c r="N95" s="194" t="s">
        <v>188</v>
      </c>
      <c r="O95" s="194">
        <v>1</v>
      </c>
      <c r="P95" s="194" t="s">
        <v>197</v>
      </c>
      <c r="Q95" s="194">
        <v>0</v>
      </c>
      <c r="R95" s="194" t="s">
        <v>203</v>
      </c>
      <c r="S95" s="194">
        <v>37</v>
      </c>
      <c r="T95" s="194" t="s">
        <v>187</v>
      </c>
      <c r="U95" s="194">
        <v>37</v>
      </c>
      <c r="V95" s="194" t="s">
        <v>187</v>
      </c>
      <c r="W95" s="194">
        <v>33</v>
      </c>
      <c r="X95" s="194" t="s">
        <v>187</v>
      </c>
      <c r="Y95" s="194">
        <v>36</v>
      </c>
      <c r="Z95" s="194" t="s">
        <v>187</v>
      </c>
      <c r="AA95" s="194">
        <v>32</v>
      </c>
      <c r="AB95" s="194" t="s">
        <v>187</v>
      </c>
      <c r="AC95" s="194">
        <v>36</v>
      </c>
      <c r="AD95" s="194" t="s">
        <v>187</v>
      </c>
    </row>
    <row r="96" spans="1:30" ht="81" x14ac:dyDescent="0.3">
      <c r="A96" s="5" t="s">
        <v>182</v>
      </c>
      <c r="B96" s="4">
        <v>10405</v>
      </c>
      <c r="C96" s="4">
        <v>2</v>
      </c>
      <c r="D96" s="4" t="s">
        <v>295</v>
      </c>
      <c r="E96" s="194" t="s">
        <v>184</v>
      </c>
      <c r="F96" s="194" t="s">
        <v>185</v>
      </c>
      <c r="G96" s="194">
        <v>23</v>
      </c>
      <c r="H96" s="194" t="s">
        <v>186</v>
      </c>
      <c r="I96" s="194">
        <v>23</v>
      </c>
      <c r="J96" s="194" t="s">
        <v>186</v>
      </c>
      <c r="K96" s="194">
        <v>45</v>
      </c>
      <c r="L96" s="194" t="s">
        <v>187</v>
      </c>
      <c r="M96" s="194">
        <v>0</v>
      </c>
      <c r="N96" s="194" t="s">
        <v>188</v>
      </c>
      <c r="O96" s="194">
        <v>3</v>
      </c>
      <c r="P96" s="194" t="s">
        <v>189</v>
      </c>
      <c r="Q96" s="194">
        <v>3</v>
      </c>
      <c r="R96" s="194" t="s">
        <v>190</v>
      </c>
      <c r="S96" s="194">
        <v>37</v>
      </c>
      <c r="T96" s="194" t="s">
        <v>187</v>
      </c>
      <c r="U96" s="194">
        <v>58</v>
      </c>
      <c r="V96" s="194" t="s">
        <v>191</v>
      </c>
      <c r="W96" s="194">
        <v>45</v>
      </c>
      <c r="X96" s="194" t="s">
        <v>191</v>
      </c>
      <c r="Y96" s="194">
        <v>48</v>
      </c>
      <c r="Z96" s="194" t="s">
        <v>191</v>
      </c>
      <c r="AA96" s="194">
        <v>32</v>
      </c>
      <c r="AB96" s="194" t="s">
        <v>187</v>
      </c>
      <c r="AC96" s="194">
        <v>62</v>
      </c>
      <c r="AD96" s="5" t="s">
        <v>192</v>
      </c>
    </row>
    <row r="97" spans="1:30" ht="81" x14ac:dyDescent="0.3">
      <c r="A97" s="5" t="s">
        <v>182</v>
      </c>
      <c r="B97" s="4">
        <v>10406</v>
      </c>
      <c r="C97" s="4">
        <v>2</v>
      </c>
      <c r="D97" s="4" t="s">
        <v>296</v>
      </c>
      <c r="E97" s="194" t="s">
        <v>194</v>
      </c>
      <c r="F97" s="194" t="s">
        <v>195</v>
      </c>
      <c r="G97" s="194">
        <v>32</v>
      </c>
      <c r="H97" s="194" t="s">
        <v>196</v>
      </c>
      <c r="I97" s="194">
        <v>31</v>
      </c>
      <c r="J97" s="194" t="s">
        <v>196</v>
      </c>
      <c r="K97" s="194">
        <v>26</v>
      </c>
      <c r="L97" s="194" t="s">
        <v>186</v>
      </c>
      <c r="M97" s="194">
        <v>0</v>
      </c>
      <c r="N97" s="194" t="s">
        <v>188</v>
      </c>
      <c r="O97" s="194">
        <v>1</v>
      </c>
      <c r="P97" s="194" t="s">
        <v>197</v>
      </c>
      <c r="Q97" s="194">
        <v>3</v>
      </c>
      <c r="R97" s="194" t="s">
        <v>190</v>
      </c>
      <c r="S97" s="194">
        <v>37</v>
      </c>
      <c r="T97" s="194" t="s">
        <v>187</v>
      </c>
      <c r="U97" s="194">
        <v>37</v>
      </c>
      <c r="V97" s="194" t="s">
        <v>187</v>
      </c>
      <c r="W97" s="194">
        <v>33</v>
      </c>
      <c r="X97" s="194" t="s">
        <v>187</v>
      </c>
      <c r="Y97" s="194">
        <v>36</v>
      </c>
      <c r="Z97" s="194" t="s">
        <v>187</v>
      </c>
      <c r="AA97" s="194">
        <v>32</v>
      </c>
      <c r="AB97" s="194" t="s">
        <v>187</v>
      </c>
      <c r="AC97" s="194">
        <v>36</v>
      </c>
      <c r="AD97" s="194" t="s">
        <v>187</v>
      </c>
    </row>
    <row r="98" spans="1:30" ht="81" x14ac:dyDescent="0.3">
      <c r="A98" s="5" t="s">
        <v>182</v>
      </c>
      <c r="B98" s="4">
        <v>10407</v>
      </c>
      <c r="C98" s="4">
        <v>2</v>
      </c>
      <c r="D98" s="4" t="s">
        <v>297</v>
      </c>
      <c r="E98" s="194" t="s">
        <v>199</v>
      </c>
      <c r="F98" s="194" t="s">
        <v>200</v>
      </c>
      <c r="G98" s="194">
        <v>77</v>
      </c>
      <c r="H98" s="194" t="s">
        <v>201</v>
      </c>
      <c r="I98" s="194">
        <v>65</v>
      </c>
      <c r="J98" s="194" t="s">
        <v>202</v>
      </c>
      <c r="K98" s="194">
        <v>76</v>
      </c>
      <c r="L98" s="194" t="s">
        <v>201</v>
      </c>
      <c r="M98" s="194">
        <v>0</v>
      </c>
      <c r="N98" s="194" t="s">
        <v>188</v>
      </c>
      <c r="O98" s="194">
        <v>5</v>
      </c>
      <c r="P98" s="194" t="s">
        <v>189</v>
      </c>
      <c r="Q98" s="194">
        <v>0</v>
      </c>
      <c r="R98" s="194" t="s">
        <v>203</v>
      </c>
      <c r="S98" s="194">
        <v>85</v>
      </c>
      <c r="T98" s="5" t="s">
        <v>192</v>
      </c>
      <c r="U98" s="194">
        <v>79</v>
      </c>
      <c r="V98" s="5" t="s">
        <v>192</v>
      </c>
      <c r="W98" s="194">
        <v>81</v>
      </c>
      <c r="X98" s="5" t="s">
        <v>192</v>
      </c>
      <c r="Y98" s="194">
        <v>85</v>
      </c>
      <c r="Z98" s="5" t="s">
        <v>192</v>
      </c>
      <c r="AA98" s="194">
        <v>80</v>
      </c>
      <c r="AB98" s="5" t="s">
        <v>192</v>
      </c>
      <c r="AC98" s="194">
        <v>87</v>
      </c>
      <c r="AD98" s="5" t="s">
        <v>192</v>
      </c>
    </row>
    <row r="99" spans="1:30" ht="94.5" x14ac:dyDescent="0.3">
      <c r="A99" s="5" t="s">
        <v>182</v>
      </c>
      <c r="B99" s="4">
        <v>10408</v>
      </c>
      <c r="C99" s="4">
        <v>2</v>
      </c>
      <c r="D99" s="4" t="s">
        <v>298</v>
      </c>
      <c r="E99" s="194" t="s">
        <v>205</v>
      </c>
      <c r="F99" s="194" t="s">
        <v>206</v>
      </c>
      <c r="G99" s="194">
        <v>81</v>
      </c>
      <c r="H99" s="194" t="s">
        <v>201</v>
      </c>
      <c r="I99" s="194">
        <v>86</v>
      </c>
      <c r="J99" s="194" t="s">
        <v>201</v>
      </c>
      <c r="K99" s="194">
        <v>76</v>
      </c>
      <c r="L99" s="194" t="s">
        <v>201</v>
      </c>
      <c r="M99" s="194">
        <v>0</v>
      </c>
      <c r="N99" s="194" t="s">
        <v>188</v>
      </c>
      <c r="O99" s="194">
        <v>1</v>
      </c>
      <c r="P99" s="194" t="s">
        <v>197</v>
      </c>
      <c r="Q99" s="194">
        <v>0</v>
      </c>
      <c r="R99" s="194" t="s">
        <v>203</v>
      </c>
      <c r="S99" s="194">
        <v>37</v>
      </c>
      <c r="T99" s="194" t="s">
        <v>187</v>
      </c>
      <c r="U99" s="194">
        <v>37</v>
      </c>
      <c r="V99" s="194" t="s">
        <v>187</v>
      </c>
      <c r="W99" s="194">
        <v>33</v>
      </c>
      <c r="X99" s="194" t="s">
        <v>187</v>
      </c>
      <c r="Y99" s="194">
        <v>36</v>
      </c>
      <c r="Z99" s="194" t="s">
        <v>187</v>
      </c>
      <c r="AA99" s="194">
        <v>32</v>
      </c>
      <c r="AB99" s="194" t="s">
        <v>187</v>
      </c>
      <c r="AC99" s="194">
        <v>36</v>
      </c>
      <c r="AD99" s="194" t="s">
        <v>187</v>
      </c>
    </row>
    <row r="100" spans="1:30" ht="81" x14ac:dyDescent="0.3">
      <c r="A100" s="5" t="s">
        <v>182</v>
      </c>
      <c r="B100" s="4">
        <v>10409</v>
      </c>
      <c r="C100" s="4">
        <v>2</v>
      </c>
      <c r="D100" s="4" t="s">
        <v>299</v>
      </c>
      <c r="E100" s="194" t="s">
        <v>184</v>
      </c>
      <c r="F100" s="194" t="s">
        <v>185</v>
      </c>
      <c r="G100" s="194">
        <v>23</v>
      </c>
      <c r="H100" s="194" t="s">
        <v>186</v>
      </c>
      <c r="I100" s="194">
        <v>23</v>
      </c>
      <c r="J100" s="194" t="s">
        <v>186</v>
      </c>
      <c r="K100" s="194">
        <v>45</v>
      </c>
      <c r="L100" s="194" t="s">
        <v>187</v>
      </c>
      <c r="M100" s="194">
        <v>0</v>
      </c>
      <c r="N100" s="194" t="s">
        <v>188</v>
      </c>
      <c r="O100" s="194">
        <v>3</v>
      </c>
      <c r="P100" s="194" t="s">
        <v>189</v>
      </c>
      <c r="Q100" s="194">
        <v>3</v>
      </c>
      <c r="R100" s="194" t="s">
        <v>190</v>
      </c>
      <c r="S100" s="194">
        <v>37</v>
      </c>
      <c r="T100" s="194" t="s">
        <v>187</v>
      </c>
      <c r="U100" s="194">
        <v>58</v>
      </c>
      <c r="V100" s="194" t="s">
        <v>191</v>
      </c>
      <c r="W100" s="194">
        <v>45</v>
      </c>
      <c r="X100" s="194" t="s">
        <v>191</v>
      </c>
      <c r="Y100" s="194">
        <v>48</v>
      </c>
      <c r="Z100" s="194" t="s">
        <v>191</v>
      </c>
      <c r="AA100" s="194">
        <v>32</v>
      </c>
      <c r="AB100" s="194" t="s">
        <v>187</v>
      </c>
      <c r="AC100" s="194">
        <v>62</v>
      </c>
      <c r="AD100" s="5" t="s">
        <v>192</v>
      </c>
    </row>
    <row r="101" spans="1:30" ht="81" x14ac:dyDescent="0.3">
      <c r="A101" s="5" t="s">
        <v>182</v>
      </c>
      <c r="B101" s="4">
        <v>10410</v>
      </c>
      <c r="C101" s="4">
        <v>2</v>
      </c>
      <c r="D101" s="4" t="s">
        <v>300</v>
      </c>
      <c r="E101" s="194" t="s">
        <v>194</v>
      </c>
      <c r="F101" s="194" t="s">
        <v>195</v>
      </c>
      <c r="G101" s="194">
        <v>32</v>
      </c>
      <c r="H101" s="194" t="s">
        <v>196</v>
      </c>
      <c r="I101" s="194">
        <v>31</v>
      </c>
      <c r="J101" s="194" t="s">
        <v>196</v>
      </c>
      <c r="K101" s="194">
        <v>26</v>
      </c>
      <c r="L101" s="194" t="s">
        <v>186</v>
      </c>
      <c r="M101" s="194">
        <v>0</v>
      </c>
      <c r="N101" s="194" t="s">
        <v>188</v>
      </c>
      <c r="O101" s="194">
        <v>1</v>
      </c>
      <c r="P101" s="194" t="s">
        <v>197</v>
      </c>
      <c r="Q101" s="194">
        <v>3</v>
      </c>
      <c r="R101" s="194" t="s">
        <v>190</v>
      </c>
      <c r="S101" s="194">
        <v>37</v>
      </c>
      <c r="T101" s="194" t="s">
        <v>187</v>
      </c>
      <c r="U101" s="194">
        <v>37</v>
      </c>
      <c r="V101" s="194" t="s">
        <v>187</v>
      </c>
      <c r="W101" s="194">
        <v>33</v>
      </c>
      <c r="X101" s="194" t="s">
        <v>187</v>
      </c>
      <c r="Y101" s="194">
        <v>36</v>
      </c>
      <c r="Z101" s="194" t="s">
        <v>187</v>
      </c>
      <c r="AA101" s="194">
        <v>32</v>
      </c>
      <c r="AB101" s="194" t="s">
        <v>187</v>
      </c>
      <c r="AC101" s="194">
        <v>36</v>
      </c>
      <c r="AD101" s="194" t="s">
        <v>187</v>
      </c>
    </row>
    <row r="102" spans="1:30" ht="81" x14ac:dyDescent="0.3">
      <c r="A102" s="5" t="s">
        <v>182</v>
      </c>
      <c r="B102" s="4">
        <v>10411</v>
      </c>
      <c r="C102" s="4">
        <v>2</v>
      </c>
      <c r="D102" s="4" t="s">
        <v>301</v>
      </c>
      <c r="E102" s="194" t="s">
        <v>199</v>
      </c>
      <c r="F102" s="194" t="s">
        <v>200</v>
      </c>
      <c r="G102" s="194">
        <v>77</v>
      </c>
      <c r="H102" s="194" t="s">
        <v>201</v>
      </c>
      <c r="I102" s="194">
        <v>65</v>
      </c>
      <c r="J102" s="194" t="s">
        <v>202</v>
      </c>
      <c r="K102" s="194">
        <v>76</v>
      </c>
      <c r="L102" s="194" t="s">
        <v>201</v>
      </c>
      <c r="M102" s="194">
        <v>0</v>
      </c>
      <c r="N102" s="194" t="s">
        <v>188</v>
      </c>
      <c r="O102" s="194">
        <v>5</v>
      </c>
      <c r="P102" s="194" t="s">
        <v>189</v>
      </c>
      <c r="Q102" s="194">
        <v>0</v>
      </c>
      <c r="R102" s="194" t="s">
        <v>203</v>
      </c>
      <c r="S102" s="194">
        <v>85</v>
      </c>
      <c r="T102" s="5" t="s">
        <v>192</v>
      </c>
      <c r="U102" s="194">
        <v>79</v>
      </c>
      <c r="V102" s="5" t="s">
        <v>192</v>
      </c>
      <c r="W102" s="194">
        <v>81</v>
      </c>
      <c r="X102" s="5" t="s">
        <v>192</v>
      </c>
      <c r="Y102" s="194">
        <v>85</v>
      </c>
      <c r="Z102" s="5" t="s">
        <v>192</v>
      </c>
      <c r="AA102" s="194">
        <v>80</v>
      </c>
      <c r="AB102" s="5" t="s">
        <v>192</v>
      </c>
      <c r="AC102" s="194">
        <v>87</v>
      </c>
      <c r="AD102" s="5" t="s">
        <v>192</v>
      </c>
    </row>
    <row r="103" spans="1:30" ht="94.5" x14ac:dyDescent="0.3">
      <c r="A103" s="5" t="s">
        <v>182</v>
      </c>
      <c r="B103" s="4">
        <v>10412</v>
      </c>
      <c r="C103" s="4">
        <v>2</v>
      </c>
      <c r="D103" s="4" t="s">
        <v>302</v>
      </c>
      <c r="E103" s="194" t="s">
        <v>205</v>
      </c>
      <c r="F103" s="194" t="s">
        <v>206</v>
      </c>
      <c r="G103" s="194">
        <v>81</v>
      </c>
      <c r="H103" s="194" t="s">
        <v>201</v>
      </c>
      <c r="I103" s="194">
        <v>86</v>
      </c>
      <c r="J103" s="194" t="s">
        <v>201</v>
      </c>
      <c r="K103" s="194">
        <v>76</v>
      </c>
      <c r="L103" s="194" t="s">
        <v>201</v>
      </c>
      <c r="M103" s="194">
        <v>0</v>
      </c>
      <c r="N103" s="194" t="s">
        <v>188</v>
      </c>
      <c r="O103" s="194">
        <v>1</v>
      </c>
      <c r="P103" s="194" t="s">
        <v>197</v>
      </c>
      <c r="Q103" s="194">
        <v>0</v>
      </c>
      <c r="R103" s="194" t="s">
        <v>203</v>
      </c>
      <c r="S103" s="194">
        <v>37</v>
      </c>
      <c r="T103" s="194" t="s">
        <v>187</v>
      </c>
      <c r="U103" s="194">
        <v>37</v>
      </c>
      <c r="V103" s="194" t="s">
        <v>187</v>
      </c>
      <c r="W103" s="194">
        <v>33</v>
      </c>
      <c r="X103" s="194" t="s">
        <v>187</v>
      </c>
      <c r="Y103" s="194">
        <v>36</v>
      </c>
      <c r="Z103" s="194" t="s">
        <v>187</v>
      </c>
      <c r="AA103" s="194">
        <v>32</v>
      </c>
      <c r="AB103" s="194" t="s">
        <v>187</v>
      </c>
      <c r="AC103" s="194">
        <v>36</v>
      </c>
      <c r="AD103" s="194" t="s">
        <v>187</v>
      </c>
    </row>
    <row r="104" spans="1:30" ht="81" x14ac:dyDescent="0.3">
      <c r="A104" s="5" t="s">
        <v>182</v>
      </c>
      <c r="B104" s="4">
        <v>10413</v>
      </c>
      <c r="C104" s="4">
        <v>2</v>
      </c>
      <c r="D104" s="4" t="s">
        <v>303</v>
      </c>
      <c r="E104" s="194" t="s">
        <v>184</v>
      </c>
      <c r="F104" s="194" t="s">
        <v>185</v>
      </c>
      <c r="G104" s="194">
        <v>23</v>
      </c>
      <c r="H104" s="194" t="s">
        <v>186</v>
      </c>
      <c r="I104" s="194">
        <v>23</v>
      </c>
      <c r="J104" s="194" t="s">
        <v>186</v>
      </c>
      <c r="K104" s="194">
        <v>45</v>
      </c>
      <c r="L104" s="194" t="s">
        <v>187</v>
      </c>
      <c r="M104" s="194">
        <v>0</v>
      </c>
      <c r="N104" s="194" t="s">
        <v>188</v>
      </c>
      <c r="O104" s="194">
        <v>3</v>
      </c>
      <c r="P104" s="194" t="s">
        <v>189</v>
      </c>
      <c r="Q104" s="194">
        <v>3</v>
      </c>
      <c r="R104" s="194" t="s">
        <v>190</v>
      </c>
      <c r="S104" s="194">
        <v>37</v>
      </c>
      <c r="T104" s="194" t="s">
        <v>187</v>
      </c>
      <c r="U104" s="194">
        <v>58</v>
      </c>
      <c r="V104" s="194" t="s">
        <v>191</v>
      </c>
      <c r="W104" s="194">
        <v>45</v>
      </c>
      <c r="X104" s="194" t="s">
        <v>191</v>
      </c>
      <c r="Y104" s="194">
        <v>48</v>
      </c>
      <c r="Z104" s="194" t="s">
        <v>191</v>
      </c>
      <c r="AA104" s="194">
        <v>32</v>
      </c>
      <c r="AB104" s="194" t="s">
        <v>187</v>
      </c>
      <c r="AC104" s="194">
        <v>62</v>
      </c>
      <c r="AD104" s="5" t="s">
        <v>192</v>
      </c>
    </row>
    <row r="105" spans="1:30" ht="81" x14ac:dyDescent="0.3">
      <c r="A105" s="5" t="s">
        <v>182</v>
      </c>
      <c r="B105" s="4">
        <v>10414</v>
      </c>
      <c r="C105" s="4">
        <v>2</v>
      </c>
      <c r="D105" s="4" t="s">
        <v>304</v>
      </c>
      <c r="E105" s="194" t="s">
        <v>194</v>
      </c>
      <c r="F105" s="194" t="s">
        <v>195</v>
      </c>
      <c r="G105" s="194">
        <v>32</v>
      </c>
      <c r="H105" s="194" t="s">
        <v>196</v>
      </c>
      <c r="I105" s="194">
        <v>31</v>
      </c>
      <c r="J105" s="194" t="s">
        <v>196</v>
      </c>
      <c r="K105" s="194">
        <v>26</v>
      </c>
      <c r="L105" s="194" t="s">
        <v>186</v>
      </c>
      <c r="M105" s="194">
        <v>0</v>
      </c>
      <c r="N105" s="194" t="s">
        <v>188</v>
      </c>
      <c r="O105" s="194">
        <v>1</v>
      </c>
      <c r="P105" s="194" t="s">
        <v>197</v>
      </c>
      <c r="Q105" s="194">
        <v>3</v>
      </c>
      <c r="R105" s="194" t="s">
        <v>190</v>
      </c>
      <c r="S105" s="194">
        <v>37</v>
      </c>
      <c r="T105" s="194" t="s">
        <v>187</v>
      </c>
      <c r="U105" s="194">
        <v>37</v>
      </c>
      <c r="V105" s="194" t="s">
        <v>187</v>
      </c>
      <c r="W105" s="194">
        <v>33</v>
      </c>
      <c r="X105" s="194" t="s">
        <v>187</v>
      </c>
      <c r="Y105" s="194">
        <v>36</v>
      </c>
      <c r="Z105" s="194" t="s">
        <v>187</v>
      </c>
      <c r="AA105" s="194">
        <v>32</v>
      </c>
      <c r="AB105" s="194" t="s">
        <v>187</v>
      </c>
      <c r="AC105" s="194">
        <v>36</v>
      </c>
      <c r="AD105" s="194" t="s">
        <v>187</v>
      </c>
    </row>
    <row r="106" spans="1:30" ht="81" x14ac:dyDescent="0.3">
      <c r="A106" s="5" t="s">
        <v>182</v>
      </c>
      <c r="B106" s="4">
        <v>10415</v>
      </c>
      <c r="C106" s="4">
        <v>2</v>
      </c>
      <c r="D106" s="4" t="s">
        <v>305</v>
      </c>
      <c r="E106" s="194" t="s">
        <v>199</v>
      </c>
      <c r="F106" s="194" t="s">
        <v>200</v>
      </c>
      <c r="G106" s="194">
        <v>77</v>
      </c>
      <c r="H106" s="194" t="s">
        <v>201</v>
      </c>
      <c r="I106" s="194">
        <v>65</v>
      </c>
      <c r="J106" s="194" t="s">
        <v>202</v>
      </c>
      <c r="K106" s="194">
        <v>76</v>
      </c>
      <c r="L106" s="194" t="s">
        <v>201</v>
      </c>
      <c r="M106" s="194">
        <v>0</v>
      </c>
      <c r="N106" s="194" t="s">
        <v>188</v>
      </c>
      <c r="O106" s="194">
        <v>5</v>
      </c>
      <c r="P106" s="194" t="s">
        <v>189</v>
      </c>
      <c r="Q106" s="194">
        <v>0</v>
      </c>
      <c r="R106" s="194" t="s">
        <v>203</v>
      </c>
      <c r="S106" s="194">
        <v>85</v>
      </c>
      <c r="T106" s="5" t="s">
        <v>192</v>
      </c>
      <c r="U106" s="194">
        <v>79</v>
      </c>
      <c r="V106" s="5" t="s">
        <v>192</v>
      </c>
      <c r="W106" s="194">
        <v>81</v>
      </c>
      <c r="X106" s="5" t="s">
        <v>192</v>
      </c>
      <c r="Y106" s="194">
        <v>85</v>
      </c>
      <c r="Z106" s="5" t="s">
        <v>192</v>
      </c>
      <c r="AA106" s="194">
        <v>80</v>
      </c>
      <c r="AB106" s="5" t="s">
        <v>192</v>
      </c>
      <c r="AC106" s="194">
        <v>87</v>
      </c>
      <c r="AD106" s="5" t="s">
        <v>192</v>
      </c>
    </row>
    <row r="107" spans="1:30" ht="94.5" x14ac:dyDescent="0.3">
      <c r="A107" s="5" t="s">
        <v>182</v>
      </c>
      <c r="B107" s="4">
        <v>10416</v>
      </c>
      <c r="C107" s="4">
        <v>1</v>
      </c>
      <c r="D107" s="4" t="s">
        <v>306</v>
      </c>
      <c r="E107" s="194" t="s">
        <v>205</v>
      </c>
      <c r="F107" s="194" t="s">
        <v>206</v>
      </c>
      <c r="G107" s="194">
        <v>81</v>
      </c>
      <c r="H107" s="194" t="s">
        <v>201</v>
      </c>
      <c r="I107" s="194">
        <v>86</v>
      </c>
      <c r="J107" s="194" t="s">
        <v>201</v>
      </c>
      <c r="K107" s="194">
        <v>76</v>
      </c>
      <c r="L107" s="194" t="s">
        <v>201</v>
      </c>
      <c r="M107" s="194">
        <v>0</v>
      </c>
      <c r="N107" s="194" t="s">
        <v>188</v>
      </c>
      <c r="O107" s="194">
        <v>1</v>
      </c>
      <c r="P107" s="194" t="s">
        <v>197</v>
      </c>
      <c r="Q107" s="194">
        <v>0</v>
      </c>
      <c r="R107" s="194" t="s">
        <v>203</v>
      </c>
      <c r="S107" s="194">
        <v>37</v>
      </c>
      <c r="T107" s="194" t="s">
        <v>187</v>
      </c>
      <c r="U107" s="194">
        <v>37</v>
      </c>
      <c r="V107" s="194" t="s">
        <v>187</v>
      </c>
      <c r="W107" s="194">
        <v>33</v>
      </c>
      <c r="X107" s="194" t="s">
        <v>187</v>
      </c>
      <c r="Y107" s="194">
        <v>36</v>
      </c>
      <c r="Z107" s="194" t="s">
        <v>187</v>
      </c>
      <c r="AA107" s="194">
        <v>32</v>
      </c>
      <c r="AB107" s="194" t="s">
        <v>187</v>
      </c>
      <c r="AC107" s="194">
        <v>36</v>
      </c>
      <c r="AD107" s="194" t="s">
        <v>187</v>
      </c>
    </row>
    <row r="108" spans="1:30" ht="81" x14ac:dyDescent="0.3">
      <c r="A108" s="5" t="s">
        <v>182</v>
      </c>
      <c r="B108" s="4">
        <v>10417</v>
      </c>
      <c r="C108" s="4">
        <v>1</v>
      </c>
      <c r="D108" s="4" t="s">
        <v>307</v>
      </c>
      <c r="E108" s="194" t="s">
        <v>184</v>
      </c>
      <c r="F108" s="194" t="s">
        <v>185</v>
      </c>
      <c r="G108" s="194">
        <v>23</v>
      </c>
      <c r="H108" s="194" t="s">
        <v>186</v>
      </c>
      <c r="I108" s="194">
        <v>23</v>
      </c>
      <c r="J108" s="194" t="s">
        <v>186</v>
      </c>
      <c r="K108" s="194">
        <v>45</v>
      </c>
      <c r="L108" s="194" t="s">
        <v>187</v>
      </c>
      <c r="M108" s="194">
        <v>0</v>
      </c>
      <c r="N108" s="194" t="s">
        <v>188</v>
      </c>
      <c r="O108" s="194">
        <v>3</v>
      </c>
      <c r="P108" s="194" t="s">
        <v>189</v>
      </c>
      <c r="Q108" s="194">
        <v>3</v>
      </c>
      <c r="R108" s="194" t="s">
        <v>190</v>
      </c>
      <c r="S108" s="194">
        <v>37</v>
      </c>
      <c r="T108" s="194" t="s">
        <v>187</v>
      </c>
      <c r="U108" s="194">
        <v>58</v>
      </c>
      <c r="V108" s="194" t="s">
        <v>191</v>
      </c>
      <c r="W108" s="194">
        <v>45</v>
      </c>
      <c r="X108" s="194" t="s">
        <v>191</v>
      </c>
      <c r="Y108" s="194">
        <v>48</v>
      </c>
      <c r="Z108" s="194" t="s">
        <v>191</v>
      </c>
      <c r="AA108" s="194">
        <v>32</v>
      </c>
      <c r="AB108" s="194" t="s">
        <v>187</v>
      </c>
      <c r="AC108" s="194">
        <v>62</v>
      </c>
      <c r="AD108" s="5" t="s">
        <v>192</v>
      </c>
    </row>
    <row r="109" spans="1:30" ht="81" x14ac:dyDescent="0.3">
      <c r="A109" s="5" t="s">
        <v>182</v>
      </c>
      <c r="B109" s="4">
        <v>10418</v>
      </c>
      <c r="C109" s="4">
        <v>1</v>
      </c>
      <c r="D109" s="4" t="s">
        <v>308</v>
      </c>
      <c r="E109" s="194" t="s">
        <v>194</v>
      </c>
      <c r="F109" s="194" t="s">
        <v>195</v>
      </c>
      <c r="G109" s="194">
        <v>32</v>
      </c>
      <c r="H109" s="194" t="s">
        <v>196</v>
      </c>
      <c r="I109" s="194">
        <v>31</v>
      </c>
      <c r="J109" s="194" t="s">
        <v>196</v>
      </c>
      <c r="K109" s="194">
        <v>26</v>
      </c>
      <c r="L109" s="194" t="s">
        <v>186</v>
      </c>
      <c r="M109" s="194">
        <v>0</v>
      </c>
      <c r="N109" s="194" t="s">
        <v>188</v>
      </c>
      <c r="O109" s="194">
        <v>1</v>
      </c>
      <c r="P109" s="194" t="s">
        <v>197</v>
      </c>
      <c r="Q109" s="194">
        <v>3</v>
      </c>
      <c r="R109" s="194" t="s">
        <v>190</v>
      </c>
      <c r="S109" s="194">
        <v>37</v>
      </c>
      <c r="T109" s="194" t="s">
        <v>187</v>
      </c>
      <c r="U109" s="194">
        <v>37</v>
      </c>
      <c r="V109" s="194" t="s">
        <v>187</v>
      </c>
      <c r="W109" s="194">
        <v>33</v>
      </c>
      <c r="X109" s="194" t="s">
        <v>187</v>
      </c>
      <c r="Y109" s="194">
        <v>36</v>
      </c>
      <c r="Z109" s="194" t="s">
        <v>187</v>
      </c>
      <c r="AA109" s="194">
        <v>32</v>
      </c>
      <c r="AB109" s="194" t="s">
        <v>187</v>
      </c>
      <c r="AC109" s="194">
        <v>36</v>
      </c>
      <c r="AD109" s="194" t="s">
        <v>187</v>
      </c>
    </row>
    <row r="110" spans="1:30" ht="81" x14ac:dyDescent="0.3">
      <c r="A110" s="5" t="s">
        <v>182</v>
      </c>
      <c r="B110" s="4">
        <v>10419</v>
      </c>
      <c r="C110" s="4">
        <v>1</v>
      </c>
      <c r="D110" s="4" t="s">
        <v>309</v>
      </c>
      <c r="E110" s="194" t="s">
        <v>199</v>
      </c>
      <c r="F110" s="194" t="s">
        <v>200</v>
      </c>
      <c r="G110" s="194">
        <v>77</v>
      </c>
      <c r="H110" s="194" t="s">
        <v>201</v>
      </c>
      <c r="I110" s="194">
        <v>65</v>
      </c>
      <c r="J110" s="194" t="s">
        <v>202</v>
      </c>
      <c r="K110" s="194">
        <v>76</v>
      </c>
      <c r="L110" s="194" t="s">
        <v>201</v>
      </c>
      <c r="M110" s="194">
        <v>0</v>
      </c>
      <c r="N110" s="194" t="s">
        <v>188</v>
      </c>
      <c r="O110" s="194">
        <v>5</v>
      </c>
      <c r="P110" s="194" t="s">
        <v>189</v>
      </c>
      <c r="Q110" s="194">
        <v>0</v>
      </c>
      <c r="R110" s="194" t="s">
        <v>203</v>
      </c>
      <c r="S110" s="194">
        <v>85</v>
      </c>
      <c r="T110" s="5" t="s">
        <v>192</v>
      </c>
      <c r="U110" s="194">
        <v>79</v>
      </c>
      <c r="V110" s="5" t="s">
        <v>192</v>
      </c>
      <c r="W110" s="194">
        <v>81</v>
      </c>
      <c r="X110" s="5" t="s">
        <v>192</v>
      </c>
      <c r="Y110" s="194">
        <v>85</v>
      </c>
      <c r="Z110" s="5" t="s">
        <v>192</v>
      </c>
      <c r="AA110" s="194">
        <v>80</v>
      </c>
      <c r="AB110" s="5" t="s">
        <v>192</v>
      </c>
      <c r="AC110" s="194">
        <v>87</v>
      </c>
      <c r="AD110" s="5" t="s">
        <v>192</v>
      </c>
    </row>
    <row r="111" spans="1:30" ht="94.5" x14ac:dyDescent="0.3">
      <c r="A111" s="5" t="s">
        <v>182</v>
      </c>
      <c r="B111" s="4">
        <v>10420</v>
      </c>
      <c r="C111" s="4">
        <v>1</v>
      </c>
      <c r="D111" s="4" t="s">
        <v>310</v>
      </c>
      <c r="E111" s="194" t="s">
        <v>205</v>
      </c>
      <c r="F111" s="194" t="s">
        <v>206</v>
      </c>
      <c r="G111" s="194">
        <v>81</v>
      </c>
      <c r="H111" s="194" t="s">
        <v>201</v>
      </c>
      <c r="I111" s="194">
        <v>86</v>
      </c>
      <c r="J111" s="194" t="s">
        <v>201</v>
      </c>
      <c r="K111" s="194">
        <v>76</v>
      </c>
      <c r="L111" s="194" t="s">
        <v>201</v>
      </c>
      <c r="M111" s="194">
        <v>0</v>
      </c>
      <c r="N111" s="194" t="s">
        <v>188</v>
      </c>
      <c r="O111" s="194">
        <v>1</v>
      </c>
      <c r="P111" s="194" t="s">
        <v>197</v>
      </c>
      <c r="Q111" s="194">
        <v>0</v>
      </c>
      <c r="R111" s="194" t="s">
        <v>203</v>
      </c>
      <c r="S111" s="194">
        <v>37</v>
      </c>
      <c r="T111" s="194" t="s">
        <v>187</v>
      </c>
      <c r="U111" s="194">
        <v>37</v>
      </c>
      <c r="V111" s="194" t="s">
        <v>187</v>
      </c>
      <c r="W111" s="194">
        <v>33</v>
      </c>
      <c r="X111" s="194" t="s">
        <v>187</v>
      </c>
      <c r="Y111" s="194">
        <v>36</v>
      </c>
      <c r="Z111" s="194" t="s">
        <v>187</v>
      </c>
      <c r="AA111" s="194">
        <v>32</v>
      </c>
      <c r="AB111" s="194" t="s">
        <v>187</v>
      </c>
      <c r="AC111" s="194">
        <v>36</v>
      </c>
      <c r="AD111" s="194" t="s">
        <v>187</v>
      </c>
    </row>
    <row r="112" spans="1:30" ht="81" x14ac:dyDescent="0.3">
      <c r="A112" s="5" t="s">
        <v>182</v>
      </c>
      <c r="B112" s="4">
        <v>10421</v>
      </c>
      <c r="C112" s="4">
        <v>1</v>
      </c>
      <c r="D112" s="4" t="s">
        <v>311</v>
      </c>
      <c r="E112" s="194" t="s">
        <v>184</v>
      </c>
      <c r="F112" s="194" t="s">
        <v>185</v>
      </c>
      <c r="G112" s="194">
        <v>23</v>
      </c>
      <c r="H112" s="194" t="s">
        <v>186</v>
      </c>
      <c r="I112" s="194">
        <v>23</v>
      </c>
      <c r="J112" s="194" t="s">
        <v>186</v>
      </c>
      <c r="K112" s="194">
        <v>45</v>
      </c>
      <c r="L112" s="194" t="s">
        <v>187</v>
      </c>
      <c r="M112" s="194">
        <v>0</v>
      </c>
      <c r="N112" s="194" t="s">
        <v>188</v>
      </c>
      <c r="O112" s="194">
        <v>3</v>
      </c>
      <c r="P112" s="194" t="s">
        <v>189</v>
      </c>
      <c r="Q112" s="194">
        <v>3</v>
      </c>
      <c r="R112" s="194" t="s">
        <v>190</v>
      </c>
      <c r="S112" s="194">
        <v>37</v>
      </c>
      <c r="T112" s="194" t="s">
        <v>187</v>
      </c>
      <c r="U112" s="194">
        <v>58</v>
      </c>
      <c r="V112" s="194" t="s">
        <v>191</v>
      </c>
      <c r="W112" s="194">
        <v>45</v>
      </c>
      <c r="X112" s="194" t="s">
        <v>191</v>
      </c>
      <c r="Y112" s="194">
        <v>48</v>
      </c>
      <c r="Z112" s="194" t="s">
        <v>191</v>
      </c>
      <c r="AA112" s="194">
        <v>32</v>
      </c>
      <c r="AB112" s="194" t="s">
        <v>187</v>
      </c>
      <c r="AC112" s="194">
        <v>62</v>
      </c>
      <c r="AD112" s="5" t="s">
        <v>192</v>
      </c>
    </row>
    <row r="113" spans="1:30" ht="81" x14ac:dyDescent="0.3">
      <c r="A113" s="5" t="s">
        <v>182</v>
      </c>
      <c r="B113" s="4">
        <v>10422</v>
      </c>
      <c r="C113" s="4">
        <v>1</v>
      </c>
      <c r="D113" s="4" t="s">
        <v>312</v>
      </c>
      <c r="E113" s="194" t="s">
        <v>194</v>
      </c>
      <c r="F113" s="194" t="s">
        <v>195</v>
      </c>
      <c r="G113" s="194">
        <v>32</v>
      </c>
      <c r="H113" s="194" t="s">
        <v>196</v>
      </c>
      <c r="I113" s="194">
        <v>31</v>
      </c>
      <c r="J113" s="194" t="s">
        <v>196</v>
      </c>
      <c r="K113" s="194">
        <v>26</v>
      </c>
      <c r="L113" s="194" t="s">
        <v>186</v>
      </c>
      <c r="M113" s="194">
        <v>0</v>
      </c>
      <c r="N113" s="194" t="s">
        <v>188</v>
      </c>
      <c r="O113" s="194">
        <v>1</v>
      </c>
      <c r="P113" s="194" t="s">
        <v>197</v>
      </c>
      <c r="Q113" s="194">
        <v>3</v>
      </c>
      <c r="R113" s="194" t="s">
        <v>190</v>
      </c>
      <c r="S113" s="194">
        <v>37</v>
      </c>
      <c r="T113" s="194" t="s">
        <v>187</v>
      </c>
      <c r="U113" s="194">
        <v>37</v>
      </c>
      <c r="V113" s="194" t="s">
        <v>187</v>
      </c>
      <c r="W113" s="194">
        <v>33</v>
      </c>
      <c r="X113" s="194" t="s">
        <v>187</v>
      </c>
      <c r="Y113" s="194">
        <v>36</v>
      </c>
      <c r="Z113" s="194" t="s">
        <v>187</v>
      </c>
      <c r="AA113" s="194">
        <v>32</v>
      </c>
      <c r="AB113" s="194" t="s">
        <v>187</v>
      </c>
      <c r="AC113" s="194">
        <v>36</v>
      </c>
      <c r="AD113" s="194" t="s">
        <v>187</v>
      </c>
    </row>
    <row r="114" spans="1:30" ht="81" x14ac:dyDescent="0.3">
      <c r="A114" s="5" t="s">
        <v>182</v>
      </c>
      <c r="B114" s="4">
        <v>10423</v>
      </c>
      <c r="C114" s="4">
        <v>1</v>
      </c>
      <c r="D114" s="4" t="s">
        <v>313</v>
      </c>
      <c r="E114" s="194" t="s">
        <v>199</v>
      </c>
      <c r="F114" s="194" t="s">
        <v>200</v>
      </c>
      <c r="G114" s="194">
        <v>77</v>
      </c>
      <c r="H114" s="194" t="s">
        <v>201</v>
      </c>
      <c r="I114" s="194">
        <v>65</v>
      </c>
      <c r="J114" s="194" t="s">
        <v>202</v>
      </c>
      <c r="K114" s="194">
        <v>76</v>
      </c>
      <c r="L114" s="194" t="s">
        <v>201</v>
      </c>
      <c r="M114" s="194">
        <v>0</v>
      </c>
      <c r="N114" s="194" t="s">
        <v>188</v>
      </c>
      <c r="O114" s="194">
        <v>5</v>
      </c>
      <c r="P114" s="194" t="s">
        <v>189</v>
      </c>
      <c r="Q114" s="194">
        <v>0</v>
      </c>
      <c r="R114" s="194" t="s">
        <v>203</v>
      </c>
      <c r="S114" s="194">
        <v>85</v>
      </c>
      <c r="T114" s="5" t="s">
        <v>192</v>
      </c>
      <c r="U114" s="194">
        <v>79</v>
      </c>
      <c r="V114" s="5" t="s">
        <v>192</v>
      </c>
      <c r="W114" s="194">
        <v>81</v>
      </c>
      <c r="X114" s="5" t="s">
        <v>192</v>
      </c>
      <c r="Y114" s="194">
        <v>85</v>
      </c>
      <c r="Z114" s="5" t="s">
        <v>192</v>
      </c>
      <c r="AA114" s="194">
        <v>80</v>
      </c>
      <c r="AB114" s="5" t="s">
        <v>192</v>
      </c>
      <c r="AC114" s="194">
        <v>87</v>
      </c>
      <c r="AD114" s="5" t="s">
        <v>192</v>
      </c>
    </row>
    <row r="115" spans="1:30" ht="94.5" x14ac:dyDescent="0.3">
      <c r="A115" s="5" t="s">
        <v>182</v>
      </c>
      <c r="B115" s="4">
        <v>10424</v>
      </c>
      <c r="C115" s="4">
        <v>1</v>
      </c>
      <c r="D115" s="4" t="s">
        <v>314</v>
      </c>
      <c r="E115" s="194" t="s">
        <v>205</v>
      </c>
      <c r="F115" s="194" t="s">
        <v>206</v>
      </c>
      <c r="G115" s="194">
        <v>81</v>
      </c>
      <c r="H115" s="194" t="s">
        <v>201</v>
      </c>
      <c r="I115" s="194">
        <v>86</v>
      </c>
      <c r="J115" s="194" t="s">
        <v>201</v>
      </c>
      <c r="K115" s="194">
        <v>76</v>
      </c>
      <c r="L115" s="194" t="s">
        <v>201</v>
      </c>
      <c r="M115" s="194">
        <v>0</v>
      </c>
      <c r="N115" s="194" t="s">
        <v>188</v>
      </c>
      <c r="O115" s="194">
        <v>1</v>
      </c>
      <c r="P115" s="194" t="s">
        <v>197</v>
      </c>
      <c r="Q115" s="194">
        <v>0</v>
      </c>
      <c r="R115" s="194" t="s">
        <v>203</v>
      </c>
      <c r="S115" s="194">
        <v>37</v>
      </c>
      <c r="T115" s="194" t="s">
        <v>187</v>
      </c>
      <c r="U115" s="194">
        <v>37</v>
      </c>
      <c r="V115" s="194" t="s">
        <v>187</v>
      </c>
      <c r="W115" s="194">
        <v>33</v>
      </c>
      <c r="X115" s="194" t="s">
        <v>187</v>
      </c>
      <c r="Y115" s="194">
        <v>36</v>
      </c>
      <c r="Z115" s="194" t="s">
        <v>187</v>
      </c>
      <c r="AA115" s="194">
        <v>32</v>
      </c>
      <c r="AB115" s="194" t="s">
        <v>187</v>
      </c>
      <c r="AC115" s="194">
        <v>36</v>
      </c>
      <c r="AD115" s="194" t="s">
        <v>187</v>
      </c>
    </row>
    <row r="116" spans="1:30" ht="81" x14ac:dyDescent="0.3">
      <c r="A116" s="5" t="s">
        <v>182</v>
      </c>
      <c r="B116" s="4">
        <v>10425</v>
      </c>
      <c r="C116" s="4">
        <v>1</v>
      </c>
      <c r="D116" s="4" t="s">
        <v>315</v>
      </c>
      <c r="E116" s="194" t="s">
        <v>184</v>
      </c>
      <c r="F116" s="194" t="s">
        <v>185</v>
      </c>
      <c r="G116" s="194">
        <v>23</v>
      </c>
      <c r="H116" s="194" t="s">
        <v>186</v>
      </c>
      <c r="I116" s="194">
        <v>23</v>
      </c>
      <c r="J116" s="194" t="s">
        <v>186</v>
      </c>
      <c r="K116" s="194">
        <v>45</v>
      </c>
      <c r="L116" s="194" t="s">
        <v>187</v>
      </c>
      <c r="M116" s="194">
        <v>0</v>
      </c>
      <c r="N116" s="194" t="s">
        <v>188</v>
      </c>
      <c r="O116" s="194">
        <v>3</v>
      </c>
      <c r="P116" s="194" t="s">
        <v>189</v>
      </c>
      <c r="Q116" s="194">
        <v>3</v>
      </c>
      <c r="R116" s="194" t="s">
        <v>190</v>
      </c>
      <c r="S116" s="194">
        <v>37</v>
      </c>
      <c r="T116" s="194" t="s">
        <v>187</v>
      </c>
      <c r="U116" s="194">
        <v>58</v>
      </c>
      <c r="V116" s="194" t="s">
        <v>191</v>
      </c>
      <c r="W116" s="194">
        <v>45</v>
      </c>
      <c r="X116" s="194" t="s">
        <v>191</v>
      </c>
      <c r="Y116" s="194">
        <v>48</v>
      </c>
      <c r="Z116" s="194" t="s">
        <v>191</v>
      </c>
      <c r="AA116" s="194">
        <v>32</v>
      </c>
      <c r="AB116" s="194" t="s">
        <v>187</v>
      </c>
      <c r="AC116" s="194">
        <v>62</v>
      </c>
      <c r="AD116" s="5" t="s">
        <v>192</v>
      </c>
    </row>
    <row r="117" spans="1:30" ht="81" x14ac:dyDescent="0.3">
      <c r="A117" s="5" t="s">
        <v>182</v>
      </c>
      <c r="B117" s="4">
        <v>10426</v>
      </c>
      <c r="C117" s="4">
        <v>1</v>
      </c>
      <c r="D117" s="4" t="s">
        <v>316</v>
      </c>
      <c r="E117" s="194" t="s">
        <v>194</v>
      </c>
      <c r="F117" s="194" t="s">
        <v>195</v>
      </c>
      <c r="G117" s="194">
        <v>32</v>
      </c>
      <c r="H117" s="194" t="s">
        <v>196</v>
      </c>
      <c r="I117" s="194">
        <v>31</v>
      </c>
      <c r="J117" s="194" t="s">
        <v>196</v>
      </c>
      <c r="K117" s="194">
        <v>26</v>
      </c>
      <c r="L117" s="194" t="s">
        <v>186</v>
      </c>
      <c r="M117" s="194">
        <v>0</v>
      </c>
      <c r="N117" s="194" t="s">
        <v>188</v>
      </c>
      <c r="O117" s="194">
        <v>1</v>
      </c>
      <c r="P117" s="194" t="s">
        <v>197</v>
      </c>
      <c r="Q117" s="194">
        <v>3</v>
      </c>
      <c r="R117" s="194" t="s">
        <v>190</v>
      </c>
      <c r="S117" s="194">
        <v>37</v>
      </c>
      <c r="T117" s="194" t="s">
        <v>187</v>
      </c>
      <c r="U117" s="194">
        <v>37</v>
      </c>
      <c r="V117" s="194" t="s">
        <v>187</v>
      </c>
      <c r="W117" s="194">
        <v>33</v>
      </c>
      <c r="X117" s="194" t="s">
        <v>187</v>
      </c>
      <c r="Y117" s="194">
        <v>36</v>
      </c>
      <c r="Z117" s="194" t="s">
        <v>187</v>
      </c>
      <c r="AA117" s="194">
        <v>32</v>
      </c>
      <c r="AB117" s="194" t="s">
        <v>187</v>
      </c>
      <c r="AC117" s="194">
        <v>36</v>
      </c>
      <c r="AD117" s="194" t="s">
        <v>187</v>
      </c>
    </row>
    <row r="118" spans="1:30" ht="81" x14ac:dyDescent="0.3">
      <c r="A118" s="5" t="s">
        <v>182</v>
      </c>
      <c r="B118" s="4">
        <v>10428</v>
      </c>
      <c r="C118" s="4">
        <v>1</v>
      </c>
      <c r="D118" s="4" t="s">
        <v>317</v>
      </c>
      <c r="E118" s="194" t="s">
        <v>199</v>
      </c>
      <c r="F118" s="194" t="s">
        <v>200</v>
      </c>
      <c r="G118" s="194">
        <v>77</v>
      </c>
      <c r="H118" s="194" t="s">
        <v>201</v>
      </c>
      <c r="I118" s="194">
        <v>65</v>
      </c>
      <c r="J118" s="194" t="s">
        <v>202</v>
      </c>
      <c r="K118" s="194">
        <v>76</v>
      </c>
      <c r="L118" s="194" t="s">
        <v>201</v>
      </c>
      <c r="M118" s="194">
        <v>0</v>
      </c>
      <c r="N118" s="194" t="s">
        <v>188</v>
      </c>
      <c r="O118" s="194">
        <v>5</v>
      </c>
      <c r="P118" s="194" t="s">
        <v>189</v>
      </c>
      <c r="Q118" s="194">
        <v>0</v>
      </c>
      <c r="R118" s="194" t="s">
        <v>203</v>
      </c>
      <c r="S118" s="194">
        <v>85</v>
      </c>
      <c r="T118" s="5" t="s">
        <v>192</v>
      </c>
      <c r="U118" s="194">
        <v>79</v>
      </c>
      <c r="V118" s="5" t="s">
        <v>192</v>
      </c>
      <c r="W118" s="194">
        <v>81</v>
      </c>
      <c r="X118" s="5" t="s">
        <v>192</v>
      </c>
      <c r="Y118" s="194">
        <v>85</v>
      </c>
      <c r="Z118" s="5" t="s">
        <v>192</v>
      </c>
      <c r="AA118" s="194">
        <v>80</v>
      </c>
      <c r="AB118" s="5" t="s">
        <v>192</v>
      </c>
      <c r="AC118" s="194">
        <v>87</v>
      </c>
      <c r="AD118" s="5" t="s">
        <v>192</v>
      </c>
    </row>
    <row r="119" spans="1:30" ht="94.5" x14ac:dyDescent="0.3">
      <c r="A119" s="5" t="s">
        <v>182</v>
      </c>
      <c r="B119" s="4">
        <v>10429</v>
      </c>
      <c r="C119" s="4">
        <v>1</v>
      </c>
      <c r="D119" s="4" t="s">
        <v>318</v>
      </c>
      <c r="E119" s="194" t="s">
        <v>205</v>
      </c>
      <c r="F119" s="194" t="s">
        <v>206</v>
      </c>
      <c r="G119" s="194">
        <v>81</v>
      </c>
      <c r="H119" s="194" t="s">
        <v>201</v>
      </c>
      <c r="I119" s="194">
        <v>86</v>
      </c>
      <c r="J119" s="194" t="s">
        <v>201</v>
      </c>
      <c r="K119" s="194">
        <v>76</v>
      </c>
      <c r="L119" s="194" t="s">
        <v>201</v>
      </c>
      <c r="M119" s="194">
        <v>0</v>
      </c>
      <c r="N119" s="194" t="s">
        <v>188</v>
      </c>
      <c r="O119" s="194">
        <v>1</v>
      </c>
      <c r="P119" s="194" t="s">
        <v>197</v>
      </c>
      <c r="Q119" s="194">
        <v>0</v>
      </c>
      <c r="R119" s="194" t="s">
        <v>203</v>
      </c>
      <c r="S119" s="194">
        <v>37</v>
      </c>
      <c r="T119" s="194" t="s">
        <v>187</v>
      </c>
      <c r="U119" s="194">
        <v>37</v>
      </c>
      <c r="V119" s="194" t="s">
        <v>187</v>
      </c>
      <c r="W119" s="194">
        <v>33</v>
      </c>
      <c r="X119" s="194" t="s">
        <v>187</v>
      </c>
      <c r="Y119" s="194">
        <v>36</v>
      </c>
      <c r="Z119" s="194" t="s">
        <v>187</v>
      </c>
      <c r="AA119" s="194">
        <v>32</v>
      </c>
      <c r="AB119" s="194" t="s">
        <v>187</v>
      </c>
      <c r="AC119" s="194">
        <v>36</v>
      </c>
      <c r="AD119" s="194" t="s">
        <v>187</v>
      </c>
    </row>
    <row r="120" spans="1:30" ht="81" x14ac:dyDescent="0.3">
      <c r="A120" s="5" t="s">
        <v>182</v>
      </c>
      <c r="B120" s="4">
        <v>10430</v>
      </c>
      <c r="C120" s="4">
        <v>1</v>
      </c>
      <c r="D120" s="4" t="s">
        <v>319</v>
      </c>
      <c r="E120" s="194" t="s">
        <v>184</v>
      </c>
      <c r="F120" s="194" t="s">
        <v>185</v>
      </c>
      <c r="G120" s="194">
        <v>23</v>
      </c>
      <c r="H120" s="194" t="s">
        <v>186</v>
      </c>
      <c r="I120" s="194">
        <v>23</v>
      </c>
      <c r="J120" s="194" t="s">
        <v>186</v>
      </c>
      <c r="K120" s="194">
        <v>45</v>
      </c>
      <c r="L120" s="194" t="s">
        <v>187</v>
      </c>
      <c r="M120" s="194">
        <v>0</v>
      </c>
      <c r="N120" s="194" t="s">
        <v>188</v>
      </c>
      <c r="O120" s="194">
        <v>3</v>
      </c>
      <c r="P120" s="194" t="s">
        <v>189</v>
      </c>
      <c r="Q120" s="194">
        <v>3</v>
      </c>
      <c r="R120" s="194" t="s">
        <v>190</v>
      </c>
      <c r="S120" s="194">
        <v>37</v>
      </c>
      <c r="T120" s="194" t="s">
        <v>187</v>
      </c>
      <c r="U120" s="194">
        <v>58</v>
      </c>
      <c r="V120" s="194" t="s">
        <v>191</v>
      </c>
      <c r="W120" s="194">
        <v>45</v>
      </c>
      <c r="X120" s="194" t="s">
        <v>191</v>
      </c>
      <c r="Y120" s="194">
        <v>48</v>
      </c>
      <c r="Z120" s="194" t="s">
        <v>191</v>
      </c>
      <c r="AA120" s="194">
        <v>32</v>
      </c>
      <c r="AB120" s="194" t="s">
        <v>187</v>
      </c>
      <c r="AC120" s="194">
        <v>62</v>
      </c>
      <c r="AD120" s="5" t="s">
        <v>192</v>
      </c>
    </row>
    <row r="121" spans="1:30" ht="81" x14ac:dyDescent="0.3">
      <c r="A121" s="5" t="s">
        <v>182</v>
      </c>
      <c r="B121" s="4">
        <v>10501</v>
      </c>
      <c r="C121" s="4">
        <v>2</v>
      </c>
      <c r="D121" s="4" t="s">
        <v>320</v>
      </c>
      <c r="E121" s="194" t="s">
        <v>194</v>
      </c>
      <c r="F121" s="194" t="s">
        <v>195</v>
      </c>
      <c r="G121" s="194">
        <v>32</v>
      </c>
      <c r="H121" s="194" t="s">
        <v>196</v>
      </c>
      <c r="I121" s="194">
        <v>31</v>
      </c>
      <c r="J121" s="194" t="s">
        <v>196</v>
      </c>
      <c r="K121" s="194">
        <v>26</v>
      </c>
      <c r="L121" s="194" t="s">
        <v>186</v>
      </c>
      <c r="M121" s="194">
        <v>0</v>
      </c>
      <c r="N121" s="194" t="s">
        <v>188</v>
      </c>
      <c r="O121" s="194">
        <v>1</v>
      </c>
      <c r="P121" s="194" t="s">
        <v>197</v>
      </c>
      <c r="Q121" s="194">
        <v>3</v>
      </c>
      <c r="R121" s="194" t="s">
        <v>190</v>
      </c>
      <c r="S121" s="194">
        <v>37</v>
      </c>
      <c r="T121" s="194" t="s">
        <v>187</v>
      </c>
      <c r="U121" s="194">
        <v>37</v>
      </c>
      <c r="V121" s="194" t="s">
        <v>187</v>
      </c>
      <c r="W121" s="194">
        <v>33</v>
      </c>
      <c r="X121" s="194" t="s">
        <v>187</v>
      </c>
      <c r="Y121" s="194">
        <v>36</v>
      </c>
      <c r="Z121" s="194" t="s">
        <v>187</v>
      </c>
      <c r="AA121" s="194">
        <v>32</v>
      </c>
      <c r="AB121" s="194" t="s">
        <v>187</v>
      </c>
      <c r="AC121" s="194">
        <v>36</v>
      </c>
      <c r="AD121" s="194" t="s">
        <v>187</v>
      </c>
    </row>
    <row r="122" spans="1:30" ht="81" x14ac:dyDescent="0.3">
      <c r="A122" s="5" t="s">
        <v>182</v>
      </c>
      <c r="B122" s="4">
        <v>10502</v>
      </c>
      <c r="C122" s="4">
        <v>2</v>
      </c>
      <c r="D122" s="4" t="s">
        <v>321</v>
      </c>
      <c r="E122" s="194" t="s">
        <v>199</v>
      </c>
      <c r="F122" s="194" t="s">
        <v>200</v>
      </c>
      <c r="G122" s="194">
        <v>77</v>
      </c>
      <c r="H122" s="194" t="s">
        <v>201</v>
      </c>
      <c r="I122" s="194">
        <v>65</v>
      </c>
      <c r="J122" s="194" t="s">
        <v>202</v>
      </c>
      <c r="K122" s="194">
        <v>76</v>
      </c>
      <c r="L122" s="194" t="s">
        <v>201</v>
      </c>
      <c r="M122" s="194">
        <v>0</v>
      </c>
      <c r="N122" s="194" t="s">
        <v>188</v>
      </c>
      <c r="O122" s="194">
        <v>5</v>
      </c>
      <c r="P122" s="194" t="s">
        <v>189</v>
      </c>
      <c r="Q122" s="194">
        <v>0</v>
      </c>
      <c r="R122" s="194" t="s">
        <v>203</v>
      </c>
      <c r="S122" s="194">
        <v>85</v>
      </c>
      <c r="T122" s="5" t="s">
        <v>192</v>
      </c>
      <c r="U122" s="194">
        <v>79</v>
      </c>
      <c r="V122" s="5" t="s">
        <v>192</v>
      </c>
      <c r="W122" s="194">
        <v>81</v>
      </c>
      <c r="X122" s="5" t="s">
        <v>192</v>
      </c>
      <c r="Y122" s="194">
        <v>85</v>
      </c>
      <c r="Z122" s="5" t="s">
        <v>192</v>
      </c>
      <c r="AA122" s="194">
        <v>80</v>
      </c>
      <c r="AB122" s="5" t="s">
        <v>192</v>
      </c>
      <c r="AC122" s="194">
        <v>87</v>
      </c>
      <c r="AD122" s="5" t="s">
        <v>192</v>
      </c>
    </row>
    <row r="123" spans="1:30" ht="94.5" x14ac:dyDescent="0.3">
      <c r="A123" s="5" t="s">
        <v>182</v>
      </c>
      <c r="B123" s="4">
        <v>10503</v>
      </c>
      <c r="C123" s="4">
        <v>2</v>
      </c>
      <c r="D123" s="4" t="s">
        <v>322</v>
      </c>
      <c r="E123" s="194" t="s">
        <v>205</v>
      </c>
      <c r="F123" s="194" t="s">
        <v>206</v>
      </c>
      <c r="G123" s="194">
        <v>81</v>
      </c>
      <c r="H123" s="194" t="s">
        <v>201</v>
      </c>
      <c r="I123" s="194">
        <v>86</v>
      </c>
      <c r="J123" s="194" t="s">
        <v>201</v>
      </c>
      <c r="K123" s="194">
        <v>76</v>
      </c>
      <c r="L123" s="194" t="s">
        <v>201</v>
      </c>
      <c r="M123" s="194">
        <v>0</v>
      </c>
      <c r="N123" s="194" t="s">
        <v>188</v>
      </c>
      <c r="O123" s="194">
        <v>1</v>
      </c>
      <c r="P123" s="194" t="s">
        <v>197</v>
      </c>
      <c r="Q123" s="194">
        <v>0</v>
      </c>
      <c r="R123" s="194" t="s">
        <v>203</v>
      </c>
      <c r="S123" s="194">
        <v>37</v>
      </c>
      <c r="T123" s="194" t="s">
        <v>187</v>
      </c>
      <c r="U123" s="194">
        <v>37</v>
      </c>
      <c r="V123" s="194" t="s">
        <v>187</v>
      </c>
      <c r="W123" s="194">
        <v>33</v>
      </c>
      <c r="X123" s="194" t="s">
        <v>187</v>
      </c>
      <c r="Y123" s="194">
        <v>36</v>
      </c>
      <c r="Z123" s="194" t="s">
        <v>187</v>
      </c>
      <c r="AA123" s="194">
        <v>32</v>
      </c>
      <c r="AB123" s="194" t="s">
        <v>187</v>
      </c>
      <c r="AC123" s="194">
        <v>36</v>
      </c>
      <c r="AD123" s="194" t="s">
        <v>187</v>
      </c>
    </row>
    <row r="124" spans="1:30" ht="81" x14ac:dyDescent="0.3">
      <c r="A124" s="5" t="s">
        <v>182</v>
      </c>
      <c r="B124" s="4">
        <v>10504</v>
      </c>
      <c r="C124" s="4">
        <v>2</v>
      </c>
      <c r="D124" s="4" t="s">
        <v>323</v>
      </c>
      <c r="E124" s="194" t="s">
        <v>184</v>
      </c>
      <c r="F124" s="194" t="s">
        <v>185</v>
      </c>
      <c r="G124" s="194">
        <v>23</v>
      </c>
      <c r="H124" s="194" t="s">
        <v>186</v>
      </c>
      <c r="I124" s="194">
        <v>23</v>
      </c>
      <c r="J124" s="194" t="s">
        <v>186</v>
      </c>
      <c r="K124" s="194">
        <v>45</v>
      </c>
      <c r="L124" s="194" t="s">
        <v>187</v>
      </c>
      <c r="M124" s="194">
        <v>0</v>
      </c>
      <c r="N124" s="194" t="s">
        <v>188</v>
      </c>
      <c r="O124" s="194">
        <v>3</v>
      </c>
      <c r="P124" s="194" t="s">
        <v>189</v>
      </c>
      <c r="Q124" s="194">
        <v>3</v>
      </c>
      <c r="R124" s="194" t="s">
        <v>190</v>
      </c>
      <c r="S124" s="194">
        <v>37</v>
      </c>
      <c r="T124" s="194" t="s">
        <v>187</v>
      </c>
      <c r="U124" s="194">
        <v>58</v>
      </c>
      <c r="V124" s="194" t="s">
        <v>191</v>
      </c>
      <c r="W124" s="194">
        <v>45</v>
      </c>
      <c r="X124" s="194" t="s">
        <v>191</v>
      </c>
      <c r="Y124" s="194">
        <v>48</v>
      </c>
      <c r="Z124" s="194" t="s">
        <v>191</v>
      </c>
      <c r="AA124" s="194">
        <v>32</v>
      </c>
      <c r="AB124" s="194" t="s">
        <v>187</v>
      </c>
      <c r="AC124" s="194">
        <v>62</v>
      </c>
      <c r="AD124" s="5" t="s">
        <v>192</v>
      </c>
    </row>
    <row r="125" spans="1:30" ht="81" x14ac:dyDescent="0.3">
      <c r="A125" s="5" t="s">
        <v>182</v>
      </c>
      <c r="B125" s="4">
        <v>10505</v>
      </c>
      <c r="C125" s="4">
        <v>2</v>
      </c>
      <c r="D125" s="4" t="s">
        <v>324</v>
      </c>
      <c r="E125" s="194" t="s">
        <v>194</v>
      </c>
      <c r="F125" s="194" t="s">
        <v>195</v>
      </c>
      <c r="G125" s="194">
        <v>32</v>
      </c>
      <c r="H125" s="194" t="s">
        <v>196</v>
      </c>
      <c r="I125" s="194">
        <v>31</v>
      </c>
      <c r="J125" s="194" t="s">
        <v>196</v>
      </c>
      <c r="K125" s="194">
        <v>26</v>
      </c>
      <c r="L125" s="194" t="s">
        <v>186</v>
      </c>
      <c r="M125" s="194">
        <v>0</v>
      </c>
      <c r="N125" s="194" t="s">
        <v>188</v>
      </c>
      <c r="O125" s="194">
        <v>1</v>
      </c>
      <c r="P125" s="194" t="s">
        <v>197</v>
      </c>
      <c r="Q125" s="194">
        <v>3</v>
      </c>
      <c r="R125" s="194" t="s">
        <v>190</v>
      </c>
      <c r="S125" s="194">
        <v>37</v>
      </c>
      <c r="T125" s="194" t="s">
        <v>187</v>
      </c>
      <c r="U125" s="194">
        <v>37</v>
      </c>
      <c r="V125" s="194" t="s">
        <v>187</v>
      </c>
      <c r="W125" s="194">
        <v>33</v>
      </c>
      <c r="X125" s="194" t="s">
        <v>187</v>
      </c>
      <c r="Y125" s="194">
        <v>36</v>
      </c>
      <c r="Z125" s="194" t="s">
        <v>187</v>
      </c>
      <c r="AA125" s="194">
        <v>32</v>
      </c>
      <c r="AB125" s="194" t="s">
        <v>187</v>
      </c>
      <c r="AC125" s="194">
        <v>36</v>
      </c>
      <c r="AD125" s="194" t="s">
        <v>187</v>
      </c>
    </row>
    <row r="126" spans="1:30" ht="81" x14ac:dyDescent="0.3">
      <c r="A126" s="5" t="s">
        <v>182</v>
      </c>
      <c r="B126" s="4">
        <v>10506</v>
      </c>
      <c r="C126" s="4">
        <v>2</v>
      </c>
      <c r="D126" s="4" t="s">
        <v>325</v>
      </c>
      <c r="E126" s="194" t="s">
        <v>199</v>
      </c>
      <c r="F126" s="194" t="s">
        <v>200</v>
      </c>
      <c r="G126" s="194">
        <v>77</v>
      </c>
      <c r="H126" s="194" t="s">
        <v>201</v>
      </c>
      <c r="I126" s="194">
        <v>65</v>
      </c>
      <c r="J126" s="194" t="s">
        <v>202</v>
      </c>
      <c r="K126" s="194">
        <v>76</v>
      </c>
      <c r="L126" s="194" t="s">
        <v>201</v>
      </c>
      <c r="M126" s="194">
        <v>0</v>
      </c>
      <c r="N126" s="194" t="s">
        <v>188</v>
      </c>
      <c r="O126" s="194">
        <v>5</v>
      </c>
      <c r="P126" s="194" t="s">
        <v>189</v>
      </c>
      <c r="Q126" s="194">
        <v>0</v>
      </c>
      <c r="R126" s="194" t="s">
        <v>203</v>
      </c>
      <c r="S126" s="194">
        <v>85</v>
      </c>
      <c r="T126" s="5" t="s">
        <v>192</v>
      </c>
      <c r="U126" s="194">
        <v>79</v>
      </c>
      <c r="V126" s="5" t="s">
        <v>192</v>
      </c>
      <c r="W126" s="194">
        <v>81</v>
      </c>
      <c r="X126" s="5" t="s">
        <v>192</v>
      </c>
      <c r="Y126" s="194">
        <v>85</v>
      </c>
      <c r="Z126" s="5" t="s">
        <v>192</v>
      </c>
      <c r="AA126" s="194">
        <v>80</v>
      </c>
      <c r="AB126" s="5" t="s">
        <v>192</v>
      </c>
      <c r="AC126" s="194">
        <v>87</v>
      </c>
      <c r="AD126" s="5" t="s">
        <v>192</v>
      </c>
    </row>
    <row r="127" spans="1:30" ht="94.5" x14ac:dyDescent="0.3">
      <c r="A127" s="5" t="s">
        <v>182</v>
      </c>
      <c r="B127" s="4">
        <v>10507</v>
      </c>
      <c r="C127" s="4">
        <v>2</v>
      </c>
      <c r="D127" s="4" t="s">
        <v>204</v>
      </c>
      <c r="E127" s="194" t="s">
        <v>205</v>
      </c>
      <c r="F127" s="194" t="s">
        <v>206</v>
      </c>
      <c r="G127" s="194">
        <v>81</v>
      </c>
      <c r="H127" s="194" t="s">
        <v>201</v>
      </c>
      <c r="I127" s="194">
        <v>86</v>
      </c>
      <c r="J127" s="194" t="s">
        <v>201</v>
      </c>
      <c r="K127" s="194">
        <v>76</v>
      </c>
      <c r="L127" s="194" t="s">
        <v>201</v>
      </c>
      <c r="M127" s="194">
        <v>0</v>
      </c>
      <c r="N127" s="194" t="s">
        <v>188</v>
      </c>
      <c r="O127" s="194">
        <v>1</v>
      </c>
      <c r="P127" s="194" t="s">
        <v>197</v>
      </c>
      <c r="Q127" s="194">
        <v>0</v>
      </c>
      <c r="R127" s="194" t="s">
        <v>203</v>
      </c>
      <c r="S127" s="194">
        <v>37</v>
      </c>
      <c r="T127" s="194" t="s">
        <v>187</v>
      </c>
      <c r="U127" s="194">
        <v>37</v>
      </c>
      <c r="V127" s="194" t="s">
        <v>187</v>
      </c>
      <c r="W127" s="194">
        <v>33</v>
      </c>
      <c r="X127" s="194" t="s">
        <v>187</v>
      </c>
      <c r="Y127" s="194">
        <v>36</v>
      </c>
      <c r="Z127" s="194" t="s">
        <v>187</v>
      </c>
      <c r="AA127" s="194">
        <v>32</v>
      </c>
      <c r="AB127" s="194" t="s">
        <v>187</v>
      </c>
      <c r="AC127" s="194">
        <v>36</v>
      </c>
      <c r="AD127" s="194" t="s">
        <v>187</v>
      </c>
    </row>
    <row r="128" spans="1:30" ht="81" x14ac:dyDescent="0.3">
      <c r="A128" s="5" t="s">
        <v>182</v>
      </c>
      <c r="B128" s="4">
        <v>10508</v>
      </c>
      <c r="C128" s="4">
        <v>2</v>
      </c>
      <c r="D128" s="4" t="s">
        <v>326</v>
      </c>
      <c r="E128" s="194" t="s">
        <v>184</v>
      </c>
      <c r="F128" s="194" t="s">
        <v>185</v>
      </c>
      <c r="G128" s="194">
        <v>23</v>
      </c>
      <c r="H128" s="194" t="s">
        <v>186</v>
      </c>
      <c r="I128" s="194">
        <v>23</v>
      </c>
      <c r="J128" s="194" t="s">
        <v>186</v>
      </c>
      <c r="K128" s="194">
        <v>45</v>
      </c>
      <c r="L128" s="194" t="s">
        <v>187</v>
      </c>
      <c r="M128" s="194">
        <v>0</v>
      </c>
      <c r="N128" s="194" t="s">
        <v>188</v>
      </c>
      <c r="O128" s="194">
        <v>3</v>
      </c>
      <c r="P128" s="194" t="s">
        <v>189</v>
      </c>
      <c r="Q128" s="194">
        <v>3</v>
      </c>
      <c r="R128" s="194" t="s">
        <v>190</v>
      </c>
      <c r="S128" s="194">
        <v>37</v>
      </c>
      <c r="T128" s="194" t="s">
        <v>187</v>
      </c>
      <c r="U128" s="194">
        <v>58</v>
      </c>
      <c r="V128" s="194" t="s">
        <v>191</v>
      </c>
      <c r="W128" s="194">
        <v>45</v>
      </c>
      <c r="X128" s="194" t="s">
        <v>191</v>
      </c>
      <c r="Y128" s="194">
        <v>48</v>
      </c>
      <c r="Z128" s="194" t="s">
        <v>191</v>
      </c>
      <c r="AA128" s="194">
        <v>32</v>
      </c>
      <c r="AB128" s="194" t="s">
        <v>187</v>
      </c>
      <c r="AC128" s="194">
        <v>62</v>
      </c>
      <c r="AD128" s="5" t="s">
        <v>192</v>
      </c>
    </row>
    <row r="129" spans="1:30" ht="81" x14ac:dyDescent="0.3">
      <c r="A129" s="5" t="s">
        <v>182</v>
      </c>
      <c r="B129" s="4">
        <v>10509</v>
      </c>
      <c r="C129" s="4">
        <v>2</v>
      </c>
      <c r="D129" s="4" t="s">
        <v>327</v>
      </c>
      <c r="E129" s="194" t="s">
        <v>194</v>
      </c>
      <c r="F129" s="194" t="s">
        <v>195</v>
      </c>
      <c r="G129" s="194">
        <v>32</v>
      </c>
      <c r="H129" s="194" t="s">
        <v>196</v>
      </c>
      <c r="I129" s="194">
        <v>31</v>
      </c>
      <c r="J129" s="194" t="s">
        <v>196</v>
      </c>
      <c r="K129" s="194">
        <v>26</v>
      </c>
      <c r="L129" s="194" t="s">
        <v>186</v>
      </c>
      <c r="M129" s="194">
        <v>0</v>
      </c>
      <c r="N129" s="194" t="s">
        <v>188</v>
      </c>
      <c r="O129" s="194">
        <v>1</v>
      </c>
      <c r="P129" s="194" t="s">
        <v>197</v>
      </c>
      <c r="Q129" s="194">
        <v>3</v>
      </c>
      <c r="R129" s="194" t="s">
        <v>190</v>
      </c>
      <c r="S129" s="194">
        <v>37</v>
      </c>
      <c r="T129" s="194" t="s">
        <v>187</v>
      </c>
      <c r="U129" s="194">
        <v>37</v>
      </c>
      <c r="V129" s="194" t="s">
        <v>187</v>
      </c>
      <c r="W129" s="194">
        <v>33</v>
      </c>
      <c r="X129" s="194" t="s">
        <v>187</v>
      </c>
      <c r="Y129" s="194">
        <v>36</v>
      </c>
      <c r="Z129" s="194" t="s">
        <v>187</v>
      </c>
      <c r="AA129" s="194">
        <v>32</v>
      </c>
      <c r="AB129" s="194" t="s">
        <v>187</v>
      </c>
      <c r="AC129" s="194">
        <v>36</v>
      </c>
      <c r="AD129" s="194" t="s">
        <v>187</v>
      </c>
    </row>
    <row r="130" spans="1:30" ht="81" x14ac:dyDescent="0.3">
      <c r="A130" s="5" t="s">
        <v>182</v>
      </c>
      <c r="B130" s="4">
        <v>10510</v>
      </c>
      <c r="C130" s="4">
        <v>2</v>
      </c>
      <c r="D130" s="4" t="s">
        <v>328</v>
      </c>
      <c r="E130" s="194" t="s">
        <v>199</v>
      </c>
      <c r="F130" s="194" t="s">
        <v>200</v>
      </c>
      <c r="G130" s="194">
        <v>77</v>
      </c>
      <c r="H130" s="194" t="s">
        <v>201</v>
      </c>
      <c r="I130" s="194">
        <v>65</v>
      </c>
      <c r="J130" s="194" t="s">
        <v>202</v>
      </c>
      <c r="K130" s="194">
        <v>76</v>
      </c>
      <c r="L130" s="194" t="s">
        <v>201</v>
      </c>
      <c r="M130" s="194">
        <v>0</v>
      </c>
      <c r="N130" s="194" t="s">
        <v>188</v>
      </c>
      <c r="O130" s="194">
        <v>5</v>
      </c>
      <c r="P130" s="194" t="s">
        <v>189</v>
      </c>
      <c r="Q130" s="194">
        <v>0</v>
      </c>
      <c r="R130" s="194" t="s">
        <v>203</v>
      </c>
      <c r="S130" s="194">
        <v>85</v>
      </c>
      <c r="T130" s="5" t="s">
        <v>192</v>
      </c>
      <c r="U130" s="194">
        <v>79</v>
      </c>
      <c r="V130" s="5" t="s">
        <v>192</v>
      </c>
      <c r="W130" s="194">
        <v>81</v>
      </c>
      <c r="X130" s="5" t="s">
        <v>192</v>
      </c>
      <c r="Y130" s="194">
        <v>85</v>
      </c>
      <c r="Z130" s="5" t="s">
        <v>192</v>
      </c>
      <c r="AA130" s="194">
        <v>80</v>
      </c>
      <c r="AB130" s="5" t="s">
        <v>192</v>
      </c>
      <c r="AC130" s="194">
        <v>87</v>
      </c>
      <c r="AD130" s="5" t="s">
        <v>192</v>
      </c>
    </row>
    <row r="131" spans="1:30" ht="94.5" x14ac:dyDescent="0.3">
      <c r="A131" s="5" t="s">
        <v>182</v>
      </c>
      <c r="B131" s="4">
        <v>10511</v>
      </c>
      <c r="C131" s="4">
        <v>2</v>
      </c>
      <c r="D131" s="4" t="s">
        <v>329</v>
      </c>
      <c r="E131" s="194" t="s">
        <v>205</v>
      </c>
      <c r="F131" s="194" t="s">
        <v>206</v>
      </c>
      <c r="G131" s="194">
        <v>81</v>
      </c>
      <c r="H131" s="194" t="s">
        <v>201</v>
      </c>
      <c r="I131" s="194">
        <v>86</v>
      </c>
      <c r="J131" s="194" t="s">
        <v>201</v>
      </c>
      <c r="K131" s="194">
        <v>76</v>
      </c>
      <c r="L131" s="194" t="s">
        <v>201</v>
      </c>
      <c r="M131" s="194">
        <v>0</v>
      </c>
      <c r="N131" s="194" t="s">
        <v>188</v>
      </c>
      <c r="O131" s="194">
        <v>1</v>
      </c>
      <c r="P131" s="194" t="s">
        <v>197</v>
      </c>
      <c r="Q131" s="194">
        <v>0</v>
      </c>
      <c r="R131" s="194" t="s">
        <v>203</v>
      </c>
      <c r="S131" s="194">
        <v>37</v>
      </c>
      <c r="T131" s="194" t="s">
        <v>187</v>
      </c>
      <c r="U131" s="194">
        <v>37</v>
      </c>
      <c r="V131" s="194" t="s">
        <v>187</v>
      </c>
      <c r="W131" s="194">
        <v>33</v>
      </c>
      <c r="X131" s="194" t="s">
        <v>187</v>
      </c>
      <c r="Y131" s="194">
        <v>36</v>
      </c>
      <c r="Z131" s="194" t="s">
        <v>187</v>
      </c>
      <c r="AA131" s="194">
        <v>32</v>
      </c>
      <c r="AB131" s="194" t="s">
        <v>187</v>
      </c>
      <c r="AC131" s="194">
        <v>36</v>
      </c>
      <c r="AD131" s="194" t="s">
        <v>187</v>
      </c>
    </row>
    <row r="132" spans="1:30" ht="81" x14ac:dyDescent="0.3">
      <c r="A132" s="5" t="s">
        <v>182</v>
      </c>
      <c r="B132" s="4">
        <v>10512</v>
      </c>
      <c r="C132" s="4">
        <v>2</v>
      </c>
      <c r="D132" s="4" t="s">
        <v>330</v>
      </c>
      <c r="E132" s="194" t="s">
        <v>184</v>
      </c>
      <c r="F132" s="194" t="s">
        <v>185</v>
      </c>
      <c r="G132" s="194">
        <v>23</v>
      </c>
      <c r="H132" s="194" t="s">
        <v>186</v>
      </c>
      <c r="I132" s="194">
        <v>23</v>
      </c>
      <c r="J132" s="194" t="s">
        <v>186</v>
      </c>
      <c r="K132" s="194">
        <v>45</v>
      </c>
      <c r="L132" s="194" t="s">
        <v>187</v>
      </c>
      <c r="M132" s="194">
        <v>0</v>
      </c>
      <c r="N132" s="194" t="s">
        <v>188</v>
      </c>
      <c r="O132" s="194">
        <v>3</v>
      </c>
      <c r="P132" s="194" t="s">
        <v>189</v>
      </c>
      <c r="Q132" s="194">
        <v>3</v>
      </c>
      <c r="R132" s="194" t="s">
        <v>190</v>
      </c>
      <c r="S132" s="194">
        <v>37</v>
      </c>
      <c r="T132" s="194" t="s">
        <v>187</v>
      </c>
      <c r="U132" s="194">
        <v>58</v>
      </c>
      <c r="V132" s="194" t="s">
        <v>191</v>
      </c>
      <c r="W132" s="194">
        <v>45</v>
      </c>
      <c r="X132" s="194" t="s">
        <v>191</v>
      </c>
      <c r="Y132" s="194">
        <v>48</v>
      </c>
      <c r="Z132" s="194" t="s">
        <v>191</v>
      </c>
      <c r="AA132" s="194">
        <v>32</v>
      </c>
      <c r="AB132" s="194" t="s">
        <v>187</v>
      </c>
      <c r="AC132" s="194">
        <v>62</v>
      </c>
      <c r="AD132" s="5" t="s">
        <v>192</v>
      </c>
    </row>
    <row r="133" spans="1:30" ht="81" x14ac:dyDescent="0.3">
      <c r="A133" s="5" t="s">
        <v>182</v>
      </c>
      <c r="B133" s="4">
        <v>10513</v>
      </c>
      <c r="C133" s="4">
        <v>2</v>
      </c>
      <c r="D133" s="4" t="s">
        <v>331</v>
      </c>
      <c r="E133" s="194" t="s">
        <v>194</v>
      </c>
      <c r="F133" s="194" t="s">
        <v>195</v>
      </c>
      <c r="G133" s="194">
        <v>32</v>
      </c>
      <c r="H133" s="194" t="s">
        <v>196</v>
      </c>
      <c r="I133" s="194">
        <v>31</v>
      </c>
      <c r="J133" s="194" t="s">
        <v>196</v>
      </c>
      <c r="K133" s="194">
        <v>26</v>
      </c>
      <c r="L133" s="194" t="s">
        <v>186</v>
      </c>
      <c r="M133" s="194">
        <v>0</v>
      </c>
      <c r="N133" s="194" t="s">
        <v>188</v>
      </c>
      <c r="O133" s="194">
        <v>1</v>
      </c>
      <c r="P133" s="194" t="s">
        <v>197</v>
      </c>
      <c r="Q133" s="194">
        <v>3</v>
      </c>
      <c r="R133" s="194" t="s">
        <v>190</v>
      </c>
      <c r="S133" s="194">
        <v>37</v>
      </c>
      <c r="T133" s="194" t="s">
        <v>187</v>
      </c>
      <c r="U133" s="194">
        <v>37</v>
      </c>
      <c r="V133" s="194" t="s">
        <v>187</v>
      </c>
      <c r="W133" s="194">
        <v>33</v>
      </c>
      <c r="X133" s="194" t="s">
        <v>187</v>
      </c>
      <c r="Y133" s="194">
        <v>36</v>
      </c>
      <c r="Z133" s="194" t="s">
        <v>187</v>
      </c>
      <c r="AA133" s="194">
        <v>32</v>
      </c>
      <c r="AB133" s="194" t="s">
        <v>187</v>
      </c>
      <c r="AC133" s="194">
        <v>36</v>
      </c>
      <c r="AD133" s="194" t="s">
        <v>187</v>
      </c>
    </row>
    <row r="134" spans="1:30" ht="81" x14ac:dyDescent="0.3">
      <c r="A134" s="5" t="s">
        <v>182</v>
      </c>
      <c r="B134" s="4">
        <v>10514</v>
      </c>
      <c r="C134" s="4">
        <v>2</v>
      </c>
      <c r="D134" s="4" t="s">
        <v>332</v>
      </c>
      <c r="E134" s="194" t="s">
        <v>199</v>
      </c>
      <c r="F134" s="194" t="s">
        <v>200</v>
      </c>
      <c r="G134" s="194">
        <v>77</v>
      </c>
      <c r="H134" s="194" t="s">
        <v>201</v>
      </c>
      <c r="I134" s="194">
        <v>65</v>
      </c>
      <c r="J134" s="194" t="s">
        <v>202</v>
      </c>
      <c r="K134" s="194">
        <v>76</v>
      </c>
      <c r="L134" s="194" t="s">
        <v>201</v>
      </c>
      <c r="M134" s="194">
        <v>0</v>
      </c>
      <c r="N134" s="194" t="s">
        <v>188</v>
      </c>
      <c r="O134" s="194">
        <v>5</v>
      </c>
      <c r="P134" s="194" t="s">
        <v>189</v>
      </c>
      <c r="Q134" s="194">
        <v>0</v>
      </c>
      <c r="R134" s="194" t="s">
        <v>203</v>
      </c>
      <c r="S134" s="194">
        <v>85</v>
      </c>
      <c r="T134" s="5" t="s">
        <v>192</v>
      </c>
      <c r="U134" s="194">
        <v>79</v>
      </c>
      <c r="V134" s="5" t="s">
        <v>192</v>
      </c>
      <c r="W134" s="194">
        <v>81</v>
      </c>
      <c r="X134" s="5" t="s">
        <v>192</v>
      </c>
      <c r="Y134" s="194">
        <v>85</v>
      </c>
      <c r="Z134" s="5" t="s">
        <v>192</v>
      </c>
      <c r="AA134" s="194">
        <v>80</v>
      </c>
      <c r="AB134" s="5" t="s">
        <v>192</v>
      </c>
      <c r="AC134" s="194">
        <v>87</v>
      </c>
      <c r="AD134" s="5" t="s">
        <v>192</v>
      </c>
    </row>
    <row r="135" spans="1:30" ht="94.5" x14ac:dyDescent="0.3">
      <c r="A135" s="5" t="s">
        <v>182</v>
      </c>
      <c r="B135" s="4">
        <v>10515</v>
      </c>
      <c r="C135" s="4">
        <v>1</v>
      </c>
      <c r="D135" s="4" t="s">
        <v>333</v>
      </c>
      <c r="E135" s="194" t="s">
        <v>205</v>
      </c>
      <c r="F135" s="194" t="s">
        <v>206</v>
      </c>
      <c r="G135" s="194">
        <v>81</v>
      </c>
      <c r="H135" s="194" t="s">
        <v>201</v>
      </c>
      <c r="I135" s="194">
        <v>86</v>
      </c>
      <c r="J135" s="194" t="s">
        <v>201</v>
      </c>
      <c r="K135" s="194">
        <v>76</v>
      </c>
      <c r="L135" s="194" t="s">
        <v>201</v>
      </c>
      <c r="M135" s="194">
        <v>0</v>
      </c>
      <c r="N135" s="194" t="s">
        <v>188</v>
      </c>
      <c r="O135" s="194">
        <v>1</v>
      </c>
      <c r="P135" s="194" t="s">
        <v>197</v>
      </c>
      <c r="Q135" s="194">
        <v>0</v>
      </c>
      <c r="R135" s="194" t="s">
        <v>203</v>
      </c>
      <c r="S135" s="194">
        <v>37</v>
      </c>
      <c r="T135" s="194" t="s">
        <v>187</v>
      </c>
      <c r="U135" s="194">
        <v>37</v>
      </c>
      <c r="V135" s="194" t="s">
        <v>187</v>
      </c>
      <c r="W135" s="194">
        <v>33</v>
      </c>
      <c r="X135" s="194" t="s">
        <v>187</v>
      </c>
      <c r="Y135" s="194">
        <v>36</v>
      </c>
      <c r="Z135" s="194" t="s">
        <v>187</v>
      </c>
      <c r="AA135" s="194">
        <v>32</v>
      </c>
      <c r="AB135" s="194" t="s">
        <v>187</v>
      </c>
      <c r="AC135" s="194">
        <v>36</v>
      </c>
      <c r="AD135" s="194" t="s">
        <v>187</v>
      </c>
    </row>
    <row r="136" spans="1:30" ht="81" x14ac:dyDescent="0.3">
      <c r="A136" s="5" t="s">
        <v>182</v>
      </c>
      <c r="B136" s="4">
        <v>10516</v>
      </c>
      <c r="C136" s="4">
        <v>1</v>
      </c>
      <c r="D136" s="4" t="s">
        <v>334</v>
      </c>
      <c r="E136" s="194" t="s">
        <v>184</v>
      </c>
      <c r="F136" s="194" t="s">
        <v>185</v>
      </c>
      <c r="G136" s="194">
        <v>23</v>
      </c>
      <c r="H136" s="194" t="s">
        <v>186</v>
      </c>
      <c r="I136" s="194">
        <v>23</v>
      </c>
      <c r="J136" s="194" t="s">
        <v>186</v>
      </c>
      <c r="K136" s="194">
        <v>45</v>
      </c>
      <c r="L136" s="194" t="s">
        <v>187</v>
      </c>
      <c r="M136" s="194">
        <v>0</v>
      </c>
      <c r="N136" s="194" t="s">
        <v>188</v>
      </c>
      <c r="O136" s="194">
        <v>3</v>
      </c>
      <c r="P136" s="194" t="s">
        <v>189</v>
      </c>
      <c r="Q136" s="194">
        <v>3</v>
      </c>
      <c r="R136" s="194" t="s">
        <v>190</v>
      </c>
      <c r="S136" s="194">
        <v>37</v>
      </c>
      <c r="T136" s="194" t="s">
        <v>187</v>
      </c>
      <c r="U136" s="194">
        <v>58</v>
      </c>
      <c r="V136" s="194" t="s">
        <v>191</v>
      </c>
      <c r="W136" s="194">
        <v>45</v>
      </c>
      <c r="X136" s="194" t="s">
        <v>191</v>
      </c>
      <c r="Y136" s="194">
        <v>48</v>
      </c>
      <c r="Z136" s="194" t="s">
        <v>191</v>
      </c>
      <c r="AA136" s="194">
        <v>32</v>
      </c>
      <c r="AB136" s="194" t="s">
        <v>187</v>
      </c>
      <c r="AC136" s="194">
        <v>62</v>
      </c>
      <c r="AD136" s="5" t="s">
        <v>192</v>
      </c>
    </row>
    <row r="137" spans="1:30" ht="81" x14ac:dyDescent="0.3">
      <c r="A137" s="5" t="s">
        <v>182</v>
      </c>
      <c r="B137" s="4">
        <v>10517</v>
      </c>
      <c r="C137" s="4">
        <v>1</v>
      </c>
      <c r="D137" s="4" t="s">
        <v>335</v>
      </c>
      <c r="E137" s="194" t="s">
        <v>194</v>
      </c>
      <c r="F137" s="194" t="s">
        <v>195</v>
      </c>
      <c r="G137" s="194">
        <v>32</v>
      </c>
      <c r="H137" s="194" t="s">
        <v>196</v>
      </c>
      <c r="I137" s="194">
        <v>31</v>
      </c>
      <c r="J137" s="194" t="s">
        <v>196</v>
      </c>
      <c r="K137" s="194">
        <v>26</v>
      </c>
      <c r="L137" s="194" t="s">
        <v>186</v>
      </c>
      <c r="M137" s="194">
        <v>0</v>
      </c>
      <c r="N137" s="194" t="s">
        <v>188</v>
      </c>
      <c r="O137" s="194">
        <v>1</v>
      </c>
      <c r="P137" s="194" t="s">
        <v>197</v>
      </c>
      <c r="Q137" s="194">
        <v>3</v>
      </c>
      <c r="R137" s="194" t="s">
        <v>190</v>
      </c>
      <c r="S137" s="194">
        <v>37</v>
      </c>
      <c r="T137" s="194" t="s">
        <v>187</v>
      </c>
      <c r="U137" s="194">
        <v>37</v>
      </c>
      <c r="V137" s="194" t="s">
        <v>187</v>
      </c>
      <c r="W137" s="194">
        <v>33</v>
      </c>
      <c r="X137" s="194" t="s">
        <v>187</v>
      </c>
      <c r="Y137" s="194">
        <v>36</v>
      </c>
      <c r="Z137" s="194" t="s">
        <v>187</v>
      </c>
      <c r="AA137" s="194">
        <v>32</v>
      </c>
      <c r="AB137" s="194" t="s">
        <v>187</v>
      </c>
      <c r="AC137" s="194">
        <v>36</v>
      </c>
      <c r="AD137" s="194" t="s">
        <v>187</v>
      </c>
    </row>
    <row r="138" spans="1:30" ht="81" x14ac:dyDescent="0.3">
      <c r="A138" s="5" t="s">
        <v>182</v>
      </c>
      <c r="B138" s="4">
        <v>10518</v>
      </c>
      <c r="C138" s="4">
        <v>1</v>
      </c>
      <c r="D138" s="4" t="s">
        <v>336</v>
      </c>
      <c r="E138" s="194" t="s">
        <v>199</v>
      </c>
      <c r="F138" s="194" t="s">
        <v>200</v>
      </c>
      <c r="G138" s="194">
        <v>77</v>
      </c>
      <c r="H138" s="194" t="s">
        <v>201</v>
      </c>
      <c r="I138" s="194">
        <v>65</v>
      </c>
      <c r="J138" s="194" t="s">
        <v>202</v>
      </c>
      <c r="K138" s="194">
        <v>76</v>
      </c>
      <c r="L138" s="194" t="s">
        <v>201</v>
      </c>
      <c r="M138" s="194">
        <v>0</v>
      </c>
      <c r="N138" s="194" t="s">
        <v>188</v>
      </c>
      <c r="O138" s="194">
        <v>5</v>
      </c>
      <c r="P138" s="194" t="s">
        <v>189</v>
      </c>
      <c r="Q138" s="194">
        <v>0</v>
      </c>
      <c r="R138" s="194" t="s">
        <v>203</v>
      </c>
      <c r="S138" s="194">
        <v>85</v>
      </c>
      <c r="T138" s="5" t="s">
        <v>192</v>
      </c>
      <c r="U138" s="194">
        <v>79</v>
      </c>
      <c r="V138" s="5" t="s">
        <v>192</v>
      </c>
      <c r="W138" s="194">
        <v>81</v>
      </c>
      <c r="X138" s="5" t="s">
        <v>192</v>
      </c>
      <c r="Y138" s="194">
        <v>85</v>
      </c>
      <c r="Z138" s="5" t="s">
        <v>192</v>
      </c>
      <c r="AA138" s="194">
        <v>80</v>
      </c>
      <c r="AB138" s="5" t="s">
        <v>192</v>
      </c>
      <c r="AC138" s="194">
        <v>87</v>
      </c>
      <c r="AD138" s="5" t="s">
        <v>192</v>
      </c>
    </row>
    <row r="139" spans="1:30" ht="94.5" x14ac:dyDescent="0.3">
      <c r="A139" s="5" t="s">
        <v>182</v>
      </c>
      <c r="B139" s="4">
        <v>10519</v>
      </c>
      <c r="C139" s="4">
        <v>1</v>
      </c>
      <c r="D139" s="4" t="s">
        <v>337</v>
      </c>
      <c r="E139" s="194" t="s">
        <v>205</v>
      </c>
      <c r="F139" s="194" t="s">
        <v>206</v>
      </c>
      <c r="G139" s="194">
        <v>81</v>
      </c>
      <c r="H139" s="194" t="s">
        <v>201</v>
      </c>
      <c r="I139" s="194">
        <v>86</v>
      </c>
      <c r="J139" s="194" t="s">
        <v>201</v>
      </c>
      <c r="K139" s="194">
        <v>76</v>
      </c>
      <c r="L139" s="194" t="s">
        <v>201</v>
      </c>
      <c r="M139" s="194">
        <v>0</v>
      </c>
      <c r="N139" s="194" t="s">
        <v>188</v>
      </c>
      <c r="O139" s="194">
        <v>1</v>
      </c>
      <c r="P139" s="194" t="s">
        <v>197</v>
      </c>
      <c r="Q139" s="194">
        <v>0</v>
      </c>
      <c r="R139" s="194" t="s">
        <v>203</v>
      </c>
      <c r="S139" s="194">
        <v>37</v>
      </c>
      <c r="T139" s="194" t="s">
        <v>187</v>
      </c>
      <c r="U139" s="194">
        <v>37</v>
      </c>
      <c r="V139" s="194" t="s">
        <v>187</v>
      </c>
      <c r="W139" s="194">
        <v>33</v>
      </c>
      <c r="X139" s="194" t="s">
        <v>187</v>
      </c>
      <c r="Y139" s="194">
        <v>36</v>
      </c>
      <c r="Z139" s="194" t="s">
        <v>187</v>
      </c>
      <c r="AA139" s="194">
        <v>32</v>
      </c>
      <c r="AB139" s="194" t="s">
        <v>187</v>
      </c>
      <c r="AC139" s="194">
        <v>36</v>
      </c>
      <c r="AD139" s="194" t="s">
        <v>187</v>
      </c>
    </row>
    <row r="140" spans="1:30" ht="81" x14ac:dyDescent="0.3">
      <c r="A140" s="5" t="s">
        <v>182</v>
      </c>
      <c r="B140" s="4">
        <v>10520</v>
      </c>
      <c r="C140" s="4">
        <v>1</v>
      </c>
      <c r="D140" s="4" t="s">
        <v>338</v>
      </c>
      <c r="E140" s="194" t="s">
        <v>184</v>
      </c>
      <c r="F140" s="194" t="s">
        <v>185</v>
      </c>
      <c r="G140" s="194">
        <v>23</v>
      </c>
      <c r="H140" s="194" t="s">
        <v>186</v>
      </c>
      <c r="I140" s="194">
        <v>23</v>
      </c>
      <c r="J140" s="194" t="s">
        <v>186</v>
      </c>
      <c r="K140" s="194">
        <v>45</v>
      </c>
      <c r="L140" s="194" t="s">
        <v>187</v>
      </c>
      <c r="M140" s="194">
        <v>0</v>
      </c>
      <c r="N140" s="194" t="s">
        <v>188</v>
      </c>
      <c r="O140" s="194">
        <v>3</v>
      </c>
      <c r="P140" s="194" t="s">
        <v>189</v>
      </c>
      <c r="Q140" s="194">
        <v>3</v>
      </c>
      <c r="R140" s="194" t="s">
        <v>190</v>
      </c>
      <c r="S140" s="194">
        <v>37</v>
      </c>
      <c r="T140" s="194" t="s">
        <v>187</v>
      </c>
      <c r="U140" s="194">
        <v>58</v>
      </c>
      <c r="V140" s="194" t="s">
        <v>191</v>
      </c>
      <c r="W140" s="194">
        <v>45</v>
      </c>
      <c r="X140" s="194" t="s">
        <v>191</v>
      </c>
      <c r="Y140" s="194">
        <v>48</v>
      </c>
      <c r="Z140" s="194" t="s">
        <v>191</v>
      </c>
      <c r="AA140" s="194">
        <v>32</v>
      </c>
      <c r="AB140" s="194" t="s">
        <v>187</v>
      </c>
      <c r="AC140" s="194">
        <v>62</v>
      </c>
      <c r="AD140" s="5" t="s">
        <v>192</v>
      </c>
    </row>
    <row r="141" spans="1:30" ht="81" x14ac:dyDescent="0.3">
      <c r="A141" s="5" t="s">
        <v>182</v>
      </c>
      <c r="B141" s="4">
        <v>10521</v>
      </c>
      <c r="C141" s="4">
        <v>1</v>
      </c>
      <c r="D141" s="4" t="s">
        <v>339</v>
      </c>
      <c r="E141" s="194" t="s">
        <v>194</v>
      </c>
      <c r="F141" s="194" t="s">
        <v>195</v>
      </c>
      <c r="G141" s="194">
        <v>32</v>
      </c>
      <c r="H141" s="194" t="s">
        <v>196</v>
      </c>
      <c r="I141" s="194">
        <v>31</v>
      </c>
      <c r="J141" s="194" t="s">
        <v>196</v>
      </c>
      <c r="K141" s="194">
        <v>26</v>
      </c>
      <c r="L141" s="194" t="s">
        <v>186</v>
      </c>
      <c r="M141" s="194">
        <v>0</v>
      </c>
      <c r="N141" s="194" t="s">
        <v>188</v>
      </c>
      <c r="O141" s="194">
        <v>1</v>
      </c>
      <c r="P141" s="194" t="s">
        <v>197</v>
      </c>
      <c r="Q141" s="194">
        <v>3</v>
      </c>
      <c r="R141" s="194" t="s">
        <v>190</v>
      </c>
      <c r="S141" s="194">
        <v>37</v>
      </c>
      <c r="T141" s="194" t="s">
        <v>187</v>
      </c>
      <c r="U141" s="194">
        <v>37</v>
      </c>
      <c r="V141" s="194" t="s">
        <v>187</v>
      </c>
      <c r="W141" s="194">
        <v>33</v>
      </c>
      <c r="X141" s="194" t="s">
        <v>187</v>
      </c>
      <c r="Y141" s="194">
        <v>36</v>
      </c>
      <c r="Z141" s="194" t="s">
        <v>187</v>
      </c>
      <c r="AA141" s="194">
        <v>32</v>
      </c>
      <c r="AB141" s="194" t="s">
        <v>187</v>
      </c>
      <c r="AC141" s="194">
        <v>36</v>
      </c>
      <c r="AD141" s="194" t="s">
        <v>187</v>
      </c>
    </row>
    <row r="142" spans="1:30" ht="81" x14ac:dyDescent="0.3">
      <c r="A142" s="5" t="s">
        <v>182</v>
      </c>
      <c r="B142" s="4">
        <v>10522</v>
      </c>
      <c r="C142" s="4">
        <v>1</v>
      </c>
      <c r="D142" s="4" t="s">
        <v>340</v>
      </c>
      <c r="E142" s="194" t="s">
        <v>199</v>
      </c>
      <c r="F142" s="194" t="s">
        <v>200</v>
      </c>
      <c r="G142" s="194">
        <v>77</v>
      </c>
      <c r="H142" s="194" t="s">
        <v>201</v>
      </c>
      <c r="I142" s="194">
        <v>65</v>
      </c>
      <c r="J142" s="194" t="s">
        <v>202</v>
      </c>
      <c r="K142" s="194">
        <v>76</v>
      </c>
      <c r="L142" s="194" t="s">
        <v>201</v>
      </c>
      <c r="M142" s="194">
        <v>0</v>
      </c>
      <c r="N142" s="194" t="s">
        <v>188</v>
      </c>
      <c r="O142" s="194">
        <v>5</v>
      </c>
      <c r="P142" s="194" t="s">
        <v>189</v>
      </c>
      <c r="Q142" s="194">
        <v>0</v>
      </c>
      <c r="R142" s="194" t="s">
        <v>203</v>
      </c>
      <c r="S142" s="194">
        <v>85</v>
      </c>
      <c r="T142" s="5" t="s">
        <v>192</v>
      </c>
      <c r="U142" s="194">
        <v>79</v>
      </c>
      <c r="V142" s="5" t="s">
        <v>192</v>
      </c>
      <c r="W142" s="194">
        <v>81</v>
      </c>
      <c r="X142" s="5" t="s">
        <v>192</v>
      </c>
      <c r="Y142" s="194">
        <v>85</v>
      </c>
      <c r="Z142" s="5" t="s">
        <v>192</v>
      </c>
      <c r="AA142" s="194">
        <v>80</v>
      </c>
      <c r="AB142" s="5" t="s">
        <v>192</v>
      </c>
      <c r="AC142" s="194">
        <v>87</v>
      </c>
      <c r="AD142" s="5" t="s">
        <v>192</v>
      </c>
    </row>
    <row r="143" spans="1:30" ht="94.5" x14ac:dyDescent="0.3">
      <c r="A143" s="5" t="s">
        <v>182</v>
      </c>
      <c r="B143" s="4">
        <v>10523</v>
      </c>
      <c r="C143" s="4">
        <v>1</v>
      </c>
      <c r="D143" s="4" t="s">
        <v>341</v>
      </c>
      <c r="E143" s="194" t="s">
        <v>205</v>
      </c>
      <c r="F143" s="194" t="s">
        <v>206</v>
      </c>
      <c r="G143" s="194">
        <v>81</v>
      </c>
      <c r="H143" s="194" t="s">
        <v>201</v>
      </c>
      <c r="I143" s="194">
        <v>86</v>
      </c>
      <c r="J143" s="194" t="s">
        <v>201</v>
      </c>
      <c r="K143" s="194">
        <v>76</v>
      </c>
      <c r="L143" s="194" t="s">
        <v>201</v>
      </c>
      <c r="M143" s="194">
        <v>0</v>
      </c>
      <c r="N143" s="194" t="s">
        <v>188</v>
      </c>
      <c r="O143" s="194">
        <v>1</v>
      </c>
      <c r="P143" s="194" t="s">
        <v>197</v>
      </c>
      <c r="Q143" s="194">
        <v>0</v>
      </c>
      <c r="R143" s="194" t="s">
        <v>203</v>
      </c>
      <c r="S143" s="194">
        <v>37</v>
      </c>
      <c r="T143" s="194" t="s">
        <v>187</v>
      </c>
      <c r="U143" s="194">
        <v>37</v>
      </c>
      <c r="V143" s="194" t="s">
        <v>187</v>
      </c>
      <c r="W143" s="194">
        <v>33</v>
      </c>
      <c r="X143" s="194" t="s">
        <v>187</v>
      </c>
      <c r="Y143" s="194">
        <v>36</v>
      </c>
      <c r="Z143" s="194" t="s">
        <v>187</v>
      </c>
      <c r="AA143" s="194">
        <v>32</v>
      </c>
      <c r="AB143" s="194" t="s">
        <v>187</v>
      </c>
      <c r="AC143" s="194">
        <v>36</v>
      </c>
      <c r="AD143" s="194" t="s">
        <v>187</v>
      </c>
    </row>
    <row r="144" spans="1:30" ht="81" x14ac:dyDescent="0.3">
      <c r="A144" s="5" t="s">
        <v>182</v>
      </c>
      <c r="B144" s="4">
        <v>10524</v>
      </c>
      <c r="C144" s="4">
        <v>1</v>
      </c>
      <c r="D144" s="4" t="s">
        <v>342</v>
      </c>
      <c r="E144" s="194" t="s">
        <v>184</v>
      </c>
      <c r="F144" s="194" t="s">
        <v>185</v>
      </c>
      <c r="G144" s="194">
        <v>23</v>
      </c>
      <c r="H144" s="194" t="s">
        <v>186</v>
      </c>
      <c r="I144" s="194">
        <v>23</v>
      </c>
      <c r="J144" s="194" t="s">
        <v>186</v>
      </c>
      <c r="K144" s="194">
        <v>45</v>
      </c>
      <c r="L144" s="194" t="s">
        <v>187</v>
      </c>
      <c r="M144" s="194">
        <v>0</v>
      </c>
      <c r="N144" s="194" t="s">
        <v>188</v>
      </c>
      <c r="O144" s="194">
        <v>3</v>
      </c>
      <c r="P144" s="194" t="s">
        <v>189</v>
      </c>
      <c r="Q144" s="194">
        <v>3</v>
      </c>
      <c r="R144" s="194" t="s">
        <v>190</v>
      </c>
      <c r="S144" s="194">
        <v>37</v>
      </c>
      <c r="T144" s="194" t="s">
        <v>187</v>
      </c>
      <c r="U144" s="194">
        <v>58</v>
      </c>
      <c r="V144" s="194" t="s">
        <v>191</v>
      </c>
      <c r="W144" s="194">
        <v>45</v>
      </c>
      <c r="X144" s="194" t="s">
        <v>191</v>
      </c>
      <c r="Y144" s="194">
        <v>48</v>
      </c>
      <c r="Z144" s="194" t="s">
        <v>191</v>
      </c>
      <c r="AA144" s="194">
        <v>32</v>
      </c>
      <c r="AB144" s="194" t="s">
        <v>187</v>
      </c>
      <c r="AC144" s="194">
        <v>62</v>
      </c>
      <c r="AD144" s="5" t="s">
        <v>192</v>
      </c>
    </row>
    <row r="145" spans="1:30" ht="81" x14ac:dyDescent="0.3">
      <c r="A145" s="5" t="s">
        <v>182</v>
      </c>
      <c r="B145" s="4">
        <v>10525</v>
      </c>
      <c r="C145" s="4">
        <v>1</v>
      </c>
      <c r="D145" s="4" t="s">
        <v>343</v>
      </c>
      <c r="E145" s="194" t="s">
        <v>194</v>
      </c>
      <c r="F145" s="194" t="s">
        <v>195</v>
      </c>
      <c r="G145" s="194">
        <v>32</v>
      </c>
      <c r="H145" s="194" t="s">
        <v>196</v>
      </c>
      <c r="I145" s="194">
        <v>31</v>
      </c>
      <c r="J145" s="194" t="s">
        <v>196</v>
      </c>
      <c r="K145" s="194">
        <v>26</v>
      </c>
      <c r="L145" s="194" t="s">
        <v>186</v>
      </c>
      <c r="M145" s="194">
        <v>0</v>
      </c>
      <c r="N145" s="194" t="s">
        <v>188</v>
      </c>
      <c r="O145" s="194">
        <v>1</v>
      </c>
      <c r="P145" s="194" t="s">
        <v>197</v>
      </c>
      <c r="Q145" s="194">
        <v>3</v>
      </c>
      <c r="R145" s="194" t="s">
        <v>190</v>
      </c>
      <c r="S145" s="194">
        <v>37</v>
      </c>
      <c r="T145" s="194" t="s">
        <v>187</v>
      </c>
      <c r="U145" s="194">
        <v>37</v>
      </c>
      <c r="V145" s="194" t="s">
        <v>187</v>
      </c>
      <c r="W145" s="194">
        <v>33</v>
      </c>
      <c r="X145" s="194" t="s">
        <v>187</v>
      </c>
      <c r="Y145" s="194">
        <v>36</v>
      </c>
      <c r="Z145" s="194" t="s">
        <v>187</v>
      </c>
      <c r="AA145" s="194">
        <v>32</v>
      </c>
      <c r="AB145" s="194" t="s">
        <v>187</v>
      </c>
      <c r="AC145" s="194">
        <v>36</v>
      </c>
      <c r="AD145" s="194" t="s">
        <v>187</v>
      </c>
    </row>
    <row r="146" spans="1:30" ht="81" x14ac:dyDescent="0.3">
      <c r="A146" s="5" t="s">
        <v>182</v>
      </c>
      <c r="B146" s="4">
        <v>10526</v>
      </c>
      <c r="C146" s="4">
        <v>1</v>
      </c>
      <c r="D146" s="4" t="s">
        <v>344</v>
      </c>
      <c r="E146" s="194" t="s">
        <v>199</v>
      </c>
      <c r="F146" s="194" t="s">
        <v>200</v>
      </c>
      <c r="G146" s="194">
        <v>77</v>
      </c>
      <c r="H146" s="194" t="s">
        <v>201</v>
      </c>
      <c r="I146" s="194">
        <v>65</v>
      </c>
      <c r="J146" s="194" t="s">
        <v>202</v>
      </c>
      <c r="K146" s="194">
        <v>76</v>
      </c>
      <c r="L146" s="194" t="s">
        <v>201</v>
      </c>
      <c r="M146" s="194">
        <v>0</v>
      </c>
      <c r="N146" s="194" t="s">
        <v>188</v>
      </c>
      <c r="O146" s="194">
        <v>5</v>
      </c>
      <c r="P146" s="194" t="s">
        <v>189</v>
      </c>
      <c r="Q146" s="194">
        <v>0</v>
      </c>
      <c r="R146" s="194" t="s">
        <v>203</v>
      </c>
      <c r="S146" s="194">
        <v>85</v>
      </c>
      <c r="T146" s="5" t="s">
        <v>192</v>
      </c>
      <c r="U146" s="194">
        <v>79</v>
      </c>
      <c r="V146" s="5" t="s">
        <v>192</v>
      </c>
      <c r="W146" s="194">
        <v>81</v>
      </c>
      <c r="X146" s="5" t="s">
        <v>192</v>
      </c>
      <c r="Y146" s="194">
        <v>85</v>
      </c>
      <c r="Z146" s="5" t="s">
        <v>192</v>
      </c>
      <c r="AA146" s="194">
        <v>80</v>
      </c>
      <c r="AB146" s="5" t="s">
        <v>192</v>
      </c>
      <c r="AC146" s="194">
        <v>87</v>
      </c>
      <c r="AD146" s="5" t="s">
        <v>192</v>
      </c>
    </row>
    <row r="147" spans="1:30" ht="94.5" x14ac:dyDescent="0.3">
      <c r="A147" s="5" t="s">
        <v>182</v>
      </c>
      <c r="B147" s="4">
        <v>10527</v>
      </c>
      <c r="C147" s="4">
        <v>1</v>
      </c>
      <c r="D147" s="4" t="s">
        <v>345</v>
      </c>
      <c r="E147" s="194" t="s">
        <v>205</v>
      </c>
      <c r="F147" s="194" t="s">
        <v>206</v>
      </c>
      <c r="G147" s="194">
        <v>81</v>
      </c>
      <c r="H147" s="194" t="s">
        <v>201</v>
      </c>
      <c r="I147" s="194">
        <v>86</v>
      </c>
      <c r="J147" s="194" t="s">
        <v>201</v>
      </c>
      <c r="K147" s="194">
        <v>76</v>
      </c>
      <c r="L147" s="194" t="s">
        <v>201</v>
      </c>
      <c r="M147" s="194">
        <v>0</v>
      </c>
      <c r="N147" s="194" t="s">
        <v>188</v>
      </c>
      <c r="O147" s="194">
        <v>1</v>
      </c>
      <c r="P147" s="194" t="s">
        <v>197</v>
      </c>
      <c r="Q147" s="194">
        <v>0</v>
      </c>
      <c r="R147" s="194" t="s">
        <v>203</v>
      </c>
      <c r="S147" s="194">
        <v>37</v>
      </c>
      <c r="T147" s="194" t="s">
        <v>187</v>
      </c>
      <c r="U147" s="194">
        <v>37</v>
      </c>
      <c r="V147" s="194" t="s">
        <v>187</v>
      </c>
      <c r="W147" s="194">
        <v>33</v>
      </c>
      <c r="X147" s="194" t="s">
        <v>187</v>
      </c>
      <c r="Y147" s="194">
        <v>36</v>
      </c>
      <c r="Z147" s="194" t="s">
        <v>187</v>
      </c>
      <c r="AA147" s="194">
        <v>32</v>
      </c>
      <c r="AB147" s="194" t="s">
        <v>187</v>
      </c>
      <c r="AC147" s="194">
        <v>36</v>
      </c>
      <c r="AD147" s="194" t="s">
        <v>187</v>
      </c>
    </row>
    <row r="148" spans="1:30" ht="81" x14ac:dyDescent="0.3">
      <c r="A148" s="5" t="s">
        <v>182</v>
      </c>
      <c r="B148" s="4">
        <v>10528</v>
      </c>
      <c r="C148" s="4">
        <v>1</v>
      </c>
      <c r="D148" s="4" t="s">
        <v>346</v>
      </c>
      <c r="E148" s="194" t="s">
        <v>184</v>
      </c>
      <c r="F148" s="194" t="s">
        <v>185</v>
      </c>
      <c r="G148" s="194">
        <v>23</v>
      </c>
      <c r="H148" s="194" t="s">
        <v>186</v>
      </c>
      <c r="I148" s="194">
        <v>23</v>
      </c>
      <c r="J148" s="194" t="s">
        <v>186</v>
      </c>
      <c r="K148" s="194">
        <v>45</v>
      </c>
      <c r="L148" s="194" t="s">
        <v>187</v>
      </c>
      <c r="M148" s="194">
        <v>0</v>
      </c>
      <c r="N148" s="194" t="s">
        <v>188</v>
      </c>
      <c r="O148" s="194">
        <v>3</v>
      </c>
      <c r="P148" s="194" t="s">
        <v>189</v>
      </c>
      <c r="Q148" s="194">
        <v>3</v>
      </c>
      <c r="R148" s="194" t="s">
        <v>190</v>
      </c>
      <c r="S148" s="194">
        <v>37</v>
      </c>
      <c r="T148" s="194" t="s">
        <v>187</v>
      </c>
      <c r="U148" s="194">
        <v>58</v>
      </c>
      <c r="V148" s="194" t="s">
        <v>191</v>
      </c>
      <c r="W148" s="194">
        <v>45</v>
      </c>
      <c r="X148" s="194" t="s">
        <v>191</v>
      </c>
      <c r="Y148" s="194">
        <v>48</v>
      </c>
      <c r="Z148" s="194" t="s">
        <v>191</v>
      </c>
      <c r="AA148" s="194">
        <v>32</v>
      </c>
      <c r="AB148" s="194" t="s">
        <v>187</v>
      </c>
      <c r="AC148" s="194">
        <v>62</v>
      </c>
      <c r="AD148" s="5" t="s">
        <v>192</v>
      </c>
    </row>
    <row r="149" spans="1:30" ht="81" x14ac:dyDescent="0.3">
      <c r="A149" s="5" t="s">
        <v>182</v>
      </c>
      <c r="B149" s="4">
        <v>10529</v>
      </c>
      <c r="C149" s="4">
        <v>1</v>
      </c>
      <c r="D149" s="4" t="s">
        <v>347</v>
      </c>
      <c r="E149" s="194" t="s">
        <v>194</v>
      </c>
      <c r="F149" s="194" t="s">
        <v>195</v>
      </c>
      <c r="G149" s="194">
        <v>32</v>
      </c>
      <c r="H149" s="194" t="s">
        <v>196</v>
      </c>
      <c r="I149" s="194">
        <v>31</v>
      </c>
      <c r="J149" s="194" t="s">
        <v>196</v>
      </c>
      <c r="K149" s="194">
        <v>26</v>
      </c>
      <c r="L149" s="194" t="s">
        <v>186</v>
      </c>
      <c r="M149" s="194">
        <v>0</v>
      </c>
      <c r="N149" s="194" t="s">
        <v>188</v>
      </c>
      <c r="O149" s="194">
        <v>1</v>
      </c>
      <c r="P149" s="194" t="s">
        <v>197</v>
      </c>
      <c r="Q149" s="194">
        <v>3</v>
      </c>
      <c r="R149" s="194" t="s">
        <v>190</v>
      </c>
      <c r="S149" s="194">
        <v>37</v>
      </c>
      <c r="T149" s="194" t="s">
        <v>187</v>
      </c>
      <c r="U149" s="194">
        <v>37</v>
      </c>
      <c r="V149" s="194" t="s">
        <v>187</v>
      </c>
      <c r="W149" s="194">
        <v>33</v>
      </c>
      <c r="X149" s="194" t="s">
        <v>187</v>
      </c>
      <c r="Y149" s="194">
        <v>36</v>
      </c>
      <c r="Z149" s="194" t="s">
        <v>187</v>
      </c>
      <c r="AA149" s="194">
        <v>32</v>
      </c>
      <c r="AB149" s="194" t="s">
        <v>187</v>
      </c>
      <c r="AC149" s="194">
        <v>36</v>
      </c>
      <c r="AD149" s="194" t="s">
        <v>187</v>
      </c>
    </row>
    <row r="150" spans="1:30" ht="81" x14ac:dyDescent="0.3">
      <c r="A150" s="5" t="s">
        <v>182</v>
      </c>
      <c r="B150" s="4">
        <v>10530</v>
      </c>
      <c r="C150" s="4">
        <v>2</v>
      </c>
      <c r="D150" s="4" t="s">
        <v>348</v>
      </c>
      <c r="E150" s="194" t="s">
        <v>199</v>
      </c>
      <c r="F150" s="194" t="s">
        <v>200</v>
      </c>
      <c r="G150" s="194">
        <v>77</v>
      </c>
      <c r="H150" s="194" t="s">
        <v>201</v>
      </c>
      <c r="I150" s="194">
        <v>65</v>
      </c>
      <c r="J150" s="194" t="s">
        <v>202</v>
      </c>
      <c r="K150" s="194">
        <v>76</v>
      </c>
      <c r="L150" s="194" t="s">
        <v>201</v>
      </c>
      <c r="M150" s="194">
        <v>0</v>
      </c>
      <c r="N150" s="194" t="s">
        <v>188</v>
      </c>
      <c r="O150" s="194">
        <v>5</v>
      </c>
      <c r="P150" s="194" t="s">
        <v>189</v>
      </c>
      <c r="Q150" s="194">
        <v>0</v>
      </c>
      <c r="R150" s="194" t="s">
        <v>203</v>
      </c>
      <c r="S150" s="194">
        <v>85</v>
      </c>
      <c r="T150" s="5" t="s">
        <v>192</v>
      </c>
      <c r="U150" s="194">
        <v>79</v>
      </c>
      <c r="V150" s="5" t="s">
        <v>192</v>
      </c>
      <c r="W150" s="194">
        <v>81</v>
      </c>
      <c r="X150" s="5" t="s">
        <v>192</v>
      </c>
      <c r="Y150" s="194">
        <v>85</v>
      </c>
      <c r="Z150" s="5" t="s">
        <v>192</v>
      </c>
      <c r="AA150" s="194">
        <v>80</v>
      </c>
      <c r="AB150" s="5" t="s">
        <v>192</v>
      </c>
      <c r="AC150" s="194">
        <v>87</v>
      </c>
      <c r="AD150" s="5" t="s">
        <v>192</v>
      </c>
    </row>
    <row r="151" spans="1:30" ht="94.5" x14ac:dyDescent="0.3">
      <c r="A151" s="5" t="s">
        <v>182</v>
      </c>
      <c r="B151" s="4">
        <v>10601</v>
      </c>
      <c r="C151" s="4">
        <v>2</v>
      </c>
      <c r="D151" s="4" t="s">
        <v>349</v>
      </c>
      <c r="E151" s="194" t="s">
        <v>205</v>
      </c>
      <c r="F151" s="194" t="s">
        <v>206</v>
      </c>
      <c r="G151" s="194">
        <v>81</v>
      </c>
      <c r="H151" s="194" t="s">
        <v>201</v>
      </c>
      <c r="I151" s="194">
        <v>86</v>
      </c>
      <c r="J151" s="194" t="s">
        <v>201</v>
      </c>
      <c r="K151" s="194">
        <v>76</v>
      </c>
      <c r="L151" s="194" t="s">
        <v>201</v>
      </c>
      <c r="M151" s="194">
        <v>0</v>
      </c>
      <c r="N151" s="194" t="s">
        <v>188</v>
      </c>
      <c r="O151" s="194">
        <v>1</v>
      </c>
      <c r="P151" s="194" t="s">
        <v>197</v>
      </c>
      <c r="Q151" s="194">
        <v>0</v>
      </c>
      <c r="R151" s="194" t="s">
        <v>203</v>
      </c>
      <c r="S151" s="194">
        <v>37</v>
      </c>
      <c r="T151" s="194" t="s">
        <v>187</v>
      </c>
      <c r="U151" s="194">
        <v>37</v>
      </c>
      <c r="V151" s="194" t="s">
        <v>187</v>
      </c>
      <c r="W151" s="194">
        <v>33</v>
      </c>
      <c r="X151" s="194" t="s">
        <v>187</v>
      </c>
      <c r="Y151" s="194">
        <v>36</v>
      </c>
      <c r="Z151" s="194" t="s">
        <v>187</v>
      </c>
      <c r="AA151" s="194">
        <v>32</v>
      </c>
      <c r="AB151" s="194" t="s">
        <v>187</v>
      </c>
      <c r="AC151" s="194">
        <v>36</v>
      </c>
      <c r="AD151" s="194" t="s">
        <v>187</v>
      </c>
    </row>
    <row r="152" spans="1:30" ht="81" x14ac:dyDescent="0.3">
      <c r="A152" s="5" t="s">
        <v>182</v>
      </c>
      <c r="B152" s="4">
        <v>10602</v>
      </c>
      <c r="C152" s="4">
        <v>2</v>
      </c>
      <c r="D152" s="4" t="s">
        <v>350</v>
      </c>
      <c r="E152" s="194" t="s">
        <v>184</v>
      </c>
      <c r="F152" s="194" t="s">
        <v>185</v>
      </c>
      <c r="G152" s="194">
        <v>23</v>
      </c>
      <c r="H152" s="194" t="s">
        <v>186</v>
      </c>
      <c r="I152" s="194">
        <v>23</v>
      </c>
      <c r="J152" s="194" t="s">
        <v>186</v>
      </c>
      <c r="K152" s="194">
        <v>45</v>
      </c>
      <c r="L152" s="194" t="s">
        <v>187</v>
      </c>
      <c r="M152" s="194">
        <v>0</v>
      </c>
      <c r="N152" s="194" t="s">
        <v>188</v>
      </c>
      <c r="O152" s="194">
        <v>3</v>
      </c>
      <c r="P152" s="194" t="s">
        <v>189</v>
      </c>
      <c r="Q152" s="194">
        <v>3</v>
      </c>
      <c r="R152" s="194" t="s">
        <v>190</v>
      </c>
      <c r="S152" s="194">
        <v>37</v>
      </c>
      <c r="T152" s="194" t="s">
        <v>187</v>
      </c>
      <c r="U152" s="194">
        <v>58</v>
      </c>
      <c r="V152" s="194" t="s">
        <v>191</v>
      </c>
      <c r="W152" s="194">
        <v>45</v>
      </c>
      <c r="X152" s="194" t="s">
        <v>191</v>
      </c>
      <c r="Y152" s="194">
        <v>48</v>
      </c>
      <c r="Z152" s="194" t="s">
        <v>191</v>
      </c>
      <c r="AA152" s="194">
        <v>32</v>
      </c>
      <c r="AB152" s="194" t="s">
        <v>187</v>
      </c>
      <c r="AC152" s="194">
        <v>62</v>
      </c>
      <c r="AD152" s="5" t="s">
        <v>192</v>
      </c>
    </row>
    <row r="153" spans="1:30" ht="81" x14ac:dyDescent="0.3">
      <c r="A153" s="5" t="s">
        <v>182</v>
      </c>
      <c r="B153" s="4">
        <v>10603</v>
      </c>
      <c r="C153" s="4">
        <v>2</v>
      </c>
      <c r="D153" s="4" t="s">
        <v>306</v>
      </c>
      <c r="E153" s="194" t="s">
        <v>194</v>
      </c>
      <c r="F153" s="194" t="s">
        <v>195</v>
      </c>
      <c r="G153" s="194">
        <v>32</v>
      </c>
      <c r="H153" s="194" t="s">
        <v>196</v>
      </c>
      <c r="I153" s="194">
        <v>31</v>
      </c>
      <c r="J153" s="194" t="s">
        <v>196</v>
      </c>
      <c r="K153" s="194">
        <v>26</v>
      </c>
      <c r="L153" s="194" t="s">
        <v>186</v>
      </c>
      <c r="M153" s="194">
        <v>0</v>
      </c>
      <c r="N153" s="194" t="s">
        <v>188</v>
      </c>
      <c r="O153" s="194">
        <v>1</v>
      </c>
      <c r="P153" s="194" t="s">
        <v>197</v>
      </c>
      <c r="Q153" s="194">
        <v>3</v>
      </c>
      <c r="R153" s="194" t="s">
        <v>190</v>
      </c>
      <c r="S153" s="194">
        <v>37</v>
      </c>
      <c r="T153" s="194" t="s">
        <v>187</v>
      </c>
      <c r="U153" s="194">
        <v>37</v>
      </c>
      <c r="V153" s="194" t="s">
        <v>187</v>
      </c>
      <c r="W153" s="194">
        <v>33</v>
      </c>
      <c r="X153" s="194" t="s">
        <v>187</v>
      </c>
      <c r="Y153" s="194">
        <v>36</v>
      </c>
      <c r="Z153" s="194" t="s">
        <v>187</v>
      </c>
      <c r="AA153" s="194">
        <v>32</v>
      </c>
      <c r="AB153" s="194" t="s">
        <v>187</v>
      </c>
      <c r="AC153" s="194">
        <v>36</v>
      </c>
      <c r="AD153" s="194" t="s">
        <v>187</v>
      </c>
    </row>
    <row r="154" spans="1:30" ht="81" x14ac:dyDescent="0.3">
      <c r="A154" s="5" t="s">
        <v>182</v>
      </c>
      <c r="B154" s="4">
        <v>10604</v>
      </c>
      <c r="C154" s="4">
        <v>2</v>
      </c>
      <c r="D154" s="4" t="s">
        <v>351</v>
      </c>
      <c r="E154" s="194" t="s">
        <v>199</v>
      </c>
      <c r="F154" s="194" t="s">
        <v>200</v>
      </c>
      <c r="G154" s="194">
        <v>77</v>
      </c>
      <c r="H154" s="194" t="s">
        <v>201</v>
      </c>
      <c r="I154" s="194">
        <v>65</v>
      </c>
      <c r="J154" s="194" t="s">
        <v>202</v>
      </c>
      <c r="K154" s="194">
        <v>76</v>
      </c>
      <c r="L154" s="194" t="s">
        <v>201</v>
      </c>
      <c r="M154" s="194">
        <v>0</v>
      </c>
      <c r="N154" s="194" t="s">
        <v>188</v>
      </c>
      <c r="O154" s="194">
        <v>5</v>
      </c>
      <c r="P154" s="194" t="s">
        <v>189</v>
      </c>
      <c r="Q154" s="194">
        <v>0</v>
      </c>
      <c r="R154" s="194" t="s">
        <v>203</v>
      </c>
      <c r="S154" s="194">
        <v>85</v>
      </c>
      <c r="T154" s="5" t="s">
        <v>192</v>
      </c>
      <c r="U154" s="194">
        <v>79</v>
      </c>
      <c r="V154" s="5" t="s">
        <v>192</v>
      </c>
      <c r="W154" s="194">
        <v>81</v>
      </c>
      <c r="X154" s="5" t="s">
        <v>192</v>
      </c>
      <c r="Y154" s="194">
        <v>85</v>
      </c>
      <c r="Z154" s="5" t="s">
        <v>192</v>
      </c>
      <c r="AA154" s="194">
        <v>80</v>
      </c>
      <c r="AB154" s="5" t="s">
        <v>192</v>
      </c>
      <c r="AC154" s="194">
        <v>87</v>
      </c>
      <c r="AD154" s="5" t="s">
        <v>192</v>
      </c>
    </row>
    <row r="155" spans="1:30" ht="94.5" x14ac:dyDescent="0.3">
      <c r="A155" s="5" t="s">
        <v>182</v>
      </c>
      <c r="B155" s="4">
        <v>10605</v>
      </c>
      <c r="C155" s="4">
        <v>2</v>
      </c>
      <c r="D155" s="4" t="s">
        <v>352</v>
      </c>
      <c r="E155" s="194" t="s">
        <v>205</v>
      </c>
      <c r="F155" s="194" t="s">
        <v>206</v>
      </c>
      <c r="G155" s="194">
        <v>81</v>
      </c>
      <c r="H155" s="194" t="s">
        <v>201</v>
      </c>
      <c r="I155" s="194">
        <v>86</v>
      </c>
      <c r="J155" s="194" t="s">
        <v>201</v>
      </c>
      <c r="K155" s="194">
        <v>76</v>
      </c>
      <c r="L155" s="194" t="s">
        <v>201</v>
      </c>
      <c r="M155" s="194">
        <v>0</v>
      </c>
      <c r="N155" s="194" t="s">
        <v>188</v>
      </c>
      <c r="O155" s="194">
        <v>1</v>
      </c>
      <c r="P155" s="194" t="s">
        <v>197</v>
      </c>
      <c r="Q155" s="194">
        <v>0</v>
      </c>
      <c r="R155" s="194" t="s">
        <v>203</v>
      </c>
      <c r="S155" s="194">
        <v>37</v>
      </c>
      <c r="T155" s="194" t="s">
        <v>187</v>
      </c>
      <c r="U155" s="194">
        <v>37</v>
      </c>
      <c r="V155" s="194" t="s">
        <v>187</v>
      </c>
      <c r="W155" s="194">
        <v>33</v>
      </c>
      <c r="X155" s="194" t="s">
        <v>187</v>
      </c>
      <c r="Y155" s="194">
        <v>36</v>
      </c>
      <c r="Z155" s="194" t="s">
        <v>187</v>
      </c>
      <c r="AA155" s="194">
        <v>32</v>
      </c>
      <c r="AB155" s="194" t="s">
        <v>187</v>
      </c>
      <c r="AC155" s="194">
        <v>36</v>
      </c>
      <c r="AD155" s="194" t="s">
        <v>187</v>
      </c>
    </row>
    <row r="156" spans="1:30" ht="81" x14ac:dyDescent="0.3">
      <c r="A156" s="5" t="s">
        <v>182</v>
      </c>
      <c r="B156" s="4">
        <v>10606</v>
      </c>
      <c r="C156" s="4">
        <v>2</v>
      </c>
      <c r="D156" s="4" t="s">
        <v>353</v>
      </c>
      <c r="E156" s="194" t="s">
        <v>184</v>
      </c>
      <c r="F156" s="194" t="s">
        <v>185</v>
      </c>
      <c r="G156" s="194">
        <v>23</v>
      </c>
      <c r="H156" s="194" t="s">
        <v>186</v>
      </c>
      <c r="I156" s="194">
        <v>23</v>
      </c>
      <c r="J156" s="194" t="s">
        <v>186</v>
      </c>
      <c r="K156" s="194">
        <v>45</v>
      </c>
      <c r="L156" s="194" t="s">
        <v>187</v>
      </c>
      <c r="M156" s="194">
        <v>0</v>
      </c>
      <c r="N156" s="194" t="s">
        <v>188</v>
      </c>
      <c r="O156" s="194">
        <v>3</v>
      </c>
      <c r="P156" s="194" t="s">
        <v>189</v>
      </c>
      <c r="Q156" s="194">
        <v>3</v>
      </c>
      <c r="R156" s="194" t="s">
        <v>190</v>
      </c>
      <c r="S156" s="194">
        <v>37</v>
      </c>
      <c r="T156" s="194" t="s">
        <v>187</v>
      </c>
      <c r="U156" s="194">
        <v>58</v>
      </c>
      <c r="V156" s="194" t="s">
        <v>191</v>
      </c>
      <c r="W156" s="194">
        <v>45</v>
      </c>
      <c r="X156" s="194" t="s">
        <v>191</v>
      </c>
      <c r="Y156" s="194">
        <v>48</v>
      </c>
      <c r="Z156" s="194" t="s">
        <v>191</v>
      </c>
      <c r="AA156" s="194">
        <v>32</v>
      </c>
      <c r="AB156" s="194" t="s">
        <v>187</v>
      </c>
      <c r="AC156" s="194">
        <v>62</v>
      </c>
      <c r="AD156" s="5" t="s">
        <v>192</v>
      </c>
    </row>
    <row r="157" spans="1:30" ht="81" x14ac:dyDescent="0.3">
      <c r="A157" s="5" t="s">
        <v>182</v>
      </c>
      <c r="B157" s="4">
        <v>10607</v>
      </c>
      <c r="C157" s="4">
        <v>2</v>
      </c>
      <c r="D157" s="4" t="s">
        <v>354</v>
      </c>
      <c r="E157" s="194" t="s">
        <v>194</v>
      </c>
      <c r="F157" s="194" t="s">
        <v>195</v>
      </c>
      <c r="G157" s="194">
        <v>32</v>
      </c>
      <c r="H157" s="194" t="s">
        <v>196</v>
      </c>
      <c r="I157" s="194">
        <v>31</v>
      </c>
      <c r="J157" s="194" t="s">
        <v>196</v>
      </c>
      <c r="K157" s="194">
        <v>26</v>
      </c>
      <c r="L157" s="194" t="s">
        <v>186</v>
      </c>
      <c r="M157" s="194">
        <v>0</v>
      </c>
      <c r="N157" s="194" t="s">
        <v>188</v>
      </c>
      <c r="O157" s="194">
        <v>1</v>
      </c>
      <c r="P157" s="194" t="s">
        <v>197</v>
      </c>
      <c r="Q157" s="194">
        <v>3</v>
      </c>
      <c r="R157" s="194" t="s">
        <v>190</v>
      </c>
      <c r="S157" s="194">
        <v>37</v>
      </c>
      <c r="T157" s="194" t="s">
        <v>187</v>
      </c>
      <c r="U157" s="194">
        <v>37</v>
      </c>
      <c r="V157" s="194" t="s">
        <v>187</v>
      </c>
      <c r="W157" s="194">
        <v>33</v>
      </c>
      <c r="X157" s="194" t="s">
        <v>187</v>
      </c>
      <c r="Y157" s="194">
        <v>36</v>
      </c>
      <c r="Z157" s="194" t="s">
        <v>187</v>
      </c>
      <c r="AA157" s="194">
        <v>32</v>
      </c>
      <c r="AB157" s="194" t="s">
        <v>187</v>
      </c>
      <c r="AC157" s="194">
        <v>36</v>
      </c>
      <c r="AD157" s="194" t="s">
        <v>187</v>
      </c>
    </row>
    <row r="158" spans="1:30" ht="81" x14ac:dyDescent="0.3">
      <c r="A158" s="5" t="s">
        <v>182</v>
      </c>
      <c r="B158" s="4">
        <v>10608</v>
      </c>
      <c r="C158" s="4">
        <v>2</v>
      </c>
      <c r="D158" s="4" t="s">
        <v>355</v>
      </c>
      <c r="E158" s="194" t="s">
        <v>199</v>
      </c>
      <c r="F158" s="194" t="s">
        <v>200</v>
      </c>
      <c r="G158" s="194">
        <v>77</v>
      </c>
      <c r="H158" s="194" t="s">
        <v>201</v>
      </c>
      <c r="I158" s="194">
        <v>65</v>
      </c>
      <c r="J158" s="194" t="s">
        <v>202</v>
      </c>
      <c r="K158" s="194">
        <v>76</v>
      </c>
      <c r="L158" s="194" t="s">
        <v>201</v>
      </c>
      <c r="M158" s="194">
        <v>0</v>
      </c>
      <c r="N158" s="194" t="s">
        <v>188</v>
      </c>
      <c r="O158" s="194">
        <v>5</v>
      </c>
      <c r="P158" s="194" t="s">
        <v>189</v>
      </c>
      <c r="Q158" s="194">
        <v>0</v>
      </c>
      <c r="R158" s="194" t="s">
        <v>203</v>
      </c>
      <c r="S158" s="194">
        <v>85</v>
      </c>
      <c r="T158" s="5" t="s">
        <v>192</v>
      </c>
      <c r="U158" s="194">
        <v>79</v>
      </c>
      <c r="V158" s="5" t="s">
        <v>192</v>
      </c>
      <c r="W158" s="194">
        <v>81</v>
      </c>
      <c r="X158" s="5" t="s">
        <v>192</v>
      </c>
      <c r="Y158" s="194">
        <v>85</v>
      </c>
      <c r="Z158" s="5" t="s">
        <v>192</v>
      </c>
      <c r="AA158" s="194">
        <v>80</v>
      </c>
      <c r="AB158" s="5" t="s">
        <v>192</v>
      </c>
      <c r="AC158" s="194">
        <v>87</v>
      </c>
      <c r="AD158" s="5" t="s">
        <v>192</v>
      </c>
    </row>
    <row r="159" spans="1:30" ht="94.5" x14ac:dyDescent="0.3">
      <c r="A159" s="5" t="s">
        <v>182</v>
      </c>
      <c r="B159" s="4">
        <v>10609</v>
      </c>
      <c r="C159" s="4">
        <v>2</v>
      </c>
      <c r="D159" s="4" t="s">
        <v>356</v>
      </c>
      <c r="E159" s="194" t="s">
        <v>205</v>
      </c>
      <c r="F159" s="194" t="s">
        <v>206</v>
      </c>
      <c r="G159" s="194">
        <v>81</v>
      </c>
      <c r="H159" s="194" t="s">
        <v>201</v>
      </c>
      <c r="I159" s="194">
        <v>86</v>
      </c>
      <c r="J159" s="194" t="s">
        <v>201</v>
      </c>
      <c r="K159" s="194">
        <v>76</v>
      </c>
      <c r="L159" s="194" t="s">
        <v>201</v>
      </c>
      <c r="M159" s="194">
        <v>0</v>
      </c>
      <c r="N159" s="194" t="s">
        <v>188</v>
      </c>
      <c r="O159" s="194">
        <v>1</v>
      </c>
      <c r="P159" s="194" t="s">
        <v>197</v>
      </c>
      <c r="Q159" s="194">
        <v>0</v>
      </c>
      <c r="R159" s="194" t="s">
        <v>203</v>
      </c>
      <c r="S159" s="194">
        <v>37</v>
      </c>
      <c r="T159" s="194" t="s">
        <v>187</v>
      </c>
      <c r="U159" s="194">
        <v>37</v>
      </c>
      <c r="V159" s="194" t="s">
        <v>187</v>
      </c>
      <c r="W159" s="194">
        <v>33</v>
      </c>
      <c r="X159" s="194" t="s">
        <v>187</v>
      </c>
      <c r="Y159" s="194">
        <v>36</v>
      </c>
      <c r="Z159" s="194" t="s">
        <v>187</v>
      </c>
      <c r="AA159" s="194">
        <v>32</v>
      </c>
      <c r="AB159" s="194" t="s">
        <v>187</v>
      </c>
      <c r="AC159" s="194">
        <v>36</v>
      </c>
      <c r="AD159" s="194" t="s">
        <v>187</v>
      </c>
    </row>
    <row r="160" spans="1:30" ht="81" x14ac:dyDescent="0.3">
      <c r="A160" s="5" t="s">
        <v>182</v>
      </c>
      <c r="B160" s="4">
        <v>10610</v>
      </c>
      <c r="C160" s="4">
        <v>2</v>
      </c>
      <c r="D160" s="4" t="s">
        <v>301</v>
      </c>
      <c r="E160" s="194" t="s">
        <v>184</v>
      </c>
      <c r="F160" s="194" t="s">
        <v>185</v>
      </c>
      <c r="G160" s="194">
        <v>23</v>
      </c>
      <c r="H160" s="194" t="s">
        <v>186</v>
      </c>
      <c r="I160" s="194">
        <v>23</v>
      </c>
      <c r="J160" s="194" t="s">
        <v>186</v>
      </c>
      <c r="K160" s="194">
        <v>45</v>
      </c>
      <c r="L160" s="194" t="s">
        <v>187</v>
      </c>
      <c r="M160" s="194">
        <v>0</v>
      </c>
      <c r="N160" s="194" t="s">
        <v>188</v>
      </c>
      <c r="O160" s="194">
        <v>3</v>
      </c>
      <c r="P160" s="194" t="s">
        <v>189</v>
      </c>
      <c r="Q160" s="194">
        <v>3</v>
      </c>
      <c r="R160" s="194" t="s">
        <v>190</v>
      </c>
      <c r="S160" s="194">
        <v>37</v>
      </c>
      <c r="T160" s="194" t="s">
        <v>187</v>
      </c>
      <c r="U160" s="194">
        <v>58</v>
      </c>
      <c r="V160" s="194" t="s">
        <v>191</v>
      </c>
      <c r="W160" s="194">
        <v>45</v>
      </c>
      <c r="X160" s="194" t="s">
        <v>191</v>
      </c>
      <c r="Y160" s="194">
        <v>48</v>
      </c>
      <c r="Z160" s="194" t="s">
        <v>191</v>
      </c>
      <c r="AA160" s="194">
        <v>32</v>
      </c>
      <c r="AB160" s="194" t="s">
        <v>187</v>
      </c>
      <c r="AC160" s="194">
        <v>62</v>
      </c>
      <c r="AD160" s="5" t="s">
        <v>192</v>
      </c>
    </row>
    <row r="161" spans="1:30" ht="81" x14ac:dyDescent="0.3">
      <c r="A161" s="5" t="s">
        <v>182</v>
      </c>
      <c r="B161" s="4">
        <v>10611</v>
      </c>
      <c r="C161" s="4">
        <v>2</v>
      </c>
      <c r="D161" s="4" t="s">
        <v>357</v>
      </c>
      <c r="E161" s="194" t="s">
        <v>194</v>
      </c>
      <c r="F161" s="194" t="s">
        <v>195</v>
      </c>
      <c r="G161" s="194">
        <v>32</v>
      </c>
      <c r="H161" s="194" t="s">
        <v>196</v>
      </c>
      <c r="I161" s="194">
        <v>31</v>
      </c>
      <c r="J161" s="194" t="s">
        <v>196</v>
      </c>
      <c r="K161" s="194">
        <v>26</v>
      </c>
      <c r="L161" s="194" t="s">
        <v>186</v>
      </c>
      <c r="M161" s="194">
        <v>0</v>
      </c>
      <c r="N161" s="194" t="s">
        <v>188</v>
      </c>
      <c r="O161" s="194">
        <v>1</v>
      </c>
      <c r="P161" s="194" t="s">
        <v>197</v>
      </c>
      <c r="Q161" s="194">
        <v>3</v>
      </c>
      <c r="R161" s="194" t="s">
        <v>190</v>
      </c>
      <c r="S161" s="194">
        <v>37</v>
      </c>
      <c r="T161" s="194" t="s">
        <v>187</v>
      </c>
      <c r="U161" s="194">
        <v>37</v>
      </c>
      <c r="V161" s="194" t="s">
        <v>187</v>
      </c>
      <c r="W161" s="194">
        <v>33</v>
      </c>
      <c r="X161" s="194" t="s">
        <v>187</v>
      </c>
      <c r="Y161" s="194">
        <v>36</v>
      </c>
      <c r="Z161" s="194" t="s">
        <v>187</v>
      </c>
      <c r="AA161" s="194">
        <v>32</v>
      </c>
      <c r="AB161" s="194" t="s">
        <v>187</v>
      </c>
      <c r="AC161" s="194">
        <v>36</v>
      </c>
      <c r="AD161" s="194" t="s">
        <v>187</v>
      </c>
    </row>
    <row r="162" spans="1:30" ht="81" x14ac:dyDescent="0.3">
      <c r="A162" s="5" t="s">
        <v>182</v>
      </c>
      <c r="B162" s="4">
        <v>10612</v>
      </c>
      <c r="C162" s="4">
        <v>2</v>
      </c>
      <c r="D162" s="4" t="s">
        <v>358</v>
      </c>
      <c r="E162" s="194" t="s">
        <v>199</v>
      </c>
      <c r="F162" s="194" t="s">
        <v>200</v>
      </c>
      <c r="G162" s="194">
        <v>77</v>
      </c>
      <c r="H162" s="194" t="s">
        <v>201</v>
      </c>
      <c r="I162" s="194">
        <v>65</v>
      </c>
      <c r="J162" s="194" t="s">
        <v>202</v>
      </c>
      <c r="K162" s="194">
        <v>76</v>
      </c>
      <c r="L162" s="194" t="s">
        <v>201</v>
      </c>
      <c r="M162" s="194">
        <v>0</v>
      </c>
      <c r="N162" s="194" t="s">
        <v>188</v>
      </c>
      <c r="O162" s="194">
        <v>5</v>
      </c>
      <c r="P162" s="194" t="s">
        <v>189</v>
      </c>
      <c r="Q162" s="194">
        <v>0</v>
      </c>
      <c r="R162" s="194" t="s">
        <v>203</v>
      </c>
      <c r="S162" s="194">
        <v>85</v>
      </c>
      <c r="T162" s="5" t="s">
        <v>192</v>
      </c>
      <c r="U162" s="194">
        <v>79</v>
      </c>
      <c r="V162" s="5" t="s">
        <v>192</v>
      </c>
      <c r="W162" s="194">
        <v>81</v>
      </c>
      <c r="X162" s="5" t="s">
        <v>192</v>
      </c>
      <c r="Y162" s="194">
        <v>85</v>
      </c>
      <c r="Z162" s="5" t="s">
        <v>192</v>
      </c>
      <c r="AA162" s="194">
        <v>80</v>
      </c>
      <c r="AB162" s="5" t="s">
        <v>192</v>
      </c>
      <c r="AC162" s="194">
        <v>87</v>
      </c>
      <c r="AD162" s="5" t="s">
        <v>192</v>
      </c>
    </row>
    <row r="163" spans="1:30" ht="94.5" x14ac:dyDescent="0.3">
      <c r="A163" s="5" t="s">
        <v>182</v>
      </c>
      <c r="B163" s="4">
        <v>10613</v>
      </c>
      <c r="C163" s="4">
        <v>2</v>
      </c>
      <c r="D163" s="4" t="s">
        <v>359</v>
      </c>
      <c r="E163" s="194" t="s">
        <v>205</v>
      </c>
      <c r="F163" s="194" t="s">
        <v>206</v>
      </c>
      <c r="G163" s="194">
        <v>81</v>
      </c>
      <c r="H163" s="194" t="s">
        <v>201</v>
      </c>
      <c r="I163" s="194">
        <v>86</v>
      </c>
      <c r="J163" s="194" t="s">
        <v>201</v>
      </c>
      <c r="K163" s="194">
        <v>76</v>
      </c>
      <c r="L163" s="194" t="s">
        <v>201</v>
      </c>
      <c r="M163" s="194">
        <v>0</v>
      </c>
      <c r="N163" s="194" t="s">
        <v>188</v>
      </c>
      <c r="O163" s="194">
        <v>1</v>
      </c>
      <c r="P163" s="194" t="s">
        <v>197</v>
      </c>
      <c r="Q163" s="194">
        <v>0</v>
      </c>
      <c r="R163" s="194" t="s">
        <v>203</v>
      </c>
      <c r="S163" s="194">
        <v>37</v>
      </c>
      <c r="T163" s="194" t="s">
        <v>187</v>
      </c>
      <c r="U163" s="194">
        <v>37</v>
      </c>
      <c r="V163" s="194" t="s">
        <v>187</v>
      </c>
      <c r="W163" s="194">
        <v>33</v>
      </c>
      <c r="X163" s="194" t="s">
        <v>187</v>
      </c>
      <c r="Y163" s="194">
        <v>36</v>
      </c>
      <c r="Z163" s="194" t="s">
        <v>187</v>
      </c>
      <c r="AA163" s="194">
        <v>32</v>
      </c>
      <c r="AB163" s="194" t="s">
        <v>187</v>
      </c>
      <c r="AC163" s="194">
        <v>36</v>
      </c>
      <c r="AD163" s="194" t="s">
        <v>187</v>
      </c>
    </row>
    <row r="164" spans="1:30" ht="81" x14ac:dyDescent="0.3">
      <c r="A164" s="5" t="s">
        <v>182</v>
      </c>
      <c r="B164" s="4">
        <v>10614</v>
      </c>
      <c r="C164" s="4">
        <v>2</v>
      </c>
      <c r="D164" s="4" t="s">
        <v>360</v>
      </c>
      <c r="E164" s="194" t="s">
        <v>184</v>
      </c>
      <c r="F164" s="194" t="s">
        <v>185</v>
      </c>
      <c r="G164" s="194">
        <v>23</v>
      </c>
      <c r="H164" s="194" t="s">
        <v>186</v>
      </c>
      <c r="I164" s="194">
        <v>23</v>
      </c>
      <c r="J164" s="194" t="s">
        <v>186</v>
      </c>
      <c r="K164" s="194">
        <v>45</v>
      </c>
      <c r="L164" s="194" t="s">
        <v>187</v>
      </c>
      <c r="M164" s="194">
        <v>0</v>
      </c>
      <c r="N164" s="194" t="s">
        <v>188</v>
      </c>
      <c r="O164" s="194">
        <v>3</v>
      </c>
      <c r="P164" s="194" t="s">
        <v>189</v>
      </c>
      <c r="Q164" s="194">
        <v>3</v>
      </c>
      <c r="R164" s="194" t="s">
        <v>190</v>
      </c>
      <c r="S164" s="194">
        <v>37</v>
      </c>
      <c r="T164" s="194" t="s">
        <v>187</v>
      </c>
      <c r="U164" s="194">
        <v>58</v>
      </c>
      <c r="V164" s="194" t="s">
        <v>191</v>
      </c>
      <c r="W164" s="194">
        <v>45</v>
      </c>
      <c r="X164" s="194" t="s">
        <v>191</v>
      </c>
      <c r="Y164" s="194">
        <v>48</v>
      </c>
      <c r="Z164" s="194" t="s">
        <v>191</v>
      </c>
      <c r="AA164" s="194">
        <v>32</v>
      </c>
      <c r="AB164" s="194" t="s">
        <v>187</v>
      </c>
      <c r="AC164" s="194">
        <v>62</v>
      </c>
      <c r="AD164" s="5" t="s">
        <v>192</v>
      </c>
    </row>
    <row r="165" spans="1:30" ht="81" x14ac:dyDescent="0.3">
      <c r="A165" s="5" t="s">
        <v>182</v>
      </c>
      <c r="B165" s="4">
        <v>10615</v>
      </c>
      <c r="C165" s="4">
        <v>1</v>
      </c>
      <c r="D165" s="4" t="s">
        <v>361</v>
      </c>
      <c r="E165" s="194" t="s">
        <v>194</v>
      </c>
      <c r="F165" s="194" t="s">
        <v>195</v>
      </c>
      <c r="G165" s="194">
        <v>32</v>
      </c>
      <c r="H165" s="194" t="s">
        <v>196</v>
      </c>
      <c r="I165" s="194">
        <v>31</v>
      </c>
      <c r="J165" s="194" t="s">
        <v>196</v>
      </c>
      <c r="K165" s="194">
        <v>26</v>
      </c>
      <c r="L165" s="194" t="s">
        <v>186</v>
      </c>
      <c r="M165" s="194">
        <v>0</v>
      </c>
      <c r="N165" s="194" t="s">
        <v>188</v>
      </c>
      <c r="O165" s="194">
        <v>1</v>
      </c>
      <c r="P165" s="194" t="s">
        <v>197</v>
      </c>
      <c r="Q165" s="194">
        <v>3</v>
      </c>
      <c r="R165" s="194" t="s">
        <v>190</v>
      </c>
      <c r="S165" s="194">
        <v>37</v>
      </c>
      <c r="T165" s="194" t="s">
        <v>187</v>
      </c>
      <c r="U165" s="194">
        <v>37</v>
      </c>
      <c r="V165" s="194" t="s">
        <v>187</v>
      </c>
      <c r="W165" s="194">
        <v>33</v>
      </c>
      <c r="X165" s="194" t="s">
        <v>187</v>
      </c>
      <c r="Y165" s="194">
        <v>36</v>
      </c>
      <c r="Z165" s="194" t="s">
        <v>187</v>
      </c>
      <c r="AA165" s="194">
        <v>32</v>
      </c>
      <c r="AB165" s="194" t="s">
        <v>187</v>
      </c>
      <c r="AC165" s="194">
        <v>36</v>
      </c>
      <c r="AD165" s="194" t="s">
        <v>187</v>
      </c>
    </row>
    <row r="166" spans="1:30" ht="81" x14ac:dyDescent="0.3">
      <c r="A166" s="5" t="s">
        <v>182</v>
      </c>
      <c r="B166" s="4">
        <v>10616</v>
      </c>
      <c r="C166" s="4">
        <v>1</v>
      </c>
      <c r="D166" s="4" t="s">
        <v>362</v>
      </c>
      <c r="E166" s="194" t="s">
        <v>199</v>
      </c>
      <c r="F166" s="194" t="s">
        <v>200</v>
      </c>
      <c r="G166" s="194">
        <v>77</v>
      </c>
      <c r="H166" s="194" t="s">
        <v>201</v>
      </c>
      <c r="I166" s="194">
        <v>65</v>
      </c>
      <c r="J166" s="194" t="s">
        <v>202</v>
      </c>
      <c r="K166" s="194">
        <v>76</v>
      </c>
      <c r="L166" s="194" t="s">
        <v>201</v>
      </c>
      <c r="M166" s="194">
        <v>0</v>
      </c>
      <c r="N166" s="194" t="s">
        <v>188</v>
      </c>
      <c r="O166" s="194">
        <v>5</v>
      </c>
      <c r="P166" s="194" t="s">
        <v>189</v>
      </c>
      <c r="Q166" s="194">
        <v>0</v>
      </c>
      <c r="R166" s="194" t="s">
        <v>203</v>
      </c>
      <c r="S166" s="194">
        <v>85</v>
      </c>
      <c r="T166" s="5" t="s">
        <v>192</v>
      </c>
      <c r="U166" s="194">
        <v>79</v>
      </c>
      <c r="V166" s="5" t="s">
        <v>192</v>
      </c>
      <c r="W166" s="194">
        <v>81</v>
      </c>
      <c r="X166" s="5" t="s">
        <v>192</v>
      </c>
      <c r="Y166" s="194">
        <v>85</v>
      </c>
      <c r="Z166" s="5" t="s">
        <v>192</v>
      </c>
      <c r="AA166" s="194">
        <v>80</v>
      </c>
      <c r="AB166" s="5" t="s">
        <v>192</v>
      </c>
      <c r="AC166" s="194">
        <v>87</v>
      </c>
      <c r="AD166" s="5" t="s">
        <v>192</v>
      </c>
    </row>
    <row r="167" spans="1:30" ht="94.5" x14ac:dyDescent="0.3">
      <c r="A167" s="5" t="s">
        <v>182</v>
      </c>
      <c r="B167" s="4">
        <v>10617</v>
      </c>
      <c r="C167" s="4">
        <v>1</v>
      </c>
      <c r="D167" s="4" t="s">
        <v>363</v>
      </c>
      <c r="E167" s="194" t="s">
        <v>205</v>
      </c>
      <c r="F167" s="194" t="s">
        <v>206</v>
      </c>
      <c r="G167" s="194">
        <v>81</v>
      </c>
      <c r="H167" s="194" t="s">
        <v>201</v>
      </c>
      <c r="I167" s="194">
        <v>86</v>
      </c>
      <c r="J167" s="194" t="s">
        <v>201</v>
      </c>
      <c r="K167" s="194">
        <v>76</v>
      </c>
      <c r="L167" s="194" t="s">
        <v>201</v>
      </c>
      <c r="M167" s="194">
        <v>0</v>
      </c>
      <c r="N167" s="194" t="s">
        <v>188</v>
      </c>
      <c r="O167" s="194">
        <v>1</v>
      </c>
      <c r="P167" s="194" t="s">
        <v>197</v>
      </c>
      <c r="Q167" s="194">
        <v>0</v>
      </c>
      <c r="R167" s="194" t="s">
        <v>203</v>
      </c>
      <c r="S167" s="194">
        <v>37</v>
      </c>
      <c r="T167" s="194" t="s">
        <v>187</v>
      </c>
      <c r="U167" s="194">
        <v>37</v>
      </c>
      <c r="V167" s="194" t="s">
        <v>187</v>
      </c>
      <c r="W167" s="194">
        <v>33</v>
      </c>
      <c r="X167" s="194" t="s">
        <v>187</v>
      </c>
      <c r="Y167" s="194">
        <v>36</v>
      </c>
      <c r="Z167" s="194" t="s">
        <v>187</v>
      </c>
      <c r="AA167" s="194">
        <v>32</v>
      </c>
      <c r="AB167" s="194" t="s">
        <v>187</v>
      </c>
      <c r="AC167" s="194">
        <v>36</v>
      </c>
      <c r="AD167" s="194" t="s">
        <v>187</v>
      </c>
    </row>
    <row r="168" spans="1:30" ht="81" x14ac:dyDescent="0.3">
      <c r="A168" s="5" t="s">
        <v>182</v>
      </c>
      <c r="B168" s="4">
        <v>10618</v>
      </c>
      <c r="C168" s="4">
        <v>1</v>
      </c>
      <c r="D168" s="4" t="s">
        <v>364</v>
      </c>
      <c r="E168" s="194" t="s">
        <v>184</v>
      </c>
      <c r="F168" s="194" t="s">
        <v>185</v>
      </c>
      <c r="G168" s="194">
        <v>23</v>
      </c>
      <c r="H168" s="194" t="s">
        <v>186</v>
      </c>
      <c r="I168" s="194">
        <v>23</v>
      </c>
      <c r="J168" s="194" t="s">
        <v>186</v>
      </c>
      <c r="K168" s="194">
        <v>45</v>
      </c>
      <c r="L168" s="194" t="s">
        <v>187</v>
      </c>
      <c r="M168" s="194">
        <v>0</v>
      </c>
      <c r="N168" s="194" t="s">
        <v>188</v>
      </c>
      <c r="O168" s="194">
        <v>3</v>
      </c>
      <c r="P168" s="194" t="s">
        <v>189</v>
      </c>
      <c r="Q168" s="194">
        <v>3</v>
      </c>
      <c r="R168" s="194" t="s">
        <v>190</v>
      </c>
      <c r="S168" s="194">
        <v>37</v>
      </c>
      <c r="T168" s="194" t="s">
        <v>187</v>
      </c>
      <c r="U168" s="194">
        <v>58</v>
      </c>
      <c r="V168" s="194" t="s">
        <v>191</v>
      </c>
      <c r="W168" s="194">
        <v>45</v>
      </c>
      <c r="X168" s="194" t="s">
        <v>191</v>
      </c>
      <c r="Y168" s="194">
        <v>48</v>
      </c>
      <c r="Z168" s="194" t="s">
        <v>191</v>
      </c>
      <c r="AA168" s="194">
        <v>32</v>
      </c>
      <c r="AB168" s="194" t="s">
        <v>187</v>
      </c>
      <c r="AC168" s="194">
        <v>62</v>
      </c>
      <c r="AD168" s="5" t="s">
        <v>192</v>
      </c>
    </row>
    <row r="169" spans="1:30" ht="81" x14ac:dyDescent="0.3">
      <c r="A169" s="5" t="s">
        <v>182</v>
      </c>
      <c r="B169" s="4">
        <v>10619</v>
      </c>
      <c r="C169" s="4">
        <v>1</v>
      </c>
      <c r="D169" s="4" t="s">
        <v>365</v>
      </c>
      <c r="E169" s="194" t="s">
        <v>194</v>
      </c>
      <c r="F169" s="194" t="s">
        <v>195</v>
      </c>
      <c r="G169" s="194">
        <v>32</v>
      </c>
      <c r="H169" s="194" t="s">
        <v>196</v>
      </c>
      <c r="I169" s="194">
        <v>31</v>
      </c>
      <c r="J169" s="194" t="s">
        <v>196</v>
      </c>
      <c r="K169" s="194">
        <v>26</v>
      </c>
      <c r="L169" s="194" t="s">
        <v>186</v>
      </c>
      <c r="M169" s="194">
        <v>0</v>
      </c>
      <c r="N169" s="194" t="s">
        <v>188</v>
      </c>
      <c r="O169" s="194">
        <v>1</v>
      </c>
      <c r="P169" s="194" t="s">
        <v>197</v>
      </c>
      <c r="Q169" s="194">
        <v>3</v>
      </c>
      <c r="R169" s="194" t="s">
        <v>190</v>
      </c>
      <c r="S169" s="194">
        <v>37</v>
      </c>
      <c r="T169" s="194" t="s">
        <v>187</v>
      </c>
      <c r="U169" s="194">
        <v>37</v>
      </c>
      <c r="V169" s="194" t="s">
        <v>187</v>
      </c>
      <c r="W169" s="194">
        <v>33</v>
      </c>
      <c r="X169" s="194" t="s">
        <v>187</v>
      </c>
      <c r="Y169" s="194">
        <v>36</v>
      </c>
      <c r="Z169" s="194" t="s">
        <v>187</v>
      </c>
      <c r="AA169" s="194">
        <v>32</v>
      </c>
      <c r="AB169" s="194" t="s">
        <v>187</v>
      </c>
      <c r="AC169" s="194">
        <v>36</v>
      </c>
      <c r="AD169" s="194" t="s">
        <v>187</v>
      </c>
    </row>
    <row r="170" spans="1:30" ht="81" x14ac:dyDescent="0.3">
      <c r="A170" s="5" t="s">
        <v>182</v>
      </c>
      <c r="B170" s="4">
        <v>10620</v>
      </c>
      <c r="C170" s="4">
        <v>1</v>
      </c>
      <c r="D170" s="4" t="s">
        <v>366</v>
      </c>
      <c r="E170" s="194" t="s">
        <v>199</v>
      </c>
      <c r="F170" s="194" t="s">
        <v>200</v>
      </c>
      <c r="G170" s="194">
        <v>77</v>
      </c>
      <c r="H170" s="194" t="s">
        <v>201</v>
      </c>
      <c r="I170" s="194">
        <v>65</v>
      </c>
      <c r="J170" s="194" t="s">
        <v>202</v>
      </c>
      <c r="K170" s="194">
        <v>76</v>
      </c>
      <c r="L170" s="194" t="s">
        <v>201</v>
      </c>
      <c r="M170" s="194">
        <v>0</v>
      </c>
      <c r="N170" s="194" t="s">
        <v>188</v>
      </c>
      <c r="O170" s="194">
        <v>5</v>
      </c>
      <c r="P170" s="194" t="s">
        <v>189</v>
      </c>
      <c r="Q170" s="194">
        <v>0</v>
      </c>
      <c r="R170" s="194" t="s">
        <v>203</v>
      </c>
      <c r="S170" s="194">
        <v>85</v>
      </c>
      <c r="T170" s="5" t="s">
        <v>192</v>
      </c>
      <c r="U170" s="194">
        <v>79</v>
      </c>
      <c r="V170" s="5" t="s">
        <v>192</v>
      </c>
      <c r="W170" s="194">
        <v>81</v>
      </c>
      <c r="X170" s="5" t="s">
        <v>192</v>
      </c>
      <c r="Y170" s="194">
        <v>85</v>
      </c>
      <c r="Z170" s="5" t="s">
        <v>192</v>
      </c>
      <c r="AA170" s="194">
        <v>80</v>
      </c>
      <c r="AB170" s="5" t="s">
        <v>192</v>
      </c>
      <c r="AC170" s="194">
        <v>87</v>
      </c>
      <c r="AD170" s="5" t="s">
        <v>192</v>
      </c>
    </row>
    <row r="171" spans="1:30" ht="94.5" x14ac:dyDescent="0.3">
      <c r="A171" s="5" t="s">
        <v>182</v>
      </c>
      <c r="B171" s="4">
        <v>10621</v>
      </c>
      <c r="C171" s="4">
        <v>1</v>
      </c>
      <c r="D171" s="4" t="s">
        <v>367</v>
      </c>
      <c r="E171" s="194" t="s">
        <v>205</v>
      </c>
      <c r="F171" s="194" t="s">
        <v>206</v>
      </c>
      <c r="G171" s="194">
        <v>81</v>
      </c>
      <c r="H171" s="194" t="s">
        <v>201</v>
      </c>
      <c r="I171" s="194">
        <v>86</v>
      </c>
      <c r="J171" s="194" t="s">
        <v>201</v>
      </c>
      <c r="K171" s="194">
        <v>76</v>
      </c>
      <c r="L171" s="194" t="s">
        <v>201</v>
      </c>
      <c r="M171" s="194">
        <v>0</v>
      </c>
      <c r="N171" s="194" t="s">
        <v>188</v>
      </c>
      <c r="O171" s="194">
        <v>1</v>
      </c>
      <c r="P171" s="194" t="s">
        <v>197</v>
      </c>
      <c r="Q171" s="194">
        <v>0</v>
      </c>
      <c r="R171" s="194" t="s">
        <v>203</v>
      </c>
      <c r="S171" s="194">
        <v>37</v>
      </c>
      <c r="T171" s="194" t="s">
        <v>187</v>
      </c>
      <c r="U171" s="194">
        <v>37</v>
      </c>
      <c r="V171" s="194" t="s">
        <v>187</v>
      </c>
      <c r="W171" s="194">
        <v>33</v>
      </c>
      <c r="X171" s="194" t="s">
        <v>187</v>
      </c>
      <c r="Y171" s="194">
        <v>36</v>
      </c>
      <c r="Z171" s="194" t="s">
        <v>187</v>
      </c>
      <c r="AA171" s="194">
        <v>32</v>
      </c>
      <c r="AB171" s="194" t="s">
        <v>187</v>
      </c>
      <c r="AC171" s="194">
        <v>36</v>
      </c>
      <c r="AD171" s="194" t="s">
        <v>187</v>
      </c>
    </row>
    <row r="172" spans="1:30" ht="81" x14ac:dyDescent="0.3">
      <c r="A172" s="5" t="s">
        <v>182</v>
      </c>
      <c r="B172" s="4">
        <v>10622</v>
      </c>
      <c r="C172" s="4">
        <v>1</v>
      </c>
      <c r="D172" s="4" t="s">
        <v>368</v>
      </c>
      <c r="E172" s="194" t="s">
        <v>184</v>
      </c>
      <c r="F172" s="194" t="s">
        <v>185</v>
      </c>
      <c r="G172" s="194">
        <v>23</v>
      </c>
      <c r="H172" s="194" t="s">
        <v>186</v>
      </c>
      <c r="I172" s="194">
        <v>23</v>
      </c>
      <c r="J172" s="194" t="s">
        <v>186</v>
      </c>
      <c r="K172" s="194">
        <v>45</v>
      </c>
      <c r="L172" s="194" t="s">
        <v>187</v>
      </c>
      <c r="M172" s="194">
        <v>0</v>
      </c>
      <c r="N172" s="194" t="s">
        <v>188</v>
      </c>
      <c r="O172" s="194">
        <v>3</v>
      </c>
      <c r="P172" s="194" t="s">
        <v>189</v>
      </c>
      <c r="Q172" s="194">
        <v>3</v>
      </c>
      <c r="R172" s="194" t="s">
        <v>190</v>
      </c>
      <c r="S172" s="194">
        <v>37</v>
      </c>
      <c r="T172" s="194" t="s">
        <v>187</v>
      </c>
      <c r="U172" s="194">
        <v>58</v>
      </c>
      <c r="V172" s="194" t="s">
        <v>191</v>
      </c>
      <c r="W172" s="194">
        <v>45</v>
      </c>
      <c r="X172" s="194" t="s">
        <v>191</v>
      </c>
      <c r="Y172" s="194">
        <v>48</v>
      </c>
      <c r="Z172" s="194" t="s">
        <v>191</v>
      </c>
      <c r="AA172" s="194">
        <v>32</v>
      </c>
      <c r="AB172" s="194" t="s">
        <v>187</v>
      </c>
      <c r="AC172" s="194">
        <v>62</v>
      </c>
      <c r="AD172" s="5" t="s">
        <v>192</v>
      </c>
    </row>
    <row r="173" spans="1:30" ht="81" x14ac:dyDescent="0.3">
      <c r="A173" s="5" t="s">
        <v>182</v>
      </c>
      <c r="B173" s="4">
        <v>10623</v>
      </c>
      <c r="C173" s="4">
        <v>1</v>
      </c>
      <c r="D173" s="4" t="s">
        <v>369</v>
      </c>
      <c r="E173" s="194" t="s">
        <v>194</v>
      </c>
      <c r="F173" s="194" t="s">
        <v>195</v>
      </c>
      <c r="G173" s="194">
        <v>32</v>
      </c>
      <c r="H173" s="194" t="s">
        <v>196</v>
      </c>
      <c r="I173" s="194">
        <v>31</v>
      </c>
      <c r="J173" s="194" t="s">
        <v>196</v>
      </c>
      <c r="K173" s="194">
        <v>26</v>
      </c>
      <c r="L173" s="194" t="s">
        <v>186</v>
      </c>
      <c r="M173" s="194">
        <v>0</v>
      </c>
      <c r="N173" s="194" t="s">
        <v>188</v>
      </c>
      <c r="O173" s="194">
        <v>1</v>
      </c>
      <c r="P173" s="194" t="s">
        <v>197</v>
      </c>
      <c r="Q173" s="194">
        <v>3</v>
      </c>
      <c r="R173" s="194" t="s">
        <v>190</v>
      </c>
      <c r="S173" s="194">
        <v>37</v>
      </c>
      <c r="T173" s="194" t="s">
        <v>187</v>
      </c>
      <c r="U173" s="194">
        <v>37</v>
      </c>
      <c r="V173" s="194" t="s">
        <v>187</v>
      </c>
      <c r="W173" s="194">
        <v>33</v>
      </c>
      <c r="X173" s="194" t="s">
        <v>187</v>
      </c>
      <c r="Y173" s="194">
        <v>36</v>
      </c>
      <c r="Z173" s="194" t="s">
        <v>187</v>
      </c>
      <c r="AA173" s="194">
        <v>32</v>
      </c>
      <c r="AB173" s="194" t="s">
        <v>187</v>
      </c>
      <c r="AC173" s="194">
        <v>36</v>
      </c>
      <c r="AD173" s="194" t="s">
        <v>187</v>
      </c>
    </row>
    <row r="174" spans="1:30" ht="81" x14ac:dyDescent="0.3">
      <c r="A174" s="5" t="s">
        <v>182</v>
      </c>
      <c r="B174" s="4">
        <v>10624</v>
      </c>
      <c r="C174" s="4">
        <v>1</v>
      </c>
      <c r="D174" s="4" t="s">
        <v>370</v>
      </c>
      <c r="E174" s="194" t="s">
        <v>199</v>
      </c>
      <c r="F174" s="194" t="s">
        <v>200</v>
      </c>
      <c r="G174" s="194">
        <v>77</v>
      </c>
      <c r="H174" s="194" t="s">
        <v>201</v>
      </c>
      <c r="I174" s="194">
        <v>65</v>
      </c>
      <c r="J174" s="194" t="s">
        <v>202</v>
      </c>
      <c r="K174" s="194">
        <v>76</v>
      </c>
      <c r="L174" s="194" t="s">
        <v>201</v>
      </c>
      <c r="M174" s="194">
        <v>0</v>
      </c>
      <c r="N174" s="194" t="s">
        <v>188</v>
      </c>
      <c r="O174" s="194">
        <v>5</v>
      </c>
      <c r="P174" s="194" t="s">
        <v>189</v>
      </c>
      <c r="Q174" s="194">
        <v>0</v>
      </c>
      <c r="R174" s="194" t="s">
        <v>203</v>
      </c>
      <c r="S174" s="194">
        <v>85</v>
      </c>
      <c r="T174" s="5" t="s">
        <v>192</v>
      </c>
      <c r="U174" s="194">
        <v>79</v>
      </c>
      <c r="V174" s="5" t="s">
        <v>192</v>
      </c>
      <c r="W174" s="194">
        <v>81</v>
      </c>
      <c r="X174" s="5" t="s">
        <v>192</v>
      </c>
      <c r="Y174" s="194">
        <v>85</v>
      </c>
      <c r="Z174" s="5" t="s">
        <v>192</v>
      </c>
      <c r="AA174" s="194">
        <v>80</v>
      </c>
      <c r="AB174" s="5" t="s">
        <v>192</v>
      </c>
      <c r="AC174" s="194">
        <v>87</v>
      </c>
      <c r="AD174" s="5" t="s">
        <v>192</v>
      </c>
    </row>
    <row r="175" spans="1:30" ht="94.5" x14ac:dyDescent="0.3">
      <c r="A175" s="5" t="s">
        <v>182</v>
      </c>
      <c r="B175" s="4">
        <v>10625</v>
      </c>
      <c r="C175" s="4">
        <v>1</v>
      </c>
      <c r="D175" s="4" t="s">
        <v>371</v>
      </c>
      <c r="E175" s="194" t="s">
        <v>205</v>
      </c>
      <c r="F175" s="194" t="s">
        <v>206</v>
      </c>
      <c r="G175" s="194">
        <v>81</v>
      </c>
      <c r="H175" s="194" t="s">
        <v>201</v>
      </c>
      <c r="I175" s="194">
        <v>86</v>
      </c>
      <c r="J175" s="194" t="s">
        <v>201</v>
      </c>
      <c r="K175" s="194">
        <v>76</v>
      </c>
      <c r="L175" s="194" t="s">
        <v>201</v>
      </c>
      <c r="M175" s="194">
        <v>0</v>
      </c>
      <c r="N175" s="194" t="s">
        <v>188</v>
      </c>
      <c r="O175" s="194">
        <v>1</v>
      </c>
      <c r="P175" s="194" t="s">
        <v>197</v>
      </c>
      <c r="Q175" s="194">
        <v>0</v>
      </c>
      <c r="R175" s="194" t="s">
        <v>203</v>
      </c>
      <c r="S175" s="194">
        <v>37</v>
      </c>
      <c r="T175" s="194" t="s">
        <v>187</v>
      </c>
      <c r="U175" s="194">
        <v>37</v>
      </c>
      <c r="V175" s="194" t="s">
        <v>187</v>
      </c>
      <c r="W175" s="194">
        <v>33</v>
      </c>
      <c r="X175" s="194" t="s">
        <v>187</v>
      </c>
      <c r="Y175" s="194">
        <v>36</v>
      </c>
      <c r="Z175" s="194" t="s">
        <v>187</v>
      </c>
      <c r="AA175" s="194">
        <v>32</v>
      </c>
      <c r="AB175" s="194" t="s">
        <v>187</v>
      </c>
      <c r="AC175" s="194">
        <v>36</v>
      </c>
      <c r="AD175" s="194" t="s">
        <v>187</v>
      </c>
    </row>
    <row r="176" spans="1:30" ht="81" x14ac:dyDescent="0.3">
      <c r="A176" s="5" t="s">
        <v>182</v>
      </c>
      <c r="B176" s="4">
        <v>10626</v>
      </c>
      <c r="C176" s="4">
        <v>1</v>
      </c>
      <c r="D176" s="4" t="s">
        <v>372</v>
      </c>
      <c r="E176" s="194" t="s">
        <v>184</v>
      </c>
      <c r="F176" s="194" t="s">
        <v>185</v>
      </c>
      <c r="G176" s="194">
        <v>23</v>
      </c>
      <c r="H176" s="194" t="s">
        <v>186</v>
      </c>
      <c r="I176" s="194">
        <v>23</v>
      </c>
      <c r="J176" s="194" t="s">
        <v>186</v>
      </c>
      <c r="K176" s="194">
        <v>45</v>
      </c>
      <c r="L176" s="194" t="s">
        <v>187</v>
      </c>
      <c r="M176" s="194">
        <v>0</v>
      </c>
      <c r="N176" s="194" t="s">
        <v>188</v>
      </c>
      <c r="O176" s="194">
        <v>3</v>
      </c>
      <c r="P176" s="194" t="s">
        <v>189</v>
      </c>
      <c r="Q176" s="194">
        <v>3</v>
      </c>
      <c r="R176" s="194" t="s">
        <v>190</v>
      </c>
      <c r="S176" s="194">
        <v>37</v>
      </c>
      <c r="T176" s="194" t="s">
        <v>187</v>
      </c>
      <c r="U176" s="194">
        <v>58</v>
      </c>
      <c r="V176" s="194" t="s">
        <v>191</v>
      </c>
      <c r="W176" s="194">
        <v>45</v>
      </c>
      <c r="X176" s="194" t="s">
        <v>191</v>
      </c>
      <c r="Y176" s="194">
        <v>48</v>
      </c>
      <c r="Z176" s="194" t="s">
        <v>191</v>
      </c>
      <c r="AA176" s="194">
        <v>32</v>
      </c>
      <c r="AB176" s="194" t="s">
        <v>187</v>
      </c>
      <c r="AC176" s="194">
        <v>62</v>
      </c>
      <c r="AD176" s="5" t="s">
        <v>192</v>
      </c>
    </row>
    <row r="177" spans="1:30" ht="81" x14ac:dyDescent="0.3">
      <c r="A177" s="5" t="s">
        <v>182</v>
      </c>
      <c r="B177" s="4">
        <v>10627</v>
      </c>
      <c r="C177" s="4">
        <v>1</v>
      </c>
      <c r="D177" s="4" t="s">
        <v>373</v>
      </c>
      <c r="E177" s="194" t="s">
        <v>194</v>
      </c>
      <c r="F177" s="194" t="s">
        <v>195</v>
      </c>
      <c r="G177" s="194">
        <v>32</v>
      </c>
      <c r="H177" s="194" t="s">
        <v>196</v>
      </c>
      <c r="I177" s="194">
        <v>31</v>
      </c>
      <c r="J177" s="194" t="s">
        <v>196</v>
      </c>
      <c r="K177" s="194">
        <v>26</v>
      </c>
      <c r="L177" s="194" t="s">
        <v>186</v>
      </c>
      <c r="M177" s="194">
        <v>0</v>
      </c>
      <c r="N177" s="194" t="s">
        <v>188</v>
      </c>
      <c r="O177" s="194">
        <v>1</v>
      </c>
      <c r="P177" s="194" t="s">
        <v>197</v>
      </c>
      <c r="Q177" s="194">
        <v>3</v>
      </c>
      <c r="R177" s="194" t="s">
        <v>190</v>
      </c>
      <c r="S177" s="194">
        <v>37</v>
      </c>
      <c r="T177" s="194" t="s">
        <v>187</v>
      </c>
      <c r="U177" s="194">
        <v>37</v>
      </c>
      <c r="V177" s="194" t="s">
        <v>187</v>
      </c>
      <c r="W177" s="194">
        <v>33</v>
      </c>
      <c r="X177" s="194" t="s">
        <v>187</v>
      </c>
      <c r="Y177" s="194">
        <v>36</v>
      </c>
      <c r="Z177" s="194" t="s">
        <v>187</v>
      </c>
      <c r="AA177" s="194">
        <v>32</v>
      </c>
      <c r="AB177" s="194" t="s">
        <v>187</v>
      </c>
      <c r="AC177" s="194">
        <v>36</v>
      </c>
      <c r="AD177" s="194" t="s">
        <v>187</v>
      </c>
    </row>
    <row r="178" spans="1:30" ht="81" x14ac:dyDescent="0.3">
      <c r="A178" s="5" t="s">
        <v>182</v>
      </c>
      <c r="B178" s="4">
        <v>10628</v>
      </c>
      <c r="C178" s="4">
        <v>1</v>
      </c>
      <c r="D178" s="4" t="s">
        <v>374</v>
      </c>
      <c r="E178" s="194" t="s">
        <v>199</v>
      </c>
      <c r="F178" s="194" t="s">
        <v>200</v>
      </c>
      <c r="G178" s="194">
        <v>77</v>
      </c>
      <c r="H178" s="194" t="s">
        <v>201</v>
      </c>
      <c r="I178" s="194">
        <v>65</v>
      </c>
      <c r="J178" s="194" t="s">
        <v>202</v>
      </c>
      <c r="K178" s="194">
        <v>76</v>
      </c>
      <c r="L178" s="194" t="s">
        <v>201</v>
      </c>
      <c r="M178" s="194">
        <v>0</v>
      </c>
      <c r="N178" s="194" t="s">
        <v>188</v>
      </c>
      <c r="O178" s="194">
        <v>5</v>
      </c>
      <c r="P178" s="194" t="s">
        <v>189</v>
      </c>
      <c r="Q178" s="194">
        <v>0</v>
      </c>
      <c r="R178" s="194" t="s">
        <v>203</v>
      </c>
      <c r="S178" s="194">
        <v>85</v>
      </c>
      <c r="T178" s="5" t="s">
        <v>192</v>
      </c>
      <c r="U178" s="194">
        <v>79</v>
      </c>
      <c r="V178" s="5" t="s">
        <v>192</v>
      </c>
      <c r="W178" s="194">
        <v>81</v>
      </c>
      <c r="X178" s="5" t="s">
        <v>192</v>
      </c>
      <c r="Y178" s="194">
        <v>85</v>
      </c>
      <c r="Z178" s="5" t="s">
        <v>192</v>
      </c>
      <c r="AA178" s="194">
        <v>80</v>
      </c>
      <c r="AB178" s="5" t="s">
        <v>192</v>
      </c>
      <c r="AC178" s="194">
        <v>87</v>
      </c>
      <c r="AD178" s="5" t="s">
        <v>192</v>
      </c>
    </row>
    <row r="179" spans="1:30" ht="94.5" x14ac:dyDescent="0.3">
      <c r="A179" s="5" t="s">
        <v>182</v>
      </c>
      <c r="B179" s="4">
        <v>10629</v>
      </c>
      <c r="C179" s="4">
        <v>1</v>
      </c>
      <c r="D179" s="4" t="s">
        <v>375</v>
      </c>
      <c r="E179" s="194" t="s">
        <v>205</v>
      </c>
      <c r="F179" s="194" t="s">
        <v>206</v>
      </c>
      <c r="G179" s="194">
        <v>81</v>
      </c>
      <c r="H179" s="194" t="s">
        <v>201</v>
      </c>
      <c r="I179" s="194">
        <v>86</v>
      </c>
      <c r="J179" s="194" t="s">
        <v>201</v>
      </c>
      <c r="K179" s="194">
        <v>76</v>
      </c>
      <c r="L179" s="194" t="s">
        <v>201</v>
      </c>
      <c r="M179" s="194">
        <v>0</v>
      </c>
      <c r="N179" s="194" t="s">
        <v>188</v>
      </c>
      <c r="O179" s="194">
        <v>1</v>
      </c>
      <c r="P179" s="194" t="s">
        <v>197</v>
      </c>
      <c r="Q179" s="194">
        <v>0</v>
      </c>
      <c r="R179" s="194" t="s">
        <v>203</v>
      </c>
      <c r="S179" s="194">
        <v>37</v>
      </c>
      <c r="T179" s="194" t="s">
        <v>187</v>
      </c>
      <c r="U179" s="194">
        <v>37</v>
      </c>
      <c r="V179" s="194" t="s">
        <v>187</v>
      </c>
      <c r="W179" s="194">
        <v>33</v>
      </c>
      <c r="X179" s="194" t="s">
        <v>187</v>
      </c>
      <c r="Y179" s="194">
        <v>36</v>
      </c>
      <c r="Z179" s="194" t="s">
        <v>187</v>
      </c>
      <c r="AA179" s="194">
        <v>32</v>
      </c>
      <c r="AB179" s="194" t="s">
        <v>187</v>
      </c>
      <c r="AC179" s="194">
        <v>36</v>
      </c>
      <c r="AD179" s="194" t="s">
        <v>187</v>
      </c>
    </row>
    <row r="180" spans="1:30" ht="81" x14ac:dyDescent="0.3">
      <c r="A180" s="5" t="s">
        <v>182</v>
      </c>
      <c r="B180" s="4">
        <v>10701</v>
      </c>
      <c r="C180" s="4">
        <v>2</v>
      </c>
      <c r="D180" s="4" t="s">
        <v>376</v>
      </c>
      <c r="E180" s="194" t="s">
        <v>184</v>
      </c>
      <c r="F180" s="194" t="s">
        <v>185</v>
      </c>
      <c r="G180" s="194">
        <v>23</v>
      </c>
      <c r="H180" s="194" t="s">
        <v>186</v>
      </c>
      <c r="I180" s="194">
        <v>23</v>
      </c>
      <c r="J180" s="194" t="s">
        <v>186</v>
      </c>
      <c r="K180" s="194">
        <v>45</v>
      </c>
      <c r="L180" s="194" t="s">
        <v>187</v>
      </c>
      <c r="M180" s="194">
        <v>0</v>
      </c>
      <c r="N180" s="194" t="s">
        <v>188</v>
      </c>
      <c r="O180" s="194">
        <v>3</v>
      </c>
      <c r="P180" s="194" t="s">
        <v>189</v>
      </c>
      <c r="Q180" s="194">
        <v>3</v>
      </c>
      <c r="R180" s="194" t="s">
        <v>190</v>
      </c>
      <c r="S180" s="194">
        <v>37</v>
      </c>
      <c r="T180" s="194" t="s">
        <v>187</v>
      </c>
      <c r="U180" s="194">
        <v>58</v>
      </c>
      <c r="V180" s="194" t="s">
        <v>191</v>
      </c>
      <c r="W180" s="194">
        <v>45</v>
      </c>
      <c r="X180" s="194" t="s">
        <v>191</v>
      </c>
      <c r="Y180" s="194">
        <v>48</v>
      </c>
      <c r="Z180" s="194" t="s">
        <v>191</v>
      </c>
      <c r="AA180" s="194">
        <v>32</v>
      </c>
      <c r="AB180" s="194" t="s">
        <v>187</v>
      </c>
      <c r="AC180" s="194">
        <v>62</v>
      </c>
      <c r="AD180" s="5" t="s">
        <v>192</v>
      </c>
    </row>
    <row r="181" spans="1:30" ht="81" x14ac:dyDescent="0.3">
      <c r="A181" s="5" t="s">
        <v>182</v>
      </c>
      <c r="B181" s="4">
        <v>10702</v>
      </c>
      <c r="C181" s="4">
        <v>2</v>
      </c>
      <c r="D181" s="4" t="s">
        <v>377</v>
      </c>
      <c r="E181" s="194" t="s">
        <v>194</v>
      </c>
      <c r="F181" s="194" t="s">
        <v>195</v>
      </c>
      <c r="G181" s="194">
        <v>32</v>
      </c>
      <c r="H181" s="194" t="s">
        <v>196</v>
      </c>
      <c r="I181" s="194">
        <v>31</v>
      </c>
      <c r="J181" s="194" t="s">
        <v>196</v>
      </c>
      <c r="K181" s="194">
        <v>26</v>
      </c>
      <c r="L181" s="194" t="s">
        <v>186</v>
      </c>
      <c r="M181" s="194">
        <v>0</v>
      </c>
      <c r="N181" s="194" t="s">
        <v>188</v>
      </c>
      <c r="O181" s="194">
        <v>1</v>
      </c>
      <c r="P181" s="194" t="s">
        <v>197</v>
      </c>
      <c r="Q181" s="194">
        <v>3</v>
      </c>
      <c r="R181" s="194" t="s">
        <v>190</v>
      </c>
      <c r="S181" s="194">
        <v>37</v>
      </c>
      <c r="T181" s="194" t="s">
        <v>187</v>
      </c>
      <c r="U181" s="194">
        <v>37</v>
      </c>
      <c r="V181" s="194" t="s">
        <v>187</v>
      </c>
      <c r="W181" s="194">
        <v>33</v>
      </c>
      <c r="X181" s="194" t="s">
        <v>187</v>
      </c>
      <c r="Y181" s="194">
        <v>36</v>
      </c>
      <c r="Z181" s="194" t="s">
        <v>187</v>
      </c>
      <c r="AA181" s="194">
        <v>32</v>
      </c>
      <c r="AB181" s="194" t="s">
        <v>187</v>
      </c>
      <c r="AC181" s="194">
        <v>36</v>
      </c>
      <c r="AD181" s="194" t="s">
        <v>187</v>
      </c>
    </row>
    <row r="182" spans="1:30" ht="81" x14ac:dyDescent="0.3">
      <c r="A182" s="5" t="s">
        <v>182</v>
      </c>
      <c r="B182" s="4">
        <v>10703</v>
      </c>
      <c r="C182" s="4">
        <v>2</v>
      </c>
      <c r="D182" s="4" t="s">
        <v>378</v>
      </c>
      <c r="E182" s="194" t="s">
        <v>199</v>
      </c>
      <c r="F182" s="194" t="s">
        <v>200</v>
      </c>
      <c r="G182" s="194">
        <v>77</v>
      </c>
      <c r="H182" s="194" t="s">
        <v>201</v>
      </c>
      <c r="I182" s="194">
        <v>65</v>
      </c>
      <c r="J182" s="194" t="s">
        <v>202</v>
      </c>
      <c r="K182" s="194">
        <v>76</v>
      </c>
      <c r="L182" s="194" t="s">
        <v>201</v>
      </c>
      <c r="M182" s="194">
        <v>0</v>
      </c>
      <c r="N182" s="194" t="s">
        <v>188</v>
      </c>
      <c r="O182" s="194">
        <v>5</v>
      </c>
      <c r="P182" s="194" t="s">
        <v>189</v>
      </c>
      <c r="Q182" s="194">
        <v>0</v>
      </c>
      <c r="R182" s="194" t="s">
        <v>203</v>
      </c>
      <c r="S182" s="194">
        <v>85</v>
      </c>
      <c r="T182" s="5" t="s">
        <v>192</v>
      </c>
      <c r="U182" s="194">
        <v>79</v>
      </c>
      <c r="V182" s="5" t="s">
        <v>192</v>
      </c>
      <c r="W182" s="194">
        <v>81</v>
      </c>
      <c r="X182" s="5" t="s">
        <v>192</v>
      </c>
      <c r="Y182" s="194">
        <v>85</v>
      </c>
      <c r="Z182" s="5" t="s">
        <v>192</v>
      </c>
      <c r="AA182" s="194">
        <v>80</v>
      </c>
      <c r="AB182" s="5" t="s">
        <v>192</v>
      </c>
      <c r="AC182" s="194">
        <v>87</v>
      </c>
      <c r="AD182" s="5" t="s">
        <v>192</v>
      </c>
    </row>
    <row r="183" spans="1:30" ht="94.5" x14ac:dyDescent="0.3">
      <c r="A183" s="5" t="s">
        <v>182</v>
      </c>
      <c r="B183" s="4">
        <v>10704</v>
      </c>
      <c r="C183" s="4">
        <v>2</v>
      </c>
      <c r="D183" s="4" t="s">
        <v>379</v>
      </c>
      <c r="E183" s="194" t="s">
        <v>205</v>
      </c>
      <c r="F183" s="194" t="s">
        <v>206</v>
      </c>
      <c r="G183" s="194">
        <v>81</v>
      </c>
      <c r="H183" s="194" t="s">
        <v>201</v>
      </c>
      <c r="I183" s="194">
        <v>86</v>
      </c>
      <c r="J183" s="194" t="s">
        <v>201</v>
      </c>
      <c r="K183" s="194">
        <v>76</v>
      </c>
      <c r="L183" s="194" t="s">
        <v>201</v>
      </c>
      <c r="M183" s="194">
        <v>0</v>
      </c>
      <c r="N183" s="194" t="s">
        <v>188</v>
      </c>
      <c r="O183" s="194">
        <v>1</v>
      </c>
      <c r="P183" s="194" t="s">
        <v>197</v>
      </c>
      <c r="Q183" s="194">
        <v>0</v>
      </c>
      <c r="R183" s="194" t="s">
        <v>203</v>
      </c>
      <c r="S183" s="194">
        <v>37</v>
      </c>
      <c r="T183" s="194" t="s">
        <v>187</v>
      </c>
      <c r="U183" s="194">
        <v>37</v>
      </c>
      <c r="V183" s="194" t="s">
        <v>187</v>
      </c>
      <c r="W183" s="194">
        <v>33</v>
      </c>
      <c r="X183" s="194" t="s">
        <v>187</v>
      </c>
      <c r="Y183" s="194">
        <v>36</v>
      </c>
      <c r="Z183" s="194" t="s">
        <v>187</v>
      </c>
      <c r="AA183" s="194">
        <v>32</v>
      </c>
      <c r="AB183" s="194" t="s">
        <v>187</v>
      </c>
      <c r="AC183" s="194">
        <v>36</v>
      </c>
      <c r="AD183" s="194" t="s">
        <v>187</v>
      </c>
    </row>
    <row r="184" spans="1:30" ht="81" x14ac:dyDescent="0.3">
      <c r="A184" s="5" t="s">
        <v>182</v>
      </c>
      <c r="B184" s="4">
        <v>10705</v>
      </c>
      <c r="C184" s="4">
        <v>2</v>
      </c>
      <c r="D184" s="4" t="s">
        <v>380</v>
      </c>
      <c r="E184" s="194" t="s">
        <v>184</v>
      </c>
      <c r="F184" s="194" t="s">
        <v>185</v>
      </c>
      <c r="G184" s="194">
        <v>23</v>
      </c>
      <c r="H184" s="194" t="s">
        <v>186</v>
      </c>
      <c r="I184" s="194">
        <v>23</v>
      </c>
      <c r="J184" s="194" t="s">
        <v>186</v>
      </c>
      <c r="K184" s="194">
        <v>45</v>
      </c>
      <c r="L184" s="194" t="s">
        <v>187</v>
      </c>
      <c r="M184" s="194">
        <v>0</v>
      </c>
      <c r="N184" s="194" t="s">
        <v>188</v>
      </c>
      <c r="O184" s="194">
        <v>3</v>
      </c>
      <c r="P184" s="194" t="s">
        <v>189</v>
      </c>
      <c r="Q184" s="194">
        <v>3</v>
      </c>
      <c r="R184" s="194" t="s">
        <v>190</v>
      </c>
      <c r="S184" s="194">
        <v>37</v>
      </c>
      <c r="T184" s="194" t="s">
        <v>187</v>
      </c>
      <c r="U184" s="194">
        <v>58</v>
      </c>
      <c r="V184" s="194" t="s">
        <v>191</v>
      </c>
      <c r="W184" s="194">
        <v>45</v>
      </c>
      <c r="X184" s="194" t="s">
        <v>191</v>
      </c>
      <c r="Y184" s="194">
        <v>48</v>
      </c>
      <c r="Z184" s="194" t="s">
        <v>191</v>
      </c>
      <c r="AA184" s="194">
        <v>32</v>
      </c>
      <c r="AB184" s="194" t="s">
        <v>187</v>
      </c>
      <c r="AC184" s="194">
        <v>62</v>
      </c>
      <c r="AD184" s="5" t="s">
        <v>192</v>
      </c>
    </row>
    <row r="185" spans="1:30" ht="81" x14ac:dyDescent="0.3">
      <c r="A185" s="5" t="s">
        <v>182</v>
      </c>
      <c r="B185" s="4">
        <v>10706</v>
      </c>
      <c r="C185" s="4">
        <v>2</v>
      </c>
      <c r="D185" s="4" t="s">
        <v>381</v>
      </c>
      <c r="E185" s="194" t="s">
        <v>194</v>
      </c>
      <c r="F185" s="194" t="s">
        <v>195</v>
      </c>
      <c r="G185" s="194">
        <v>32</v>
      </c>
      <c r="H185" s="194" t="s">
        <v>196</v>
      </c>
      <c r="I185" s="194">
        <v>31</v>
      </c>
      <c r="J185" s="194" t="s">
        <v>196</v>
      </c>
      <c r="K185" s="194">
        <v>26</v>
      </c>
      <c r="L185" s="194" t="s">
        <v>186</v>
      </c>
      <c r="M185" s="194">
        <v>0</v>
      </c>
      <c r="N185" s="194" t="s">
        <v>188</v>
      </c>
      <c r="O185" s="194">
        <v>1</v>
      </c>
      <c r="P185" s="194" t="s">
        <v>197</v>
      </c>
      <c r="Q185" s="194">
        <v>3</v>
      </c>
      <c r="R185" s="194" t="s">
        <v>190</v>
      </c>
      <c r="S185" s="194">
        <v>37</v>
      </c>
      <c r="T185" s="194" t="s">
        <v>187</v>
      </c>
      <c r="U185" s="194">
        <v>37</v>
      </c>
      <c r="V185" s="194" t="s">
        <v>187</v>
      </c>
      <c r="W185" s="194">
        <v>33</v>
      </c>
      <c r="X185" s="194" t="s">
        <v>187</v>
      </c>
      <c r="Y185" s="194">
        <v>36</v>
      </c>
      <c r="Z185" s="194" t="s">
        <v>187</v>
      </c>
      <c r="AA185" s="194">
        <v>32</v>
      </c>
      <c r="AB185" s="194" t="s">
        <v>187</v>
      </c>
      <c r="AC185" s="194">
        <v>36</v>
      </c>
      <c r="AD185" s="194" t="s">
        <v>187</v>
      </c>
    </row>
    <row r="186" spans="1:30" ht="81" x14ac:dyDescent="0.3">
      <c r="A186" s="5" t="s">
        <v>182</v>
      </c>
      <c r="B186" s="4">
        <v>10707</v>
      </c>
      <c r="C186" s="4">
        <v>2</v>
      </c>
      <c r="D186" s="4" t="s">
        <v>382</v>
      </c>
      <c r="E186" s="194" t="s">
        <v>199</v>
      </c>
      <c r="F186" s="194" t="s">
        <v>200</v>
      </c>
      <c r="G186" s="194">
        <v>77</v>
      </c>
      <c r="H186" s="194" t="s">
        <v>201</v>
      </c>
      <c r="I186" s="194">
        <v>65</v>
      </c>
      <c r="J186" s="194" t="s">
        <v>202</v>
      </c>
      <c r="K186" s="194">
        <v>76</v>
      </c>
      <c r="L186" s="194" t="s">
        <v>201</v>
      </c>
      <c r="M186" s="194">
        <v>0</v>
      </c>
      <c r="N186" s="194" t="s">
        <v>188</v>
      </c>
      <c r="O186" s="194">
        <v>5</v>
      </c>
      <c r="P186" s="194" t="s">
        <v>189</v>
      </c>
      <c r="Q186" s="194">
        <v>0</v>
      </c>
      <c r="R186" s="194" t="s">
        <v>203</v>
      </c>
      <c r="S186" s="194">
        <v>85</v>
      </c>
      <c r="T186" s="5" t="s">
        <v>192</v>
      </c>
      <c r="U186" s="194">
        <v>79</v>
      </c>
      <c r="V186" s="5" t="s">
        <v>192</v>
      </c>
      <c r="W186" s="194">
        <v>81</v>
      </c>
      <c r="X186" s="5" t="s">
        <v>192</v>
      </c>
      <c r="Y186" s="194">
        <v>85</v>
      </c>
      <c r="Z186" s="5" t="s">
        <v>192</v>
      </c>
      <c r="AA186" s="194">
        <v>80</v>
      </c>
      <c r="AB186" s="5" t="s">
        <v>192</v>
      </c>
      <c r="AC186" s="194">
        <v>87</v>
      </c>
      <c r="AD186" s="5" t="s">
        <v>192</v>
      </c>
    </row>
    <row r="187" spans="1:30" ht="94.5" x14ac:dyDescent="0.3">
      <c r="A187" s="5" t="s">
        <v>182</v>
      </c>
      <c r="B187" s="4">
        <v>10708</v>
      </c>
      <c r="C187" s="4">
        <v>2</v>
      </c>
      <c r="D187" s="4" t="s">
        <v>383</v>
      </c>
      <c r="E187" s="194" t="s">
        <v>205</v>
      </c>
      <c r="F187" s="194" t="s">
        <v>206</v>
      </c>
      <c r="G187" s="194">
        <v>81</v>
      </c>
      <c r="H187" s="194" t="s">
        <v>201</v>
      </c>
      <c r="I187" s="194">
        <v>86</v>
      </c>
      <c r="J187" s="194" t="s">
        <v>201</v>
      </c>
      <c r="K187" s="194">
        <v>76</v>
      </c>
      <c r="L187" s="194" t="s">
        <v>201</v>
      </c>
      <c r="M187" s="194">
        <v>0</v>
      </c>
      <c r="N187" s="194" t="s">
        <v>188</v>
      </c>
      <c r="O187" s="194">
        <v>1</v>
      </c>
      <c r="P187" s="194" t="s">
        <v>197</v>
      </c>
      <c r="Q187" s="194">
        <v>0</v>
      </c>
      <c r="R187" s="194" t="s">
        <v>203</v>
      </c>
      <c r="S187" s="194">
        <v>37</v>
      </c>
      <c r="T187" s="194" t="s">
        <v>187</v>
      </c>
      <c r="U187" s="194">
        <v>37</v>
      </c>
      <c r="V187" s="194" t="s">
        <v>187</v>
      </c>
      <c r="W187" s="194">
        <v>33</v>
      </c>
      <c r="X187" s="194" t="s">
        <v>187</v>
      </c>
      <c r="Y187" s="194">
        <v>36</v>
      </c>
      <c r="Z187" s="194" t="s">
        <v>187</v>
      </c>
      <c r="AA187" s="194">
        <v>32</v>
      </c>
      <c r="AB187" s="194" t="s">
        <v>187</v>
      </c>
      <c r="AC187" s="194">
        <v>36</v>
      </c>
      <c r="AD187" s="194" t="s">
        <v>187</v>
      </c>
    </row>
    <row r="188" spans="1:30" ht="81" x14ac:dyDescent="0.3">
      <c r="A188" s="5" t="s">
        <v>182</v>
      </c>
      <c r="B188" s="4">
        <v>10709</v>
      </c>
      <c r="C188" s="4">
        <v>2</v>
      </c>
      <c r="D188" s="4" t="s">
        <v>384</v>
      </c>
      <c r="E188" s="194" t="s">
        <v>184</v>
      </c>
      <c r="F188" s="194" t="s">
        <v>185</v>
      </c>
      <c r="G188" s="194">
        <v>23</v>
      </c>
      <c r="H188" s="194" t="s">
        <v>186</v>
      </c>
      <c r="I188" s="194">
        <v>23</v>
      </c>
      <c r="J188" s="194" t="s">
        <v>186</v>
      </c>
      <c r="K188" s="194">
        <v>45</v>
      </c>
      <c r="L188" s="194" t="s">
        <v>187</v>
      </c>
      <c r="M188" s="194">
        <v>0</v>
      </c>
      <c r="N188" s="194" t="s">
        <v>188</v>
      </c>
      <c r="O188" s="194">
        <v>3</v>
      </c>
      <c r="P188" s="194" t="s">
        <v>189</v>
      </c>
      <c r="Q188" s="194">
        <v>3</v>
      </c>
      <c r="R188" s="194" t="s">
        <v>190</v>
      </c>
      <c r="S188" s="194">
        <v>37</v>
      </c>
      <c r="T188" s="194" t="s">
        <v>187</v>
      </c>
      <c r="U188" s="194">
        <v>58</v>
      </c>
      <c r="V188" s="194" t="s">
        <v>191</v>
      </c>
      <c r="W188" s="194">
        <v>45</v>
      </c>
      <c r="X188" s="194" t="s">
        <v>191</v>
      </c>
      <c r="Y188" s="194">
        <v>48</v>
      </c>
      <c r="Z188" s="194" t="s">
        <v>191</v>
      </c>
      <c r="AA188" s="194">
        <v>32</v>
      </c>
      <c r="AB188" s="194" t="s">
        <v>187</v>
      </c>
      <c r="AC188" s="194">
        <v>62</v>
      </c>
      <c r="AD188" s="5" t="s">
        <v>192</v>
      </c>
    </row>
    <row r="189" spans="1:30" ht="81" x14ac:dyDescent="0.3">
      <c r="A189" s="5" t="s">
        <v>182</v>
      </c>
      <c r="B189" s="4">
        <v>10710</v>
      </c>
      <c r="C189" s="4">
        <v>2</v>
      </c>
      <c r="D189" s="4" t="s">
        <v>385</v>
      </c>
      <c r="E189" s="194" t="s">
        <v>194</v>
      </c>
      <c r="F189" s="194" t="s">
        <v>195</v>
      </c>
      <c r="G189" s="194">
        <v>32</v>
      </c>
      <c r="H189" s="194" t="s">
        <v>196</v>
      </c>
      <c r="I189" s="194">
        <v>31</v>
      </c>
      <c r="J189" s="194" t="s">
        <v>196</v>
      </c>
      <c r="K189" s="194">
        <v>26</v>
      </c>
      <c r="L189" s="194" t="s">
        <v>186</v>
      </c>
      <c r="M189" s="194">
        <v>0</v>
      </c>
      <c r="N189" s="194" t="s">
        <v>188</v>
      </c>
      <c r="O189" s="194">
        <v>1</v>
      </c>
      <c r="P189" s="194" t="s">
        <v>197</v>
      </c>
      <c r="Q189" s="194">
        <v>3</v>
      </c>
      <c r="R189" s="194" t="s">
        <v>190</v>
      </c>
      <c r="S189" s="194">
        <v>37</v>
      </c>
      <c r="T189" s="194" t="s">
        <v>187</v>
      </c>
      <c r="U189" s="194">
        <v>37</v>
      </c>
      <c r="V189" s="194" t="s">
        <v>187</v>
      </c>
      <c r="W189" s="194">
        <v>33</v>
      </c>
      <c r="X189" s="194" t="s">
        <v>187</v>
      </c>
      <c r="Y189" s="194">
        <v>36</v>
      </c>
      <c r="Z189" s="194" t="s">
        <v>187</v>
      </c>
      <c r="AA189" s="194">
        <v>32</v>
      </c>
      <c r="AB189" s="194" t="s">
        <v>187</v>
      </c>
      <c r="AC189" s="194">
        <v>36</v>
      </c>
      <c r="AD189" s="194" t="s">
        <v>187</v>
      </c>
    </row>
    <row r="190" spans="1:30" ht="81" x14ac:dyDescent="0.3">
      <c r="A190" s="5" t="s">
        <v>182</v>
      </c>
      <c r="B190" s="4">
        <v>10711</v>
      </c>
      <c r="C190" s="4">
        <v>2</v>
      </c>
      <c r="D190" s="4" t="s">
        <v>386</v>
      </c>
      <c r="E190" s="194" t="s">
        <v>199</v>
      </c>
      <c r="F190" s="194" t="s">
        <v>200</v>
      </c>
      <c r="G190" s="194">
        <v>77</v>
      </c>
      <c r="H190" s="194" t="s">
        <v>201</v>
      </c>
      <c r="I190" s="194">
        <v>65</v>
      </c>
      <c r="J190" s="194" t="s">
        <v>202</v>
      </c>
      <c r="K190" s="194">
        <v>76</v>
      </c>
      <c r="L190" s="194" t="s">
        <v>201</v>
      </c>
      <c r="M190" s="194">
        <v>0</v>
      </c>
      <c r="N190" s="194" t="s">
        <v>188</v>
      </c>
      <c r="O190" s="194">
        <v>5</v>
      </c>
      <c r="P190" s="194" t="s">
        <v>189</v>
      </c>
      <c r="Q190" s="194">
        <v>0</v>
      </c>
      <c r="R190" s="194" t="s">
        <v>203</v>
      </c>
      <c r="S190" s="194">
        <v>85</v>
      </c>
      <c r="T190" s="5" t="s">
        <v>192</v>
      </c>
      <c r="U190" s="194">
        <v>79</v>
      </c>
      <c r="V190" s="5" t="s">
        <v>192</v>
      </c>
      <c r="W190" s="194">
        <v>81</v>
      </c>
      <c r="X190" s="5" t="s">
        <v>192</v>
      </c>
      <c r="Y190" s="194">
        <v>85</v>
      </c>
      <c r="Z190" s="5" t="s">
        <v>192</v>
      </c>
      <c r="AA190" s="194">
        <v>80</v>
      </c>
      <c r="AB190" s="5" t="s">
        <v>192</v>
      </c>
      <c r="AC190" s="194">
        <v>87</v>
      </c>
      <c r="AD190" s="5" t="s">
        <v>192</v>
      </c>
    </row>
    <row r="191" spans="1:30" ht="94.5" x14ac:dyDescent="0.3">
      <c r="A191" s="5" t="s">
        <v>182</v>
      </c>
      <c r="B191" s="4">
        <v>10712</v>
      </c>
      <c r="C191" s="4">
        <v>2</v>
      </c>
      <c r="D191" s="4" t="s">
        <v>387</v>
      </c>
      <c r="E191" s="194" t="s">
        <v>205</v>
      </c>
      <c r="F191" s="194" t="s">
        <v>206</v>
      </c>
      <c r="G191" s="194">
        <v>81</v>
      </c>
      <c r="H191" s="194" t="s">
        <v>201</v>
      </c>
      <c r="I191" s="194">
        <v>86</v>
      </c>
      <c r="J191" s="194" t="s">
        <v>201</v>
      </c>
      <c r="K191" s="194">
        <v>76</v>
      </c>
      <c r="L191" s="194" t="s">
        <v>201</v>
      </c>
      <c r="M191" s="194">
        <v>0</v>
      </c>
      <c r="N191" s="194" t="s">
        <v>188</v>
      </c>
      <c r="O191" s="194">
        <v>1</v>
      </c>
      <c r="P191" s="194" t="s">
        <v>197</v>
      </c>
      <c r="Q191" s="194">
        <v>0</v>
      </c>
      <c r="R191" s="194" t="s">
        <v>203</v>
      </c>
      <c r="S191" s="194">
        <v>37</v>
      </c>
      <c r="T191" s="194" t="s">
        <v>187</v>
      </c>
      <c r="U191" s="194">
        <v>37</v>
      </c>
      <c r="V191" s="194" t="s">
        <v>187</v>
      </c>
      <c r="W191" s="194">
        <v>33</v>
      </c>
      <c r="X191" s="194" t="s">
        <v>187</v>
      </c>
      <c r="Y191" s="194">
        <v>36</v>
      </c>
      <c r="Z191" s="194" t="s">
        <v>187</v>
      </c>
      <c r="AA191" s="194">
        <v>32</v>
      </c>
      <c r="AB191" s="194" t="s">
        <v>187</v>
      </c>
      <c r="AC191" s="194">
        <v>36</v>
      </c>
      <c r="AD191" s="194" t="s">
        <v>187</v>
      </c>
    </row>
    <row r="192" spans="1:30" ht="81" x14ac:dyDescent="0.3">
      <c r="A192" s="5" t="s">
        <v>182</v>
      </c>
      <c r="B192" s="4">
        <v>10713</v>
      </c>
      <c r="C192" s="4">
        <v>2</v>
      </c>
      <c r="D192" s="4" t="s">
        <v>388</v>
      </c>
      <c r="E192" s="194" t="s">
        <v>184</v>
      </c>
      <c r="F192" s="194" t="s">
        <v>185</v>
      </c>
      <c r="G192" s="194">
        <v>23</v>
      </c>
      <c r="H192" s="194" t="s">
        <v>186</v>
      </c>
      <c r="I192" s="194">
        <v>23</v>
      </c>
      <c r="J192" s="194" t="s">
        <v>186</v>
      </c>
      <c r="K192" s="194">
        <v>45</v>
      </c>
      <c r="L192" s="194" t="s">
        <v>187</v>
      </c>
      <c r="M192" s="194">
        <v>0</v>
      </c>
      <c r="N192" s="194" t="s">
        <v>188</v>
      </c>
      <c r="O192" s="194">
        <v>3</v>
      </c>
      <c r="P192" s="194" t="s">
        <v>189</v>
      </c>
      <c r="Q192" s="194">
        <v>3</v>
      </c>
      <c r="R192" s="194" t="s">
        <v>190</v>
      </c>
      <c r="S192" s="194">
        <v>37</v>
      </c>
      <c r="T192" s="194" t="s">
        <v>187</v>
      </c>
      <c r="U192" s="194">
        <v>58</v>
      </c>
      <c r="V192" s="194" t="s">
        <v>191</v>
      </c>
      <c r="W192" s="194">
        <v>45</v>
      </c>
      <c r="X192" s="194" t="s">
        <v>191</v>
      </c>
      <c r="Y192" s="194">
        <v>48</v>
      </c>
      <c r="Z192" s="194" t="s">
        <v>191</v>
      </c>
      <c r="AA192" s="194">
        <v>32</v>
      </c>
      <c r="AB192" s="194" t="s">
        <v>187</v>
      </c>
      <c r="AC192" s="194">
        <v>62</v>
      </c>
      <c r="AD192" s="5" t="s">
        <v>192</v>
      </c>
    </row>
    <row r="193" spans="1:30" ht="81" x14ac:dyDescent="0.3">
      <c r="A193" s="5" t="s">
        <v>182</v>
      </c>
      <c r="B193" s="4">
        <v>10714</v>
      </c>
      <c r="C193" s="4">
        <v>2</v>
      </c>
      <c r="D193" s="4" t="s">
        <v>389</v>
      </c>
      <c r="E193" s="194" t="s">
        <v>194</v>
      </c>
      <c r="F193" s="194" t="s">
        <v>195</v>
      </c>
      <c r="G193" s="194">
        <v>32</v>
      </c>
      <c r="H193" s="194" t="s">
        <v>196</v>
      </c>
      <c r="I193" s="194">
        <v>31</v>
      </c>
      <c r="J193" s="194" t="s">
        <v>196</v>
      </c>
      <c r="K193" s="194">
        <v>26</v>
      </c>
      <c r="L193" s="194" t="s">
        <v>186</v>
      </c>
      <c r="M193" s="194">
        <v>0</v>
      </c>
      <c r="N193" s="194" t="s">
        <v>188</v>
      </c>
      <c r="O193" s="194">
        <v>1</v>
      </c>
      <c r="P193" s="194" t="s">
        <v>197</v>
      </c>
      <c r="Q193" s="194">
        <v>3</v>
      </c>
      <c r="R193" s="194" t="s">
        <v>190</v>
      </c>
      <c r="S193" s="194">
        <v>37</v>
      </c>
      <c r="T193" s="194" t="s">
        <v>187</v>
      </c>
      <c r="U193" s="194">
        <v>37</v>
      </c>
      <c r="V193" s="194" t="s">
        <v>187</v>
      </c>
      <c r="W193" s="194">
        <v>33</v>
      </c>
      <c r="X193" s="194" t="s">
        <v>187</v>
      </c>
      <c r="Y193" s="194">
        <v>36</v>
      </c>
      <c r="Z193" s="194" t="s">
        <v>187</v>
      </c>
      <c r="AA193" s="194">
        <v>32</v>
      </c>
      <c r="AB193" s="194" t="s">
        <v>187</v>
      </c>
      <c r="AC193" s="194">
        <v>36</v>
      </c>
      <c r="AD193" s="194" t="s">
        <v>187</v>
      </c>
    </row>
    <row r="194" spans="1:30" ht="81" x14ac:dyDescent="0.3">
      <c r="A194" s="5" t="s">
        <v>182</v>
      </c>
      <c r="B194" s="4">
        <v>10715</v>
      </c>
      <c r="C194" s="4">
        <v>1</v>
      </c>
      <c r="D194" s="4" t="s">
        <v>390</v>
      </c>
      <c r="E194" s="194" t="s">
        <v>199</v>
      </c>
      <c r="F194" s="194" t="s">
        <v>200</v>
      </c>
      <c r="G194" s="194">
        <v>77</v>
      </c>
      <c r="H194" s="194" t="s">
        <v>201</v>
      </c>
      <c r="I194" s="194">
        <v>65</v>
      </c>
      <c r="J194" s="194" t="s">
        <v>202</v>
      </c>
      <c r="K194" s="194">
        <v>76</v>
      </c>
      <c r="L194" s="194" t="s">
        <v>201</v>
      </c>
      <c r="M194" s="194">
        <v>0</v>
      </c>
      <c r="N194" s="194" t="s">
        <v>188</v>
      </c>
      <c r="O194" s="194">
        <v>5</v>
      </c>
      <c r="P194" s="194" t="s">
        <v>189</v>
      </c>
      <c r="Q194" s="194">
        <v>0</v>
      </c>
      <c r="R194" s="194" t="s">
        <v>203</v>
      </c>
      <c r="S194" s="194">
        <v>85</v>
      </c>
      <c r="T194" s="5" t="s">
        <v>192</v>
      </c>
      <c r="U194" s="194">
        <v>79</v>
      </c>
      <c r="V194" s="5" t="s">
        <v>192</v>
      </c>
      <c r="W194" s="194">
        <v>81</v>
      </c>
      <c r="X194" s="5" t="s">
        <v>192</v>
      </c>
      <c r="Y194" s="194">
        <v>85</v>
      </c>
      <c r="Z194" s="5" t="s">
        <v>192</v>
      </c>
      <c r="AA194" s="194">
        <v>80</v>
      </c>
      <c r="AB194" s="5" t="s">
        <v>192</v>
      </c>
      <c r="AC194" s="194">
        <v>87</v>
      </c>
      <c r="AD194" s="5" t="s">
        <v>192</v>
      </c>
    </row>
    <row r="195" spans="1:30" ht="94.5" x14ac:dyDescent="0.3">
      <c r="A195" s="5" t="s">
        <v>182</v>
      </c>
      <c r="B195" s="4">
        <v>10716</v>
      </c>
      <c r="C195" s="4">
        <v>1</v>
      </c>
      <c r="D195" s="4" t="s">
        <v>391</v>
      </c>
      <c r="E195" s="194" t="s">
        <v>205</v>
      </c>
      <c r="F195" s="194" t="s">
        <v>206</v>
      </c>
      <c r="G195" s="194">
        <v>81</v>
      </c>
      <c r="H195" s="194" t="s">
        <v>201</v>
      </c>
      <c r="I195" s="194">
        <v>86</v>
      </c>
      <c r="J195" s="194" t="s">
        <v>201</v>
      </c>
      <c r="K195" s="194">
        <v>76</v>
      </c>
      <c r="L195" s="194" t="s">
        <v>201</v>
      </c>
      <c r="M195" s="194">
        <v>0</v>
      </c>
      <c r="N195" s="194" t="s">
        <v>188</v>
      </c>
      <c r="O195" s="194">
        <v>1</v>
      </c>
      <c r="P195" s="194" t="s">
        <v>197</v>
      </c>
      <c r="Q195" s="194">
        <v>0</v>
      </c>
      <c r="R195" s="194" t="s">
        <v>203</v>
      </c>
      <c r="S195" s="194">
        <v>37</v>
      </c>
      <c r="T195" s="194" t="s">
        <v>187</v>
      </c>
      <c r="U195" s="194">
        <v>37</v>
      </c>
      <c r="V195" s="194" t="s">
        <v>187</v>
      </c>
      <c r="W195" s="194">
        <v>33</v>
      </c>
      <c r="X195" s="194" t="s">
        <v>187</v>
      </c>
      <c r="Y195" s="194">
        <v>36</v>
      </c>
      <c r="Z195" s="194" t="s">
        <v>187</v>
      </c>
      <c r="AA195" s="194">
        <v>32</v>
      </c>
      <c r="AB195" s="194" t="s">
        <v>187</v>
      </c>
      <c r="AC195" s="194">
        <v>36</v>
      </c>
      <c r="AD195" s="194" t="s">
        <v>187</v>
      </c>
    </row>
    <row r="196" spans="1:30" ht="81" x14ac:dyDescent="0.3">
      <c r="A196" s="5" t="s">
        <v>182</v>
      </c>
      <c r="B196" s="4">
        <v>10717</v>
      </c>
      <c r="C196" s="4">
        <v>1</v>
      </c>
      <c r="D196" s="4" t="s">
        <v>392</v>
      </c>
      <c r="E196" s="194" t="s">
        <v>184</v>
      </c>
      <c r="F196" s="194" t="s">
        <v>185</v>
      </c>
      <c r="G196" s="194">
        <v>23</v>
      </c>
      <c r="H196" s="194" t="s">
        <v>186</v>
      </c>
      <c r="I196" s="194">
        <v>23</v>
      </c>
      <c r="J196" s="194" t="s">
        <v>186</v>
      </c>
      <c r="K196" s="194">
        <v>45</v>
      </c>
      <c r="L196" s="194" t="s">
        <v>187</v>
      </c>
      <c r="M196" s="194">
        <v>0</v>
      </c>
      <c r="N196" s="194" t="s">
        <v>188</v>
      </c>
      <c r="O196" s="194">
        <v>3</v>
      </c>
      <c r="P196" s="194" t="s">
        <v>189</v>
      </c>
      <c r="Q196" s="194">
        <v>3</v>
      </c>
      <c r="R196" s="194" t="s">
        <v>190</v>
      </c>
      <c r="S196" s="194">
        <v>37</v>
      </c>
      <c r="T196" s="194" t="s">
        <v>187</v>
      </c>
      <c r="U196" s="194">
        <v>58</v>
      </c>
      <c r="V196" s="194" t="s">
        <v>191</v>
      </c>
      <c r="W196" s="194">
        <v>45</v>
      </c>
      <c r="X196" s="194" t="s">
        <v>191</v>
      </c>
      <c r="Y196" s="194">
        <v>48</v>
      </c>
      <c r="Z196" s="194" t="s">
        <v>191</v>
      </c>
      <c r="AA196" s="194">
        <v>32</v>
      </c>
      <c r="AB196" s="194" t="s">
        <v>187</v>
      </c>
      <c r="AC196" s="194">
        <v>62</v>
      </c>
      <c r="AD196" s="5" t="s">
        <v>192</v>
      </c>
    </row>
    <row r="197" spans="1:30" ht="81" x14ac:dyDescent="0.3">
      <c r="A197" s="5" t="s">
        <v>182</v>
      </c>
      <c r="B197" s="4">
        <v>10718</v>
      </c>
      <c r="C197" s="4">
        <v>1</v>
      </c>
      <c r="D197" s="4" t="s">
        <v>393</v>
      </c>
      <c r="E197" s="194" t="s">
        <v>194</v>
      </c>
      <c r="F197" s="194" t="s">
        <v>195</v>
      </c>
      <c r="G197" s="194">
        <v>32</v>
      </c>
      <c r="H197" s="194" t="s">
        <v>196</v>
      </c>
      <c r="I197" s="194">
        <v>31</v>
      </c>
      <c r="J197" s="194" t="s">
        <v>196</v>
      </c>
      <c r="K197" s="194">
        <v>26</v>
      </c>
      <c r="L197" s="194" t="s">
        <v>186</v>
      </c>
      <c r="M197" s="194">
        <v>0</v>
      </c>
      <c r="N197" s="194" t="s">
        <v>188</v>
      </c>
      <c r="O197" s="194">
        <v>1</v>
      </c>
      <c r="P197" s="194" t="s">
        <v>197</v>
      </c>
      <c r="Q197" s="194">
        <v>3</v>
      </c>
      <c r="R197" s="194" t="s">
        <v>190</v>
      </c>
      <c r="S197" s="194">
        <v>37</v>
      </c>
      <c r="T197" s="194" t="s">
        <v>187</v>
      </c>
      <c r="U197" s="194">
        <v>37</v>
      </c>
      <c r="V197" s="194" t="s">
        <v>187</v>
      </c>
      <c r="W197" s="194">
        <v>33</v>
      </c>
      <c r="X197" s="194" t="s">
        <v>187</v>
      </c>
      <c r="Y197" s="194">
        <v>36</v>
      </c>
      <c r="Z197" s="194" t="s">
        <v>187</v>
      </c>
      <c r="AA197" s="194">
        <v>32</v>
      </c>
      <c r="AB197" s="194" t="s">
        <v>187</v>
      </c>
      <c r="AC197" s="194">
        <v>36</v>
      </c>
      <c r="AD197" s="194" t="s">
        <v>187</v>
      </c>
    </row>
    <row r="198" spans="1:30" ht="81" x14ac:dyDescent="0.3">
      <c r="A198" s="5" t="s">
        <v>182</v>
      </c>
      <c r="B198" s="4">
        <v>10719</v>
      </c>
      <c r="C198" s="4">
        <v>1</v>
      </c>
      <c r="D198" s="4" t="s">
        <v>394</v>
      </c>
      <c r="E198" s="194" t="s">
        <v>199</v>
      </c>
      <c r="F198" s="194" t="s">
        <v>200</v>
      </c>
      <c r="G198" s="194">
        <v>77</v>
      </c>
      <c r="H198" s="194" t="s">
        <v>201</v>
      </c>
      <c r="I198" s="194">
        <v>65</v>
      </c>
      <c r="J198" s="194" t="s">
        <v>202</v>
      </c>
      <c r="K198" s="194">
        <v>76</v>
      </c>
      <c r="L198" s="194" t="s">
        <v>201</v>
      </c>
      <c r="M198" s="194">
        <v>0</v>
      </c>
      <c r="N198" s="194" t="s">
        <v>188</v>
      </c>
      <c r="O198" s="194">
        <v>5</v>
      </c>
      <c r="P198" s="194" t="s">
        <v>189</v>
      </c>
      <c r="Q198" s="194">
        <v>0</v>
      </c>
      <c r="R198" s="194" t="s">
        <v>203</v>
      </c>
      <c r="S198" s="194">
        <v>85</v>
      </c>
      <c r="T198" s="5" t="s">
        <v>192</v>
      </c>
      <c r="U198" s="194">
        <v>79</v>
      </c>
      <c r="V198" s="5" t="s">
        <v>192</v>
      </c>
      <c r="W198" s="194">
        <v>81</v>
      </c>
      <c r="X198" s="5" t="s">
        <v>192</v>
      </c>
      <c r="Y198" s="194">
        <v>85</v>
      </c>
      <c r="Z198" s="5" t="s">
        <v>192</v>
      </c>
      <c r="AA198" s="194">
        <v>80</v>
      </c>
      <c r="AB198" s="5" t="s">
        <v>192</v>
      </c>
      <c r="AC198" s="194">
        <v>87</v>
      </c>
      <c r="AD198" s="5" t="s">
        <v>192</v>
      </c>
    </row>
    <row r="199" spans="1:30" ht="94.5" x14ac:dyDescent="0.3">
      <c r="A199" s="5" t="s">
        <v>182</v>
      </c>
      <c r="B199" s="4">
        <v>10720</v>
      </c>
      <c r="C199" s="4">
        <v>1</v>
      </c>
      <c r="D199" s="4" t="s">
        <v>395</v>
      </c>
      <c r="E199" s="194" t="s">
        <v>205</v>
      </c>
      <c r="F199" s="194" t="s">
        <v>206</v>
      </c>
      <c r="G199" s="194">
        <v>81</v>
      </c>
      <c r="H199" s="194" t="s">
        <v>201</v>
      </c>
      <c r="I199" s="194">
        <v>86</v>
      </c>
      <c r="J199" s="194" t="s">
        <v>201</v>
      </c>
      <c r="K199" s="194">
        <v>76</v>
      </c>
      <c r="L199" s="194" t="s">
        <v>201</v>
      </c>
      <c r="M199" s="194">
        <v>0</v>
      </c>
      <c r="N199" s="194" t="s">
        <v>188</v>
      </c>
      <c r="O199" s="194">
        <v>1</v>
      </c>
      <c r="P199" s="194" t="s">
        <v>197</v>
      </c>
      <c r="Q199" s="194">
        <v>0</v>
      </c>
      <c r="R199" s="194" t="s">
        <v>203</v>
      </c>
      <c r="S199" s="194">
        <v>37</v>
      </c>
      <c r="T199" s="194" t="s">
        <v>187</v>
      </c>
      <c r="U199" s="194">
        <v>37</v>
      </c>
      <c r="V199" s="194" t="s">
        <v>187</v>
      </c>
      <c r="W199" s="194">
        <v>33</v>
      </c>
      <c r="X199" s="194" t="s">
        <v>187</v>
      </c>
      <c r="Y199" s="194">
        <v>36</v>
      </c>
      <c r="Z199" s="194" t="s">
        <v>187</v>
      </c>
      <c r="AA199" s="194">
        <v>32</v>
      </c>
      <c r="AB199" s="194" t="s">
        <v>187</v>
      </c>
      <c r="AC199" s="194">
        <v>36</v>
      </c>
      <c r="AD199" s="194" t="s">
        <v>187</v>
      </c>
    </row>
    <row r="200" spans="1:30" ht="81" x14ac:dyDescent="0.3">
      <c r="A200" s="5" t="s">
        <v>182</v>
      </c>
      <c r="B200" s="4">
        <v>10721</v>
      </c>
      <c r="C200" s="4">
        <v>1</v>
      </c>
      <c r="D200" s="4" t="s">
        <v>396</v>
      </c>
      <c r="E200" s="194" t="s">
        <v>184</v>
      </c>
      <c r="F200" s="194" t="s">
        <v>185</v>
      </c>
      <c r="G200" s="194">
        <v>23</v>
      </c>
      <c r="H200" s="194" t="s">
        <v>186</v>
      </c>
      <c r="I200" s="194">
        <v>23</v>
      </c>
      <c r="J200" s="194" t="s">
        <v>186</v>
      </c>
      <c r="K200" s="194">
        <v>45</v>
      </c>
      <c r="L200" s="194" t="s">
        <v>187</v>
      </c>
      <c r="M200" s="194">
        <v>0</v>
      </c>
      <c r="N200" s="194" t="s">
        <v>188</v>
      </c>
      <c r="O200" s="194">
        <v>3</v>
      </c>
      <c r="P200" s="194" t="s">
        <v>189</v>
      </c>
      <c r="Q200" s="194">
        <v>3</v>
      </c>
      <c r="R200" s="194" t="s">
        <v>190</v>
      </c>
      <c r="S200" s="194">
        <v>37</v>
      </c>
      <c r="T200" s="194" t="s">
        <v>187</v>
      </c>
      <c r="U200" s="194">
        <v>58</v>
      </c>
      <c r="V200" s="194" t="s">
        <v>191</v>
      </c>
      <c r="W200" s="194">
        <v>45</v>
      </c>
      <c r="X200" s="194" t="s">
        <v>191</v>
      </c>
      <c r="Y200" s="194">
        <v>48</v>
      </c>
      <c r="Z200" s="194" t="s">
        <v>191</v>
      </c>
      <c r="AA200" s="194">
        <v>32</v>
      </c>
      <c r="AB200" s="194" t="s">
        <v>187</v>
      </c>
      <c r="AC200" s="194">
        <v>62</v>
      </c>
      <c r="AD200" s="5" t="s">
        <v>192</v>
      </c>
    </row>
    <row r="201" spans="1:30" ht="81" x14ac:dyDescent="0.3">
      <c r="A201" s="5" t="s">
        <v>182</v>
      </c>
      <c r="B201" s="4">
        <v>10722</v>
      </c>
      <c r="C201" s="4">
        <v>1</v>
      </c>
      <c r="D201" s="4" t="s">
        <v>397</v>
      </c>
      <c r="E201" s="194" t="s">
        <v>194</v>
      </c>
      <c r="F201" s="194" t="s">
        <v>195</v>
      </c>
      <c r="G201" s="194">
        <v>32</v>
      </c>
      <c r="H201" s="194" t="s">
        <v>196</v>
      </c>
      <c r="I201" s="194">
        <v>31</v>
      </c>
      <c r="J201" s="194" t="s">
        <v>196</v>
      </c>
      <c r="K201" s="194">
        <v>26</v>
      </c>
      <c r="L201" s="194" t="s">
        <v>186</v>
      </c>
      <c r="M201" s="194">
        <v>0</v>
      </c>
      <c r="N201" s="194" t="s">
        <v>188</v>
      </c>
      <c r="O201" s="194">
        <v>1</v>
      </c>
      <c r="P201" s="194" t="s">
        <v>197</v>
      </c>
      <c r="Q201" s="194">
        <v>3</v>
      </c>
      <c r="R201" s="194" t="s">
        <v>190</v>
      </c>
      <c r="S201" s="194">
        <v>37</v>
      </c>
      <c r="T201" s="194" t="s">
        <v>187</v>
      </c>
      <c r="U201" s="194">
        <v>37</v>
      </c>
      <c r="V201" s="194" t="s">
        <v>187</v>
      </c>
      <c r="W201" s="194">
        <v>33</v>
      </c>
      <c r="X201" s="194" t="s">
        <v>187</v>
      </c>
      <c r="Y201" s="194">
        <v>36</v>
      </c>
      <c r="Z201" s="194" t="s">
        <v>187</v>
      </c>
      <c r="AA201" s="194">
        <v>32</v>
      </c>
      <c r="AB201" s="194" t="s">
        <v>187</v>
      </c>
      <c r="AC201" s="194">
        <v>36</v>
      </c>
      <c r="AD201" s="194" t="s">
        <v>187</v>
      </c>
    </row>
    <row r="202" spans="1:30" ht="81" x14ac:dyDescent="0.3">
      <c r="A202" s="5" t="s">
        <v>182</v>
      </c>
      <c r="B202" s="4">
        <v>10723</v>
      </c>
      <c r="C202" s="4">
        <v>1</v>
      </c>
      <c r="D202" s="4" t="s">
        <v>398</v>
      </c>
      <c r="E202" s="194" t="s">
        <v>199</v>
      </c>
      <c r="F202" s="194" t="s">
        <v>200</v>
      </c>
      <c r="G202" s="194">
        <v>77</v>
      </c>
      <c r="H202" s="194" t="s">
        <v>201</v>
      </c>
      <c r="I202" s="194">
        <v>65</v>
      </c>
      <c r="J202" s="194" t="s">
        <v>202</v>
      </c>
      <c r="K202" s="194">
        <v>76</v>
      </c>
      <c r="L202" s="194" t="s">
        <v>201</v>
      </c>
      <c r="M202" s="194">
        <v>0</v>
      </c>
      <c r="N202" s="194" t="s">
        <v>188</v>
      </c>
      <c r="O202" s="194">
        <v>5</v>
      </c>
      <c r="P202" s="194" t="s">
        <v>189</v>
      </c>
      <c r="Q202" s="194">
        <v>0</v>
      </c>
      <c r="R202" s="194" t="s">
        <v>203</v>
      </c>
      <c r="S202" s="194">
        <v>85</v>
      </c>
      <c r="T202" s="5" t="s">
        <v>192</v>
      </c>
      <c r="U202" s="194">
        <v>79</v>
      </c>
      <c r="V202" s="5" t="s">
        <v>192</v>
      </c>
      <c r="W202" s="194">
        <v>81</v>
      </c>
      <c r="X202" s="5" t="s">
        <v>192</v>
      </c>
      <c r="Y202" s="194">
        <v>85</v>
      </c>
      <c r="Z202" s="5" t="s">
        <v>192</v>
      </c>
      <c r="AA202" s="194">
        <v>80</v>
      </c>
      <c r="AB202" s="5" t="s">
        <v>192</v>
      </c>
      <c r="AC202" s="194">
        <v>87</v>
      </c>
      <c r="AD202" s="5" t="s">
        <v>192</v>
      </c>
    </row>
    <row r="203" spans="1:30" ht="94.5" x14ac:dyDescent="0.3">
      <c r="A203" s="5" t="s">
        <v>182</v>
      </c>
      <c r="B203" s="4">
        <v>10724</v>
      </c>
      <c r="C203" s="4">
        <v>1</v>
      </c>
      <c r="D203" s="4" t="s">
        <v>399</v>
      </c>
      <c r="E203" s="194" t="s">
        <v>205</v>
      </c>
      <c r="F203" s="194" t="s">
        <v>206</v>
      </c>
      <c r="G203" s="194">
        <v>81</v>
      </c>
      <c r="H203" s="194" t="s">
        <v>201</v>
      </c>
      <c r="I203" s="194">
        <v>86</v>
      </c>
      <c r="J203" s="194" t="s">
        <v>201</v>
      </c>
      <c r="K203" s="194">
        <v>76</v>
      </c>
      <c r="L203" s="194" t="s">
        <v>201</v>
      </c>
      <c r="M203" s="194">
        <v>0</v>
      </c>
      <c r="N203" s="194" t="s">
        <v>188</v>
      </c>
      <c r="O203" s="194">
        <v>1</v>
      </c>
      <c r="P203" s="194" t="s">
        <v>197</v>
      </c>
      <c r="Q203" s="194">
        <v>0</v>
      </c>
      <c r="R203" s="194" t="s">
        <v>203</v>
      </c>
      <c r="S203" s="194">
        <v>37</v>
      </c>
      <c r="T203" s="194" t="s">
        <v>187</v>
      </c>
      <c r="U203" s="194">
        <v>37</v>
      </c>
      <c r="V203" s="194" t="s">
        <v>187</v>
      </c>
      <c r="W203" s="194">
        <v>33</v>
      </c>
      <c r="X203" s="194" t="s">
        <v>187</v>
      </c>
      <c r="Y203" s="194">
        <v>36</v>
      </c>
      <c r="Z203" s="194" t="s">
        <v>187</v>
      </c>
      <c r="AA203" s="194">
        <v>32</v>
      </c>
      <c r="AB203" s="194" t="s">
        <v>187</v>
      </c>
      <c r="AC203" s="194">
        <v>36</v>
      </c>
      <c r="AD203" s="194" t="s">
        <v>187</v>
      </c>
    </row>
    <row r="204" spans="1:30" ht="81" x14ac:dyDescent="0.3">
      <c r="A204" s="5" t="s">
        <v>182</v>
      </c>
      <c r="B204" s="4">
        <v>10725</v>
      </c>
      <c r="C204" s="4">
        <v>1</v>
      </c>
      <c r="D204" s="4" t="s">
        <v>400</v>
      </c>
      <c r="E204" s="194" t="s">
        <v>184</v>
      </c>
      <c r="F204" s="194" t="s">
        <v>185</v>
      </c>
      <c r="G204" s="194">
        <v>23</v>
      </c>
      <c r="H204" s="194" t="s">
        <v>186</v>
      </c>
      <c r="I204" s="194">
        <v>23</v>
      </c>
      <c r="J204" s="194" t="s">
        <v>186</v>
      </c>
      <c r="K204" s="194">
        <v>45</v>
      </c>
      <c r="L204" s="194" t="s">
        <v>187</v>
      </c>
      <c r="M204" s="194">
        <v>0</v>
      </c>
      <c r="N204" s="194" t="s">
        <v>188</v>
      </c>
      <c r="O204" s="194">
        <v>3</v>
      </c>
      <c r="P204" s="194" t="s">
        <v>189</v>
      </c>
      <c r="Q204" s="194">
        <v>3</v>
      </c>
      <c r="R204" s="194" t="s">
        <v>190</v>
      </c>
      <c r="S204" s="194">
        <v>37</v>
      </c>
      <c r="T204" s="194" t="s">
        <v>187</v>
      </c>
      <c r="U204" s="194">
        <v>58</v>
      </c>
      <c r="V204" s="194" t="s">
        <v>191</v>
      </c>
      <c r="W204" s="194">
        <v>45</v>
      </c>
      <c r="X204" s="194" t="s">
        <v>191</v>
      </c>
      <c r="Y204" s="194">
        <v>48</v>
      </c>
      <c r="Z204" s="194" t="s">
        <v>191</v>
      </c>
      <c r="AA204" s="194">
        <v>32</v>
      </c>
      <c r="AB204" s="194" t="s">
        <v>187</v>
      </c>
      <c r="AC204" s="194">
        <v>62</v>
      </c>
      <c r="AD204" s="5" t="s">
        <v>192</v>
      </c>
    </row>
    <row r="205" spans="1:30" ht="81" x14ac:dyDescent="0.3">
      <c r="A205" s="5" t="s">
        <v>182</v>
      </c>
      <c r="B205" s="4">
        <v>10726</v>
      </c>
      <c r="C205" s="4">
        <v>1</v>
      </c>
      <c r="D205" s="4" t="s">
        <v>401</v>
      </c>
      <c r="E205" s="194" t="s">
        <v>194</v>
      </c>
      <c r="F205" s="194" t="s">
        <v>195</v>
      </c>
      <c r="G205" s="194">
        <v>32</v>
      </c>
      <c r="H205" s="194" t="s">
        <v>196</v>
      </c>
      <c r="I205" s="194">
        <v>31</v>
      </c>
      <c r="J205" s="194" t="s">
        <v>196</v>
      </c>
      <c r="K205" s="194">
        <v>26</v>
      </c>
      <c r="L205" s="194" t="s">
        <v>186</v>
      </c>
      <c r="M205" s="194">
        <v>0</v>
      </c>
      <c r="N205" s="194" t="s">
        <v>188</v>
      </c>
      <c r="O205" s="194">
        <v>1</v>
      </c>
      <c r="P205" s="194" t="s">
        <v>197</v>
      </c>
      <c r="Q205" s="194">
        <v>3</v>
      </c>
      <c r="R205" s="194" t="s">
        <v>190</v>
      </c>
      <c r="S205" s="194">
        <v>37</v>
      </c>
      <c r="T205" s="194" t="s">
        <v>187</v>
      </c>
      <c r="U205" s="194">
        <v>37</v>
      </c>
      <c r="V205" s="194" t="s">
        <v>187</v>
      </c>
      <c r="W205" s="194">
        <v>33</v>
      </c>
      <c r="X205" s="194" t="s">
        <v>187</v>
      </c>
      <c r="Y205" s="194">
        <v>36</v>
      </c>
      <c r="Z205" s="194" t="s">
        <v>187</v>
      </c>
      <c r="AA205" s="194">
        <v>32</v>
      </c>
      <c r="AB205" s="194" t="s">
        <v>187</v>
      </c>
      <c r="AC205" s="194">
        <v>36</v>
      </c>
      <c r="AD205" s="194" t="s">
        <v>187</v>
      </c>
    </row>
    <row r="206" spans="1:30" ht="81" x14ac:dyDescent="0.3">
      <c r="A206" s="5" t="s">
        <v>182</v>
      </c>
      <c r="B206" s="4">
        <v>10727</v>
      </c>
      <c r="C206" s="4">
        <v>1</v>
      </c>
      <c r="D206" s="4" t="s">
        <v>402</v>
      </c>
      <c r="E206" s="194" t="s">
        <v>199</v>
      </c>
      <c r="F206" s="194" t="s">
        <v>200</v>
      </c>
      <c r="G206" s="194">
        <v>77</v>
      </c>
      <c r="H206" s="194" t="s">
        <v>201</v>
      </c>
      <c r="I206" s="194">
        <v>65</v>
      </c>
      <c r="J206" s="194" t="s">
        <v>202</v>
      </c>
      <c r="K206" s="194">
        <v>76</v>
      </c>
      <c r="L206" s="194" t="s">
        <v>201</v>
      </c>
      <c r="M206" s="194">
        <v>0</v>
      </c>
      <c r="N206" s="194" t="s">
        <v>188</v>
      </c>
      <c r="O206" s="194">
        <v>5</v>
      </c>
      <c r="P206" s="194" t="s">
        <v>189</v>
      </c>
      <c r="Q206" s="194">
        <v>0</v>
      </c>
      <c r="R206" s="194" t="s">
        <v>203</v>
      </c>
      <c r="S206" s="194">
        <v>85</v>
      </c>
      <c r="T206" s="5" t="s">
        <v>192</v>
      </c>
      <c r="U206" s="194">
        <v>79</v>
      </c>
      <c r="V206" s="5" t="s">
        <v>192</v>
      </c>
      <c r="W206" s="194">
        <v>81</v>
      </c>
      <c r="X206" s="5" t="s">
        <v>192</v>
      </c>
      <c r="Y206" s="194">
        <v>85</v>
      </c>
      <c r="Z206" s="5" t="s">
        <v>192</v>
      </c>
      <c r="AA206" s="194">
        <v>80</v>
      </c>
      <c r="AB206" s="5" t="s">
        <v>192</v>
      </c>
      <c r="AC206" s="194">
        <v>87</v>
      </c>
      <c r="AD206" s="5" t="s">
        <v>192</v>
      </c>
    </row>
    <row r="207" spans="1:30" ht="94.5" x14ac:dyDescent="0.3">
      <c r="A207" s="5" t="s">
        <v>182</v>
      </c>
      <c r="B207" s="4">
        <v>10728</v>
      </c>
      <c r="C207" s="4">
        <v>1</v>
      </c>
      <c r="D207" s="4" t="s">
        <v>403</v>
      </c>
      <c r="E207" s="194" t="s">
        <v>205</v>
      </c>
      <c r="F207" s="194" t="s">
        <v>206</v>
      </c>
      <c r="G207" s="194">
        <v>81</v>
      </c>
      <c r="H207" s="194" t="s">
        <v>201</v>
      </c>
      <c r="I207" s="194">
        <v>86</v>
      </c>
      <c r="J207" s="194" t="s">
        <v>201</v>
      </c>
      <c r="K207" s="194">
        <v>76</v>
      </c>
      <c r="L207" s="194" t="s">
        <v>201</v>
      </c>
      <c r="M207" s="194">
        <v>0</v>
      </c>
      <c r="N207" s="194" t="s">
        <v>188</v>
      </c>
      <c r="O207" s="194">
        <v>1</v>
      </c>
      <c r="P207" s="194" t="s">
        <v>197</v>
      </c>
      <c r="Q207" s="194">
        <v>0</v>
      </c>
      <c r="R207" s="194" t="s">
        <v>203</v>
      </c>
      <c r="S207" s="194">
        <v>37</v>
      </c>
      <c r="T207" s="194" t="s">
        <v>187</v>
      </c>
      <c r="U207" s="194">
        <v>37</v>
      </c>
      <c r="V207" s="194" t="s">
        <v>187</v>
      </c>
      <c r="W207" s="194">
        <v>33</v>
      </c>
      <c r="X207" s="194" t="s">
        <v>187</v>
      </c>
      <c r="Y207" s="194">
        <v>36</v>
      </c>
      <c r="Z207" s="194" t="s">
        <v>187</v>
      </c>
      <c r="AA207" s="194">
        <v>32</v>
      </c>
      <c r="AB207" s="194" t="s">
        <v>187</v>
      </c>
      <c r="AC207" s="194">
        <v>36</v>
      </c>
      <c r="AD207" s="194" t="s">
        <v>187</v>
      </c>
    </row>
    <row r="208" spans="1:30" ht="81" x14ac:dyDescent="0.3">
      <c r="A208" s="5" t="s">
        <v>182</v>
      </c>
      <c r="B208" s="4">
        <v>10729</v>
      </c>
      <c r="C208" s="4">
        <v>1</v>
      </c>
      <c r="D208" s="4" t="s">
        <v>404</v>
      </c>
      <c r="E208" s="194" t="s">
        <v>184</v>
      </c>
      <c r="F208" s="194" t="s">
        <v>185</v>
      </c>
      <c r="G208" s="194">
        <v>23</v>
      </c>
      <c r="H208" s="194" t="s">
        <v>186</v>
      </c>
      <c r="I208" s="194">
        <v>23</v>
      </c>
      <c r="J208" s="194" t="s">
        <v>186</v>
      </c>
      <c r="K208" s="194">
        <v>45</v>
      </c>
      <c r="L208" s="194" t="s">
        <v>187</v>
      </c>
      <c r="M208" s="194">
        <v>0</v>
      </c>
      <c r="N208" s="194" t="s">
        <v>188</v>
      </c>
      <c r="O208" s="194">
        <v>3</v>
      </c>
      <c r="P208" s="194" t="s">
        <v>189</v>
      </c>
      <c r="Q208" s="194">
        <v>3</v>
      </c>
      <c r="R208" s="194" t="s">
        <v>190</v>
      </c>
      <c r="S208" s="194">
        <v>37</v>
      </c>
      <c r="T208" s="194" t="s">
        <v>187</v>
      </c>
      <c r="U208" s="194">
        <v>58</v>
      </c>
      <c r="V208" s="194" t="s">
        <v>191</v>
      </c>
      <c r="W208" s="194">
        <v>45</v>
      </c>
      <c r="X208" s="194" t="s">
        <v>191</v>
      </c>
      <c r="Y208" s="194">
        <v>48</v>
      </c>
      <c r="Z208" s="194" t="s">
        <v>191</v>
      </c>
      <c r="AA208" s="194">
        <v>32</v>
      </c>
      <c r="AB208" s="194" t="s">
        <v>187</v>
      </c>
      <c r="AC208" s="194">
        <v>62</v>
      </c>
      <c r="AD208" s="5" t="s">
        <v>192</v>
      </c>
    </row>
    <row r="209" spans="1:30" ht="81" x14ac:dyDescent="0.3">
      <c r="A209" s="5" t="s">
        <v>182</v>
      </c>
      <c r="B209" s="4">
        <v>10730</v>
      </c>
      <c r="C209" s="4">
        <v>1</v>
      </c>
      <c r="D209" s="4" t="s">
        <v>405</v>
      </c>
      <c r="E209" s="194" t="s">
        <v>194</v>
      </c>
      <c r="F209" s="194" t="s">
        <v>195</v>
      </c>
      <c r="G209" s="194">
        <v>32</v>
      </c>
      <c r="H209" s="194" t="s">
        <v>196</v>
      </c>
      <c r="I209" s="194">
        <v>31</v>
      </c>
      <c r="J209" s="194" t="s">
        <v>196</v>
      </c>
      <c r="K209" s="194">
        <v>26</v>
      </c>
      <c r="L209" s="194" t="s">
        <v>186</v>
      </c>
      <c r="M209" s="194">
        <v>0</v>
      </c>
      <c r="N209" s="194" t="s">
        <v>188</v>
      </c>
      <c r="O209" s="194">
        <v>1</v>
      </c>
      <c r="P209" s="194" t="s">
        <v>197</v>
      </c>
      <c r="Q209" s="194">
        <v>3</v>
      </c>
      <c r="R209" s="194" t="s">
        <v>190</v>
      </c>
      <c r="S209" s="194">
        <v>37</v>
      </c>
      <c r="T209" s="194" t="s">
        <v>187</v>
      </c>
      <c r="U209" s="194">
        <v>37</v>
      </c>
      <c r="V209" s="194" t="s">
        <v>187</v>
      </c>
      <c r="W209" s="194">
        <v>33</v>
      </c>
      <c r="X209" s="194" t="s">
        <v>187</v>
      </c>
      <c r="Y209" s="194">
        <v>36</v>
      </c>
      <c r="Z209" s="194" t="s">
        <v>187</v>
      </c>
      <c r="AA209" s="194">
        <v>32</v>
      </c>
      <c r="AB209" s="194" t="s">
        <v>187</v>
      </c>
      <c r="AC209" s="194">
        <v>36</v>
      </c>
      <c r="AD209" s="194" t="s">
        <v>187</v>
      </c>
    </row>
    <row r="210" spans="1:30" ht="81" x14ac:dyDescent="0.3">
      <c r="A210" s="5" t="s">
        <v>182</v>
      </c>
      <c r="B210" s="4">
        <v>10801</v>
      </c>
      <c r="C210" s="4">
        <v>2</v>
      </c>
      <c r="D210" s="4" t="s">
        <v>406</v>
      </c>
      <c r="E210" s="194" t="s">
        <v>199</v>
      </c>
      <c r="F210" s="194" t="s">
        <v>200</v>
      </c>
      <c r="G210" s="194">
        <v>77</v>
      </c>
      <c r="H210" s="194" t="s">
        <v>201</v>
      </c>
      <c r="I210" s="194">
        <v>65</v>
      </c>
      <c r="J210" s="194" t="s">
        <v>202</v>
      </c>
      <c r="K210" s="194">
        <v>76</v>
      </c>
      <c r="L210" s="194" t="s">
        <v>201</v>
      </c>
      <c r="M210" s="194">
        <v>0</v>
      </c>
      <c r="N210" s="194" t="s">
        <v>188</v>
      </c>
      <c r="O210" s="194">
        <v>5</v>
      </c>
      <c r="P210" s="194" t="s">
        <v>189</v>
      </c>
      <c r="Q210" s="194">
        <v>0</v>
      </c>
      <c r="R210" s="194" t="s">
        <v>203</v>
      </c>
      <c r="S210" s="194">
        <v>85</v>
      </c>
      <c r="T210" s="5" t="s">
        <v>192</v>
      </c>
      <c r="U210" s="194">
        <v>79</v>
      </c>
      <c r="V210" s="5" t="s">
        <v>192</v>
      </c>
      <c r="W210" s="194">
        <v>81</v>
      </c>
      <c r="X210" s="5" t="s">
        <v>192</v>
      </c>
      <c r="Y210" s="194">
        <v>85</v>
      </c>
      <c r="Z210" s="5" t="s">
        <v>192</v>
      </c>
      <c r="AA210" s="194">
        <v>80</v>
      </c>
      <c r="AB210" s="5" t="s">
        <v>192</v>
      </c>
      <c r="AC210" s="194">
        <v>87</v>
      </c>
      <c r="AD210" s="5" t="s">
        <v>192</v>
      </c>
    </row>
    <row r="211" spans="1:30" ht="94.5" x14ac:dyDescent="0.3">
      <c r="A211" s="5" t="s">
        <v>182</v>
      </c>
      <c r="B211" s="4">
        <v>10802</v>
      </c>
      <c r="C211" s="4">
        <v>2</v>
      </c>
      <c r="D211" s="4" t="s">
        <v>407</v>
      </c>
      <c r="E211" s="194" t="s">
        <v>205</v>
      </c>
      <c r="F211" s="194" t="s">
        <v>206</v>
      </c>
      <c r="G211" s="194">
        <v>81</v>
      </c>
      <c r="H211" s="194" t="s">
        <v>201</v>
      </c>
      <c r="I211" s="194">
        <v>86</v>
      </c>
      <c r="J211" s="194" t="s">
        <v>201</v>
      </c>
      <c r="K211" s="194">
        <v>76</v>
      </c>
      <c r="L211" s="194" t="s">
        <v>201</v>
      </c>
      <c r="M211" s="194">
        <v>0</v>
      </c>
      <c r="N211" s="194" t="s">
        <v>188</v>
      </c>
      <c r="O211" s="194">
        <v>1</v>
      </c>
      <c r="P211" s="194" t="s">
        <v>197</v>
      </c>
      <c r="Q211" s="194">
        <v>0</v>
      </c>
      <c r="R211" s="194" t="s">
        <v>203</v>
      </c>
      <c r="S211" s="194">
        <v>37</v>
      </c>
      <c r="T211" s="194" t="s">
        <v>187</v>
      </c>
      <c r="U211" s="194">
        <v>37</v>
      </c>
      <c r="V211" s="194" t="s">
        <v>187</v>
      </c>
      <c r="W211" s="194">
        <v>33</v>
      </c>
      <c r="X211" s="194" t="s">
        <v>187</v>
      </c>
      <c r="Y211" s="194">
        <v>36</v>
      </c>
      <c r="Z211" s="194" t="s">
        <v>187</v>
      </c>
      <c r="AA211" s="194">
        <v>32</v>
      </c>
      <c r="AB211" s="194" t="s">
        <v>187</v>
      </c>
      <c r="AC211" s="194">
        <v>36</v>
      </c>
      <c r="AD211" s="194" t="s">
        <v>187</v>
      </c>
    </row>
    <row r="212" spans="1:30" ht="81" x14ac:dyDescent="0.3">
      <c r="A212" s="5" t="s">
        <v>182</v>
      </c>
      <c r="B212" s="4">
        <v>10803</v>
      </c>
      <c r="C212" s="4">
        <v>2</v>
      </c>
      <c r="D212" s="4" t="s">
        <v>408</v>
      </c>
      <c r="E212" s="194" t="s">
        <v>184</v>
      </c>
      <c r="F212" s="194" t="s">
        <v>185</v>
      </c>
      <c r="G212" s="194">
        <v>23</v>
      </c>
      <c r="H212" s="194" t="s">
        <v>186</v>
      </c>
      <c r="I212" s="194">
        <v>23</v>
      </c>
      <c r="J212" s="194" t="s">
        <v>186</v>
      </c>
      <c r="K212" s="194">
        <v>45</v>
      </c>
      <c r="L212" s="194" t="s">
        <v>187</v>
      </c>
      <c r="M212" s="194">
        <v>0</v>
      </c>
      <c r="N212" s="194" t="s">
        <v>188</v>
      </c>
      <c r="O212" s="194">
        <v>3</v>
      </c>
      <c r="P212" s="194" t="s">
        <v>189</v>
      </c>
      <c r="Q212" s="194">
        <v>3</v>
      </c>
      <c r="R212" s="194" t="s">
        <v>190</v>
      </c>
      <c r="S212" s="194">
        <v>37</v>
      </c>
      <c r="T212" s="194" t="s">
        <v>187</v>
      </c>
      <c r="U212" s="194">
        <v>58</v>
      </c>
      <c r="V212" s="194" t="s">
        <v>191</v>
      </c>
      <c r="W212" s="194">
        <v>45</v>
      </c>
      <c r="X212" s="194" t="s">
        <v>191</v>
      </c>
      <c r="Y212" s="194">
        <v>48</v>
      </c>
      <c r="Z212" s="194" t="s">
        <v>191</v>
      </c>
      <c r="AA212" s="194">
        <v>32</v>
      </c>
      <c r="AB212" s="194" t="s">
        <v>187</v>
      </c>
      <c r="AC212" s="194">
        <v>62</v>
      </c>
      <c r="AD212" s="5" t="s">
        <v>192</v>
      </c>
    </row>
    <row r="213" spans="1:30" ht="81" x14ac:dyDescent="0.3">
      <c r="A213" s="5" t="s">
        <v>182</v>
      </c>
      <c r="B213" s="4">
        <v>10804</v>
      </c>
      <c r="C213" s="4">
        <v>2</v>
      </c>
      <c r="D213" s="4" t="s">
        <v>409</v>
      </c>
      <c r="E213" s="194" t="s">
        <v>194</v>
      </c>
      <c r="F213" s="194" t="s">
        <v>195</v>
      </c>
      <c r="G213" s="194">
        <v>32</v>
      </c>
      <c r="H213" s="194" t="s">
        <v>196</v>
      </c>
      <c r="I213" s="194">
        <v>31</v>
      </c>
      <c r="J213" s="194" t="s">
        <v>196</v>
      </c>
      <c r="K213" s="194">
        <v>26</v>
      </c>
      <c r="L213" s="194" t="s">
        <v>186</v>
      </c>
      <c r="M213" s="194">
        <v>0</v>
      </c>
      <c r="N213" s="194" t="s">
        <v>188</v>
      </c>
      <c r="O213" s="194">
        <v>1</v>
      </c>
      <c r="P213" s="194" t="s">
        <v>197</v>
      </c>
      <c r="Q213" s="194">
        <v>3</v>
      </c>
      <c r="R213" s="194" t="s">
        <v>190</v>
      </c>
      <c r="S213" s="194">
        <v>37</v>
      </c>
      <c r="T213" s="194" t="s">
        <v>187</v>
      </c>
      <c r="U213" s="194">
        <v>37</v>
      </c>
      <c r="V213" s="194" t="s">
        <v>187</v>
      </c>
      <c r="W213" s="194">
        <v>33</v>
      </c>
      <c r="X213" s="194" t="s">
        <v>187</v>
      </c>
      <c r="Y213" s="194">
        <v>36</v>
      </c>
      <c r="Z213" s="194" t="s">
        <v>187</v>
      </c>
      <c r="AA213" s="194">
        <v>32</v>
      </c>
      <c r="AB213" s="194" t="s">
        <v>187</v>
      </c>
      <c r="AC213" s="194">
        <v>36</v>
      </c>
      <c r="AD213" s="194" t="s">
        <v>187</v>
      </c>
    </row>
    <row r="214" spans="1:30" ht="81" x14ac:dyDescent="0.3">
      <c r="A214" s="5" t="s">
        <v>182</v>
      </c>
      <c r="B214" s="4">
        <v>10805</v>
      </c>
      <c r="C214" s="4">
        <v>2</v>
      </c>
      <c r="D214" s="4" t="s">
        <v>410</v>
      </c>
      <c r="E214" s="194" t="s">
        <v>199</v>
      </c>
      <c r="F214" s="194" t="s">
        <v>200</v>
      </c>
      <c r="G214" s="194">
        <v>77</v>
      </c>
      <c r="H214" s="194" t="s">
        <v>201</v>
      </c>
      <c r="I214" s="194">
        <v>65</v>
      </c>
      <c r="J214" s="194" t="s">
        <v>202</v>
      </c>
      <c r="K214" s="194">
        <v>76</v>
      </c>
      <c r="L214" s="194" t="s">
        <v>201</v>
      </c>
      <c r="M214" s="194">
        <v>0</v>
      </c>
      <c r="N214" s="194" t="s">
        <v>188</v>
      </c>
      <c r="O214" s="194">
        <v>5</v>
      </c>
      <c r="P214" s="194" t="s">
        <v>189</v>
      </c>
      <c r="Q214" s="194">
        <v>0</v>
      </c>
      <c r="R214" s="194" t="s">
        <v>203</v>
      </c>
      <c r="S214" s="194">
        <v>85</v>
      </c>
      <c r="T214" s="5" t="s">
        <v>192</v>
      </c>
      <c r="U214" s="194">
        <v>79</v>
      </c>
      <c r="V214" s="5" t="s">
        <v>192</v>
      </c>
      <c r="W214" s="194">
        <v>81</v>
      </c>
      <c r="X214" s="5" t="s">
        <v>192</v>
      </c>
      <c r="Y214" s="194">
        <v>85</v>
      </c>
      <c r="Z214" s="5" t="s">
        <v>192</v>
      </c>
      <c r="AA214" s="194">
        <v>80</v>
      </c>
      <c r="AB214" s="5" t="s">
        <v>192</v>
      </c>
      <c r="AC214" s="194">
        <v>87</v>
      </c>
      <c r="AD214" s="5" t="s">
        <v>192</v>
      </c>
    </row>
    <row r="215" spans="1:30" ht="94.5" x14ac:dyDescent="0.3">
      <c r="A215" s="5" t="s">
        <v>182</v>
      </c>
      <c r="B215" s="4">
        <v>10806</v>
      </c>
      <c r="C215" s="4">
        <v>2</v>
      </c>
      <c r="D215" s="4" t="s">
        <v>411</v>
      </c>
      <c r="E215" s="194" t="s">
        <v>205</v>
      </c>
      <c r="F215" s="194" t="s">
        <v>206</v>
      </c>
      <c r="G215" s="194">
        <v>81</v>
      </c>
      <c r="H215" s="194" t="s">
        <v>201</v>
      </c>
      <c r="I215" s="194">
        <v>86</v>
      </c>
      <c r="J215" s="194" t="s">
        <v>201</v>
      </c>
      <c r="K215" s="194">
        <v>76</v>
      </c>
      <c r="L215" s="194" t="s">
        <v>201</v>
      </c>
      <c r="M215" s="194">
        <v>0</v>
      </c>
      <c r="N215" s="194" t="s">
        <v>188</v>
      </c>
      <c r="O215" s="194">
        <v>1</v>
      </c>
      <c r="P215" s="194" t="s">
        <v>197</v>
      </c>
      <c r="Q215" s="194">
        <v>0</v>
      </c>
      <c r="R215" s="194" t="s">
        <v>203</v>
      </c>
      <c r="S215" s="194">
        <v>37</v>
      </c>
      <c r="T215" s="194" t="s">
        <v>187</v>
      </c>
      <c r="U215" s="194">
        <v>37</v>
      </c>
      <c r="V215" s="194" t="s">
        <v>187</v>
      </c>
      <c r="W215" s="194">
        <v>33</v>
      </c>
      <c r="X215" s="194" t="s">
        <v>187</v>
      </c>
      <c r="Y215" s="194">
        <v>36</v>
      </c>
      <c r="Z215" s="194" t="s">
        <v>187</v>
      </c>
      <c r="AA215" s="194">
        <v>32</v>
      </c>
      <c r="AB215" s="194" t="s">
        <v>187</v>
      </c>
      <c r="AC215" s="194">
        <v>36</v>
      </c>
      <c r="AD215" s="194" t="s">
        <v>187</v>
      </c>
    </row>
    <row r="216" spans="1:30" ht="81" x14ac:dyDescent="0.3">
      <c r="A216" s="5" t="s">
        <v>182</v>
      </c>
      <c r="B216" s="4">
        <v>10807</v>
      </c>
      <c r="C216" s="4">
        <v>2</v>
      </c>
      <c r="D216" s="4" t="s">
        <v>412</v>
      </c>
      <c r="E216" s="194" t="s">
        <v>184</v>
      </c>
      <c r="F216" s="194" t="s">
        <v>185</v>
      </c>
      <c r="G216" s="194">
        <v>23</v>
      </c>
      <c r="H216" s="194" t="s">
        <v>186</v>
      </c>
      <c r="I216" s="194">
        <v>23</v>
      </c>
      <c r="J216" s="194" t="s">
        <v>186</v>
      </c>
      <c r="K216" s="194">
        <v>45</v>
      </c>
      <c r="L216" s="194" t="s">
        <v>187</v>
      </c>
      <c r="M216" s="194">
        <v>0</v>
      </c>
      <c r="N216" s="194" t="s">
        <v>188</v>
      </c>
      <c r="O216" s="194">
        <v>3</v>
      </c>
      <c r="P216" s="194" t="s">
        <v>189</v>
      </c>
      <c r="Q216" s="194">
        <v>3</v>
      </c>
      <c r="R216" s="194" t="s">
        <v>190</v>
      </c>
      <c r="S216" s="194">
        <v>37</v>
      </c>
      <c r="T216" s="194" t="s">
        <v>187</v>
      </c>
      <c r="U216" s="194">
        <v>58</v>
      </c>
      <c r="V216" s="194" t="s">
        <v>191</v>
      </c>
      <c r="W216" s="194">
        <v>45</v>
      </c>
      <c r="X216" s="194" t="s">
        <v>191</v>
      </c>
      <c r="Y216" s="194">
        <v>48</v>
      </c>
      <c r="Z216" s="194" t="s">
        <v>191</v>
      </c>
      <c r="AA216" s="194">
        <v>32</v>
      </c>
      <c r="AB216" s="194" t="s">
        <v>187</v>
      </c>
      <c r="AC216" s="194">
        <v>62</v>
      </c>
      <c r="AD216" s="5" t="s">
        <v>192</v>
      </c>
    </row>
    <row r="217" spans="1:30" ht="81" x14ac:dyDescent="0.3">
      <c r="A217" s="5" t="s">
        <v>182</v>
      </c>
      <c r="B217" s="4">
        <v>10808</v>
      </c>
      <c r="C217" s="4">
        <v>2</v>
      </c>
      <c r="D217" s="4" t="s">
        <v>413</v>
      </c>
      <c r="E217" s="194" t="s">
        <v>194</v>
      </c>
      <c r="F217" s="194" t="s">
        <v>195</v>
      </c>
      <c r="G217" s="194">
        <v>32</v>
      </c>
      <c r="H217" s="194" t="s">
        <v>196</v>
      </c>
      <c r="I217" s="194">
        <v>31</v>
      </c>
      <c r="J217" s="194" t="s">
        <v>196</v>
      </c>
      <c r="K217" s="194">
        <v>26</v>
      </c>
      <c r="L217" s="194" t="s">
        <v>186</v>
      </c>
      <c r="M217" s="194">
        <v>0</v>
      </c>
      <c r="N217" s="194" t="s">
        <v>188</v>
      </c>
      <c r="O217" s="194">
        <v>1</v>
      </c>
      <c r="P217" s="194" t="s">
        <v>197</v>
      </c>
      <c r="Q217" s="194">
        <v>3</v>
      </c>
      <c r="R217" s="194" t="s">
        <v>190</v>
      </c>
      <c r="S217" s="194">
        <v>37</v>
      </c>
      <c r="T217" s="194" t="s">
        <v>187</v>
      </c>
      <c r="U217" s="194">
        <v>37</v>
      </c>
      <c r="V217" s="194" t="s">
        <v>187</v>
      </c>
      <c r="W217" s="194">
        <v>33</v>
      </c>
      <c r="X217" s="194" t="s">
        <v>187</v>
      </c>
      <c r="Y217" s="194">
        <v>36</v>
      </c>
      <c r="Z217" s="194" t="s">
        <v>187</v>
      </c>
      <c r="AA217" s="194">
        <v>32</v>
      </c>
      <c r="AB217" s="194" t="s">
        <v>187</v>
      </c>
      <c r="AC217" s="194">
        <v>36</v>
      </c>
      <c r="AD217" s="194" t="s">
        <v>187</v>
      </c>
    </row>
    <row r="218" spans="1:30" ht="81" x14ac:dyDescent="0.3">
      <c r="A218" s="5" t="s">
        <v>182</v>
      </c>
      <c r="B218" s="4">
        <v>10809</v>
      </c>
      <c r="C218" s="4">
        <v>2</v>
      </c>
      <c r="D218" s="4" t="s">
        <v>414</v>
      </c>
      <c r="E218" s="194" t="s">
        <v>199</v>
      </c>
      <c r="F218" s="194" t="s">
        <v>200</v>
      </c>
      <c r="G218" s="194">
        <v>77</v>
      </c>
      <c r="H218" s="194" t="s">
        <v>201</v>
      </c>
      <c r="I218" s="194">
        <v>65</v>
      </c>
      <c r="J218" s="194" t="s">
        <v>202</v>
      </c>
      <c r="K218" s="194">
        <v>76</v>
      </c>
      <c r="L218" s="194" t="s">
        <v>201</v>
      </c>
      <c r="M218" s="194">
        <v>0</v>
      </c>
      <c r="N218" s="194" t="s">
        <v>188</v>
      </c>
      <c r="O218" s="194">
        <v>5</v>
      </c>
      <c r="P218" s="194" t="s">
        <v>189</v>
      </c>
      <c r="Q218" s="194">
        <v>0</v>
      </c>
      <c r="R218" s="194" t="s">
        <v>203</v>
      </c>
      <c r="S218" s="194">
        <v>85</v>
      </c>
      <c r="T218" s="5" t="s">
        <v>192</v>
      </c>
      <c r="U218" s="194">
        <v>79</v>
      </c>
      <c r="V218" s="5" t="s">
        <v>192</v>
      </c>
      <c r="W218" s="194">
        <v>81</v>
      </c>
      <c r="X218" s="5" t="s">
        <v>192</v>
      </c>
      <c r="Y218" s="194">
        <v>85</v>
      </c>
      <c r="Z218" s="5" t="s">
        <v>192</v>
      </c>
      <c r="AA218" s="194">
        <v>80</v>
      </c>
      <c r="AB218" s="5" t="s">
        <v>192</v>
      </c>
      <c r="AC218" s="194">
        <v>87</v>
      </c>
      <c r="AD218" s="5" t="s">
        <v>192</v>
      </c>
    </row>
    <row r="219" spans="1:30" ht="94.5" x14ac:dyDescent="0.3">
      <c r="A219" s="5" t="s">
        <v>182</v>
      </c>
      <c r="B219" s="4">
        <v>10810</v>
      </c>
      <c r="C219" s="4">
        <v>2</v>
      </c>
      <c r="D219" s="4" t="s">
        <v>415</v>
      </c>
      <c r="E219" s="194" t="s">
        <v>205</v>
      </c>
      <c r="F219" s="194" t="s">
        <v>206</v>
      </c>
      <c r="G219" s="194">
        <v>81</v>
      </c>
      <c r="H219" s="194" t="s">
        <v>201</v>
      </c>
      <c r="I219" s="194">
        <v>86</v>
      </c>
      <c r="J219" s="194" t="s">
        <v>201</v>
      </c>
      <c r="K219" s="194">
        <v>76</v>
      </c>
      <c r="L219" s="194" t="s">
        <v>201</v>
      </c>
      <c r="M219" s="194">
        <v>0</v>
      </c>
      <c r="N219" s="194" t="s">
        <v>188</v>
      </c>
      <c r="O219" s="194">
        <v>1</v>
      </c>
      <c r="P219" s="194" t="s">
        <v>197</v>
      </c>
      <c r="Q219" s="194">
        <v>0</v>
      </c>
      <c r="R219" s="194" t="s">
        <v>203</v>
      </c>
      <c r="S219" s="194">
        <v>37</v>
      </c>
      <c r="T219" s="194" t="s">
        <v>187</v>
      </c>
      <c r="U219" s="194">
        <v>37</v>
      </c>
      <c r="V219" s="194" t="s">
        <v>187</v>
      </c>
      <c r="W219" s="194">
        <v>33</v>
      </c>
      <c r="X219" s="194" t="s">
        <v>187</v>
      </c>
      <c r="Y219" s="194">
        <v>36</v>
      </c>
      <c r="Z219" s="194" t="s">
        <v>187</v>
      </c>
      <c r="AA219" s="194">
        <v>32</v>
      </c>
      <c r="AB219" s="194" t="s">
        <v>187</v>
      </c>
      <c r="AC219" s="194">
        <v>36</v>
      </c>
      <c r="AD219" s="194" t="s">
        <v>187</v>
      </c>
    </row>
    <row r="220" spans="1:30" ht="81" x14ac:dyDescent="0.3">
      <c r="A220" s="5" t="s">
        <v>182</v>
      </c>
      <c r="B220" s="4">
        <v>10811</v>
      </c>
      <c r="C220" s="4">
        <v>2</v>
      </c>
      <c r="D220" s="4" t="s">
        <v>416</v>
      </c>
      <c r="E220" s="194" t="s">
        <v>184</v>
      </c>
      <c r="F220" s="194" t="s">
        <v>185</v>
      </c>
      <c r="G220" s="194">
        <v>23</v>
      </c>
      <c r="H220" s="194" t="s">
        <v>186</v>
      </c>
      <c r="I220" s="194">
        <v>23</v>
      </c>
      <c r="J220" s="194" t="s">
        <v>186</v>
      </c>
      <c r="K220" s="194">
        <v>45</v>
      </c>
      <c r="L220" s="194" t="s">
        <v>187</v>
      </c>
      <c r="M220" s="194">
        <v>0</v>
      </c>
      <c r="N220" s="194" t="s">
        <v>188</v>
      </c>
      <c r="O220" s="194">
        <v>3</v>
      </c>
      <c r="P220" s="194" t="s">
        <v>189</v>
      </c>
      <c r="Q220" s="194">
        <v>3</v>
      </c>
      <c r="R220" s="194" t="s">
        <v>190</v>
      </c>
      <c r="S220" s="194">
        <v>37</v>
      </c>
      <c r="T220" s="194" t="s">
        <v>187</v>
      </c>
      <c r="U220" s="194">
        <v>58</v>
      </c>
      <c r="V220" s="194" t="s">
        <v>191</v>
      </c>
      <c r="W220" s="194">
        <v>45</v>
      </c>
      <c r="X220" s="194" t="s">
        <v>191</v>
      </c>
      <c r="Y220" s="194">
        <v>48</v>
      </c>
      <c r="Z220" s="194" t="s">
        <v>191</v>
      </c>
      <c r="AA220" s="194">
        <v>32</v>
      </c>
      <c r="AB220" s="194" t="s">
        <v>187</v>
      </c>
      <c r="AC220" s="194">
        <v>62</v>
      </c>
      <c r="AD220" s="5" t="s">
        <v>192</v>
      </c>
    </row>
    <row r="221" spans="1:30" ht="81" x14ac:dyDescent="0.3">
      <c r="A221" s="5" t="s">
        <v>182</v>
      </c>
      <c r="B221" s="4">
        <v>10812</v>
      </c>
      <c r="C221" s="4">
        <v>2</v>
      </c>
      <c r="D221" s="4" t="s">
        <v>417</v>
      </c>
      <c r="E221" s="194" t="s">
        <v>194</v>
      </c>
      <c r="F221" s="194" t="s">
        <v>195</v>
      </c>
      <c r="G221" s="194">
        <v>32</v>
      </c>
      <c r="H221" s="194" t="s">
        <v>196</v>
      </c>
      <c r="I221" s="194">
        <v>31</v>
      </c>
      <c r="J221" s="194" t="s">
        <v>196</v>
      </c>
      <c r="K221" s="194">
        <v>26</v>
      </c>
      <c r="L221" s="194" t="s">
        <v>186</v>
      </c>
      <c r="M221" s="194">
        <v>0</v>
      </c>
      <c r="N221" s="194" t="s">
        <v>188</v>
      </c>
      <c r="O221" s="194">
        <v>1</v>
      </c>
      <c r="P221" s="194" t="s">
        <v>197</v>
      </c>
      <c r="Q221" s="194">
        <v>3</v>
      </c>
      <c r="R221" s="194" t="s">
        <v>190</v>
      </c>
      <c r="S221" s="194">
        <v>37</v>
      </c>
      <c r="T221" s="194" t="s">
        <v>187</v>
      </c>
      <c r="U221" s="194">
        <v>37</v>
      </c>
      <c r="V221" s="194" t="s">
        <v>187</v>
      </c>
      <c r="W221" s="194">
        <v>33</v>
      </c>
      <c r="X221" s="194" t="s">
        <v>187</v>
      </c>
      <c r="Y221" s="194">
        <v>36</v>
      </c>
      <c r="Z221" s="194" t="s">
        <v>187</v>
      </c>
      <c r="AA221" s="194">
        <v>32</v>
      </c>
      <c r="AB221" s="194" t="s">
        <v>187</v>
      </c>
      <c r="AC221" s="194">
        <v>36</v>
      </c>
      <c r="AD221" s="194" t="s">
        <v>187</v>
      </c>
    </row>
    <row r="222" spans="1:30" ht="81" x14ac:dyDescent="0.3">
      <c r="A222" s="5" t="s">
        <v>182</v>
      </c>
      <c r="B222" s="4">
        <v>10813</v>
      </c>
      <c r="C222" s="4">
        <v>2</v>
      </c>
      <c r="D222" s="4" t="s">
        <v>418</v>
      </c>
      <c r="E222" s="194" t="s">
        <v>199</v>
      </c>
      <c r="F222" s="194" t="s">
        <v>200</v>
      </c>
      <c r="G222" s="194">
        <v>77</v>
      </c>
      <c r="H222" s="194" t="s">
        <v>201</v>
      </c>
      <c r="I222" s="194">
        <v>65</v>
      </c>
      <c r="J222" s="194" t="s">
        <v>202</v>
      </c>
      <c r="K222" s="194">
        <v>76</v>
      </c>
      <c r="L222" s="194" t="s">
        <v>201</v>
      </c>
      <c r="M222" s="194">
        <v>0</v>
      </c>
      <c r="N222" s="194" t="s">
        <v>188</v>
      </c>
      <c r="O222" s="194">
        <v>5</v>
      </c>
      <c r="P222" s="194" t="s">
        <v>189</v>
      </c>
      <c r="Q222" s="194">
        <v>0</v>
      </c>
      <c r="R222" s="194" t="s">
        <v>203</v>
      </c>
      <c r="S222" s="194">
        <v>85</v>
      </c>
      <c r="T222" s="5" t="s">
        <v>192</v>
      </c>
      <c r="U222" s="194">
        <v>79</v>
      </c>
      <c r="V222" s="5" t="s">
        <v>192</v>
      </c>
      <c r="W222" s="194">
        <v>81</v>
      </c>
      <c r="X222" s="5" t="s">
        <v>192</v>
      </c>
      <c r="Y222" s="194">
        <v>85</v>
      </c>
      <c r="Z222" s="5" t="s">
        <v>192</v>
      </c>
      <c r="AA222" s="194">
        <v>80</v>
      </c>
      <c r="AB222" s="5" t="s">
        <v>192</v>
      </c>
      <c r="AC222" s="194">
        <v>87</v>
      </c>
      <c r="AD222" s="5" t="s">
        <v>192</v>
      </c>
    </row>
    <row r="223" spans="1:30" ht="94.5" x14ac:dyDescent="0.3">
      <c r="A223" s="5" t="s">
        <v>182</v>
      </c>
      <c r="B223" s="4">
        <v>10814</v>
      </c>
      <c r="C223" s="4">
        <v>2</v>
      </c>
      <c r="D223" s="4" t="s">
        <v>419</v>
      </c>
      <c r="E223" s="194" t="s">
        <v>205</v>
      </c>
      <c r="F223" s="194" t="s">
        <v>206</v>
      </c>
      <c r="G223" s="194">
        <v>81</v>
      </c>
      <c r="H223" s="194" t="s">
        <v>201</v>
      </c>
      <c r="I223" s="194">
        <v>86</v>
      </c>
      <c r="J223" s="194" t="s">
        <v>201</v>
      </c>
      <c r="K223" s="194">
        <v>76</v>
      </c>
      <c r="L223" s="194" t="s">
        <v>201</v>
      </c>
      <c r="M223" s="194">
        <v>0</v>
      </c>
      <c r="N223" s="194" t="s">
        <v>188</v>
      </c>
      <c r="O223" s="194">
        <v>1</v>
      </c>
      <c r="P223" s="194" t="s">
        <v>197</v>
      </c>
      <c r="Q223" s="194">
        <v>0</v>
      </c>
      <c r="R223" s="194" t="s">
        <v>203</v>
      </c>
      <c r="S223" s="194">
        <v>37</v>
      </c>
      <c r="T223" s="194" t="s">
        <v>187</v>
      </c>
      <c r="U223" s="194">
        <v>37</v>
      </c>
      <c r="V223" s="194" t="s">
        <v>187</v>
      </c>
      <c r="W223" s="194">
        <v>33</v>
      </c>
      <c r="X223" s="194" t="s">
        <v>187</v>
      </c>
      <c r="Y223" s="194">
        <v>36</v>
      </c>
      <c r="Z223" s="194" t="s">
        <v>187</v>
      </c>
      <c r="AA223" s="194">
        <v>32</v>
      </c>
      <c r="AB223" s="194" t="s">
        <v>187</v>
      </c>
      <c r="AC223" s="194">
        <v>36</v>
      </c>
      <c r="AD223" s="194" t="s">
        <v>187</v>
      </c>
    </row>
    <row r="224" spans="1:30" ht="81" x14ac:dyDescent="0.3">
      <c r="A224" s="5" t="s">
        <v>182</v>
      </c>
      <c r="B224" s="4">
        <v>10816</v>
      </c>
      <c r="C224" s="4">
        <v>1</v>
      </c>
      <c r="D224" s="4" t="s">
        <v>420</v>
      </c>
      <c r="E224" s="194" t="s">
        <v>184</v>
      </c>
      <c r="F224" s="194" t="s">
        <v>185</v>
      </c>
      <c r="G224" s="194">
        <v>23</v>
      </c>
      <c r="H224" s="194" t="s">
        <v>186</v>
      </c>
      <c r="I224" s="194">
        <v>23</v>
      </c>
      <c r="J224" s="194" t="s">
        <v>186</v>
      </c>
      <c r="K224" s="194">
        <v>45</v>
      </c>
      <c r="L224" s="194" t="s">
        <v>187</v>
      </c>
      <c r="M224" s="194">
        <v>0</v>
      </c>
      <c r="N224" s="194" t="s">
        <v>188</v>
      </c>
      <c r="O224" s="194">
        <v>3</v>
      </c>
      <c r="P224" s="194" t="s">
        <v>189</v>
      </c>
      <c r="Q224" s="194">
        <v>3</v>
      </c>
      <c r="R224" s="194" t="s">
        <v>190</v>
      </c>
      <c r="S224" s="194">
        <v>37</v>
      </c>
      <c r="T224" s="194" t="s">
        <v>187</v>
      </c>
      <c r="U224" s="194">
        <v>58</v>
      </c>
      <c r="V224" s="194" t="s">
        <v>191</v>
      </c>
      <c r="W224" s="194">
        <v>45</v>
      </c>
      <c r="X224" s="194" t="s">
        <v>191</v>
      </c>
      <c r="Y224" s="194">
        <v>48</v>
      </c>
      <c r="Z224" s="194" t="s">
        <v>191</v>
      </c>
      <c r="AA224" s="194">
        <v>32</v>
      </c>
      <c r="AB224" s="194" t="s">
        <v>187</v>
      </c>
      <c r="AC224" s="194">
        <v>62</v>
      </c>
      <c r="AD224" s="5" t="s">
        <v>192</v>
      </c>
    </row>
    <row r="225" spans="1:30" ht="81" x14ac:dyDescent="0.3">
      <c r="A225" s="5" t="s">
        <v>182</v>
      </c>
      <c r="B225" s="4">
        <v>10817</v>
      </c>
      <c r="C225" s="4">
        <v>1</v>
      </c>
      <c r="D225" s="4" t="s">
        <v>421</v>
      </c>
      <c r="E225" s="194" t="s">
        <v>194</v>
      </c>
      <c r="F225" s="194" t="s">
        <v>195</v>
      </c>
      <c r="G225" s="194">
        <v>32</v>
      </c>
      <c r="H225" s="194" t="s">
        <v>196</v>
      </c>
      <c r="I225" s="194">
        <v>31</v>
      </c>
      <c r="J225" s="194" t="s">
        <v>196</v>
      </c>
      <c r="K225" s="194">
        <v>26</v>
      </c>
      <c r="L225" s="194" t="s">
        <v>186</v>
      </c>
      <c r="M225" s="194">
        <v>0</v>
      </c>
      <c r="N225" s="194" t="s">
        <v>188</v>
      </c>
      <c r="O225" s="194">
        <v>1</v>
      </c>
      <c r="P225" s="194" t="s">
        <v>197</v>
      </c>
      <c r="Q225" s="194">
        <v>3</v>
      </c>
      <c r="R225" s="194" t="s">
        <v>190</v>
      </c>
      <c r="S225" s="194">
        <v>37</v>
      </c>
      <c r="T225" s="194" t="s">
        <v>187</v>
      </c>
      <c r="U225" s="194">
        <v>37</v>
      </c>
      <c r="V225" s="194" t="s">
        <v>187</v>
      </c>
      <c r="W225" s="194">
        <v>33</v>
      </c>
      <c r="X225" s="194" t="s">
        <v>187</v>
      </c>
      <c r="Y225" s="194">
        <v>36</v>
      </c>
      <c r="Z225" s="194" t="s">
        <v>187</v>
      </c>
      <c r="AA225" s="194">
        <v>32</v>
      </c>
      <c r="AB225" s="194" t="s">
        <v>187</v>
      </c>
      <c r="AC225" s="194">
        <v>36</v>
      </c>
      <c r="AD225" s="194" t="s">
        <v>187</v>
      </c>
    </row>
    <row r="226" spans="1:30" ht="81" x14ac:dyDescent="0.3">
      <c r="A226" s="5" t="s">
        <v>182</v>
      </c>
      <c r="B226" s="4">
        <v>10818</v>
      </c>
      <c r="C226" s="4">
        <v>1</v>
      </c>
      <c r="D226" s="4" t="s">
        <v>422</v>
      </c>
      <c r="E226" s="194" t="s">
        <v>199</v>
      </c>
      <c r="F226" s="194" t="s">
        <v>200</v>
      </c>
      <c r="G226" s="194">
        <v>77</v>
      </c>
      <c r="H226" s="194" t="s">
        <v>201</v>
      </c>
      <c r="I226" s="194">
        <v>65</v>
      </c>
      <c r="J226" s="194" t="s">
        <v>202</v>
      </c>
      <c r="K226" s="194">
        <v>76</v>
      </c>
      <c r="L226" s="194" t="s">
        <v>201</v>
      </c>
      <c r="M226" s="194">
        <v>0</v>
      </c>
      <c r="N226" s="194" t="s">
        <v>188</v>
      </c>
      <c r="O226" s="194">
        <v>5</v>
      </c>
      <c r="P226" s="194" t="s">
        <v>189</v>
      </c>
      <c r="Q226" s="194">
        <v>0</v>
      </c>
      <c r="R226" s="194" t="s">
        <v>203</v>
      </c>
      <c r="S226" s="194">
        <v>85</v>
      </c>
      <c r="T226" s="5" t="s">
        <v>192</v>
      </c>
      <c r="U226" s="194">
        <v>79</v>
      </c>
      <c r="V226" s="5" t="s">
        <v>192</v>
      </c>
      <c r="W226" s="194">
        <v>81</v>
      </c>
      <c r="X226" s="5" t="s">
        <v>192</v>
      </c>
      <c r="Y226" s="194">
        <v>85</v>
      </c>
      <c r="Z226" s="5" t="s">
        <v>192</v>
      </c>
      <c r="AA226" s="194">
        <v>80</v>
      </c>
      <c r="AB226" s="5" t="s">
        <v>192</v>
      </c>
      <c r="AC226" s="194">
        <v>87</v>
      </c>
      <c r="AD226" s="5" t="s">
        <v>192</v>
      </c>
    </row>
    <row r="227" spans="1:30" ht="94.5" x14ac:dyDescent="0.3">
      <c r="A227" s="5" t="s">
        <v>182</v>
      </c>
      <c r="B227" s="4">
        <v>10819</v>
      </c>
      <c r="C227" s="4">
        <v>1</v>
      </c>
      <c r="D227" s="4" t="s">
        <v>423</v>
      </c>
      <c r="E227" s="194" t="s">
        <v>205</v>
      </c>
      <c r="F227" s="194" t="s">
        <v>206</v>
      </c>
      <c r="G227" s="194">
        <v>81</v>
      </c>
      <c r="H227" s="194" t="s">
        <v>201</v>
      </c>
      <c r="I227" s="194">
        <v>86</v>
      </c>
      <c r="J227" s="194" t="s">
        <v>201</v>
      </c>
      <c r="K227" s="194">
        <v>76</v>
      </c>
      <c r="L227" s="194" t="s">
        <v>201</v>
      </c>
      <c r="M227" s="194">
        <v>0</v>
      </c>
      <c r="N227" s="194" t="s">
        <v>188</v>
      </c>
      <c r="O227" s="194">
        <v>1</v>
      </c>
      <c r="P227" s="194" t="s">
        <v>197</v>
      </c>
      <c r="Q227" s="194">
        <v>0</v>
      </c>
      <c r="R227" s="194" t="s">
        <v>203</v>
      </c>
      <c r="S227" s="194">
        <v>37</v>
      </c>
      <c r="T227" s="194" t="s">
        <v>187</v>
      </c>
      <c r="U227" s="194">
        <v>37</v>
      </c>
      <c r="V227" s="194" t="s">
        <v>187</v>
      </c>
      <c r="W227" s="194">
        <v>33</v>
      </c>
      <c r="X227" s="194" t="s">
        <v>187</v>
      </c>
      <c r="Y227" s="194">
        <v>36</v>
      </c>
      <c r="Z227" s="194" t="s">
        <v>187</v>
      </c>
      <c r="AA227" s="194">
        <v>32</v>
      </c>
      <c r="AB227" s="194" t="s">
        <v>187</v>
      </c>
      <c r="AC227" s="194">
        <v>36</v>
      </c>
      <c r="AD227" s="194" t="s">
        <v>187</v>
      </c>
    </row>
    <row r="228" spans="1:30" ht="81" x14ac:dyDescent="0.3">
      <c r="A228" s="5" t="s">
        <v>182</v>
      </c>
      <c r="B228" s="4">
        <v>10820</v>
      </c>
      <c r="C228" s="4">
        <v>1</v>
      </c>
      <c r="D228" s="4" t="s">
        <v>424</v>
      </c>
      <c r="E228" s="194" t="s">
        <v>184</v>
      </c>
      <c r="F228" s="194" t="s">
        <v>185</v>
      </c>
      <c r="G228" s="194">
        <v>23</v>
      </c>
      <c r="H228" s="194" t="s">
        <v>186</v>
      </c>
      <c r="I228" s="194">
        <v>23</v>
      </c>
      <c r="J228" s="194" t="s">
        <v>186</v>
      </c>
      <c r="K228" s="194">
        <v>45</v>
      </c>
      <c r="L228" s="194" t="s">
        <v>187</v>
      </c>
      <c r="M228" s="194">
        <v>0</v>
      </c>
      <c r="N228" s="194" t="s">
        <v>188</v>
      </c>
      <c r="O228" s="194">
        <v>3</v>
      </c>
      <c r="P228" s="194" t="s">
        <v>189</v>
      </c>
      <c r="Q228" s="194">
        <v>3</v>
      </c>
      <c r="R228" s="194" t="s">
        <v>190</v>
      </c>
      <c r="S228" s="194">
        <v>37</v>
      </c>
      <c r="T228" s="194" t="s">
        <v>187</v>
      </c>
      <c r="U228" s="194">
        <v>58</v>
      </c>
      <c r="V228" s="194" t="s">
        <v>191</v>
      </c>
      <c r="W228" s="194">
        <v>45</v>
      </c>
      <c r="X228" s="194" t="s">
        <v>191</v>
      </c>
      <c r="Y228" s="194">
        <v>48</v>
      </c>
      <c r="Z228" s="194" t="s">
        <v>191</v>
      </c>
      <c r="AA228" s="194">
        <v>32</v>
      </c>
      <c r="AB228" s="194" t="s">
        <v>187</v>
      </c>
      <c r="AC228" s="194">
        <v>62</v>
      </c>
      <c r="AD228" s="5" t="s">
        <v>192</v>
      </c>
    </row>
    <row r="229" spans="1:30" ht="81" x14ac:dyDescent="0.3">
      <c r="A229" s="5" t="s">
        <v>182</v>
      </c>
      <c r="B229" s="4">
        <v>10821</v>
      </c>
      <c r="C229" s="4">
        <v>1</v>
      </c>
      <c r="D229" s="4" t="s">
        <v>425</v>
      </c>
      <c r="E229" s="194" t="s">
        <v>194</v>
      </c>
      <c r="F229" s="194" t="s">
        <v>195</v>
      </c>
      <c r="G229" s="194">
        <v>32</v>
      </c>
      <c r="H229" s="194" t="s">
        <v>196</v>
      </c>
      <c r="I229" s="194">
        <v>31</v>
      </c>
      <c r="J229" s="194" t="s">
        <v>196</v>
      </c>
      <c r="K229" s="194">
        <v>26</v>
      </c>
      <c r="L229" s="194" t="s">
        <v>186</v>
      </c>
      <c r="M229" s="194">
        <v>0</v>
      </c>
      <c r="N229" s="194" t="s">
        <v>188</v>
      </c>
      <c r="O229" s="194">
        <v>1</v>
      </c>
      <c r="P229" s="194" t="s">
        <v>197</v>
      </c>
      <c r="Q229" s="194">
        <v>3</v>
      </c>
      <c r="R229" s="194" t="s">
        <v>190</v>
      </c>
      <c r="S229" s="194">
        <v>37</v>
      </c>
      <c r="T229" s="194" t="s">
        <v>187</v>
      </c>
      <c r="U229" s="194">
        <v>37</v>
      </c>
      <c r="V229" s="194" t="s">
        <v>187</v>
      </c>
      <c r="W229" s="194">
        <v>33</v>
      </c>
      <c r="X229" s="194" t="s">
        <v>187</v>
      </c>
      <c r="Y229" s="194">
        <v>36</v>
      </c>
      <c r="Z229" s="194" t="s">
        <v>187</v>
      </c>
      <c r="AA229" s="194">
        <v>32</v>
      </c>
      <c r="AB229" s="194" t="s">
        <v>187</v>
      </c>
      <c r="AC229" s="194">
        <v>36</v>
      </c>
      <c r="AD229" s="194" t="s">
        <v>187</v>
      </c>
    </row>
    <row r="230" spans="1:30" ht="81" x14ac:dyDescent="0.3">
      <c r="A230" s="5" t="s">
        <v>182</v>
      </c>
      <c r="B230" s="4">
        <v>10822</v>
      </c>
      <c r="C230" s="4">
        <v>1</v>
      </c>
      <c r="D230" s="4" t="s">
        <v>426</v>
      </c>
      <c r="E230" s="194" t="s">
        <v>199</v>
      </c>
      <c r="F230" s="194" t="s">
        <v>200</v>
      </c>
      <c r="G230" s="194">
        <v>77</v>
      </c>
      <c r="H230" s="194" t="s">
        <v>201</v>
      </c>
      <c r="I230" s="194">
        <v>65</v>
      </c>
      <c r="J230" s="194" t="s">
        <v>202</v>
      </c>
      <c r="K230" s="194">
        <v>76</v>
      </c>
      <c r="L230" s="194" t="s">
        <v>201</v>
      </c>
      <c r="M230" s="194">
        <v>0</v>
      </c>
      <c r="N230" s="194" t="s">
        <v>188</v>
      </c>
      <c r="O230" s="194">
        <v>5</v>
      </c>
      <c r="P230" s="194" t="s">
        <v>189</v>
      </c>
      <c r="Q230" s="194">
        <v>0</v>
      </c>
      <c r="R230" s="194" t="s">
        <v>203</v>
      </c>
      <c r="S230" s="194">
        <v>85</v>
      </c>
      <c r="T230" s="5" t="s">
        <v>192</v>
      </c>
      <c r="U230" s="194">
        <v>79</v>
      </c>
      <c r="V230" s="5" t="s">
        <v>192</v>
      </c>
      <c r="W230" s="194">
        <v>81</v>
      </c>
      <c r="X230" s="5" t="s">
        <v>192</v>
      </c>
      <c r="Y230" s="194">
        <v>85</v>
      </c>
      <c r="Z230" s="5" t="s">
        <v>192</v>
      </c>
      <c r="AA230" s="194">
        <v>80</v>
      </c>
      <c r="AB230" s="5" t="s">
        <v>192</v>
      </c>
      <c r="AC230" s="194">
        <v>87</v>
      </c>
      <c r="AD230" s="5" t="s">
        <v>192</v>
      </c>
    </row>
    <row r="231" spans="1:30" ht="94.5" x14ac:dyDescent="0.3">
      <c r="A231" s="5" t="s">
        <v>182</v>
      </c>
      <c r="B231" s="4">
        <v>10823</v>
      </c>
      <c r="C231" s="4">
        <v>1</v>
      </c>
      <c r="D231" s="4" t="s">
        <v>427</v>
      </c>
      <c r="E231" s="194" t="s">
        <v>205</v>
      </c>
      <c r="F231" s="194" t="s">
        <v>206</v>
      </c>
      <c r="G231" s="194">
        <v>81</v>
      </c>
      <c r="H231" s="194" t="s">
        <v>201</v>
      </c>
      <c r="I231" s="194">
        <v>86</v>
      </c>
      <c r="J231" s="194" t="s">
        <v>201</v>
      </c>
      <c r="K231" s="194">
        <v>76</v>
      </c>
      <c r="L231" s="194" t="s">
        <v>201</v>
      </c>
      <c r="M231" s="194">
        <v>0</v>
      </c>
      <c r="N231" s="194" t="s">
        <v>188</v>
      </c>
      <c r="O231" s="194">
        <v>1</v>
      </c>
      <c r="P231" s="194" t="s">
        <v>197</v>
      </c>
      <c r="Q231" s="194">
        <v>0</v>
      </c>
      <c r="R231" s="194" t="s">
        <v>203</v>
      </c>
      <c r="S231" s="194">
        <v>37</v>
      </c>
      <c r="T231" s="194" t="s">
        <v>187</v>
      </c>
      <c r="U231" s="194">
        <v>37</v>
      </c>
      <c r="V231" s="194" t="s">
        <v>187</v>
      </c>
      <c r="W231" s="194">
        <v>33</v>
      </c>
      <c r="X231" s="194" t="s">
        <v>187</v>
      </c>
      <c r="Y231" s="194">
        <v>36</v>
      </c>
      <c r="Z231" s="194" t="s">
        <v>187</v>
      </c>
      <c r="AA231" s="194">
        <v>32</v>
      </c>
      <c r="AB231" s="194" t="s">
        <v>187</v>
      </c>
      <c r="AC231" s="194">
        <v>36</v>
      </c>
      <c r="AD231" s="194" t="s">
        <v>187</v>
      </c>
    </row>
    <row r="232" spans="1:30" ht="81" x14ac:dyDescent="0.3">
      <c r="A232" s="5" t="s">
        <v>182</v>
      </c>
      <c r="B232" s="4">
        <v>10824</v>
      </c>
      <c r="C232" s="4">
        <v>1</v>
      </c>
      <c r="D232" s="4" t="s">
        <v>428</v>
      </c>
      <c r="E232" s="194" t="s">
        <v>184</v>
      </c>
      <c r="F232" s="194" t="s">
        <v>185</v>
      </c>
      <c r="G232" s="194">
        <v>23</v>
      </c>
      <c r="H232" s="194" t="s">
        <v>186</v>
      </c>
      <c r="I232" s="194">
        <v>23</v>
      </c>
      <c r="J232" s="194" t="s">
        <v>186</v>
      </c>
      <c r="K232" s="194">
        <v>45</v>
      </c>
      <c r="L232" s="194" t="s">
        <v>187</v>
      </c>
      <c r="M232" s="194">
        <v>0</v>
      </c>
      <c r="N232" s="194" t="s">
        <v>188</v>
      </c>
      <c r="O232" s="194">
        <v>3</v>
      </c>
      <c r="P232" s="194" t="s">
        <v>189</v>
      </c>
      <c r="Q232" s="194">
        <v>3</v>
      </c>
      <c r="R232" s="194" t="s">
        <v>190</v>
      </c>
      <c r="S232" s="194">
        <v>37</v>
      </c>
      <c r="T232" s="194" t="s">
        <v>187</v>
      </c>
      <c r="U232" s="194">
        <v>58</v>
      </c>
      <c r="V232" s="194" t="s">
        <v>191</v>
      </c>
      <c r="W232" s="194">
        <v>45</v>
      </c>
      <c r="X232" s="194" t="s">
        <v>191</v>
      </c>
      <c r="Y232" s="194">
        <v>48</v>
      </c>
      <c r="Z232" s="194" t="s">
        <v>191</v>
      </c>
      <c r="AA232" s="194">
        <v>32</v>
      </c>
      <c r="AB232" s="194" t="s">
        <v>187</v>
      </c>
      <c r="AC232" s="194">
        <v>62</v>
      </c>
      <c r="AD232" s="5" t="s">
        <v>192</v>
      </c>
    </row>
    <row r="233" spans="1:30" ht="81" x14ac:dyDescent="0.3">
      <c r="A233" s="5" t="s">
        <v>182</v>
      </c>
      <c r="B233" s="4">
        <v>10825</v>
      </c>
      <c r="C233" s="4">
        <v>1</v>
      </c>
      <c r="D233" s="4" t="s">
        <v>429</v>
      </c>
      <c r="E233" s="194" t="s">
        <v>194</v>
      </c>
      <c r="F233" s="194" t="s">
        <v>195</v>
      </c>
      <c r="G233" s="194">
        <v>32</v>
      </c>
      <c r="H233" s="194" t="s">
        <v>196</v>
      </c>
      <c r="I233" s="194">
        <v>31</v>
      </c>
      <c r="J233" s="194" t="s">
        <v>196</v>
      </c>
      <c r="K233" s="194">
        <v>26</v>
      </c>
      <c r="L233" s="194" t="s">
        <v>186</v>
      </c>
      <c r="M233" s="194">
        <v>0</v>
      </c>
      <c r="N233" s="194" t="s">
        <v>188</v>
      </c>
      <c r="O233" s="194">
        <v>1</v>
      </c>
      <c r="P233" s="194" t="s">
        <v>197</v>
      </c>
      <c r="Q233" s="194">
        <v>3</v>
      </c>
      <c r="R233" s="194" t="s">
        <v>190</v>
      </c>
      <c r="S233" s="194">
        <v>37</v>
      </c>
      <c r="T233" s="194" t="s">
        <v>187</v>
      </c>
      <c r="U233" s="194">
        <v>37</v>
      </c>
      <c r="V233" s="194" t="s">
        <v>187</v>
      </c>
      <c r="W233" s="194">
        <v>33</v>
      </c>
      <c r="X233" s="194" t="s">
        <v>187</v>
      </c>
      <c r="Y233" s="194">
        <v>36</v>
      </c>
      <c r="Z233" s="194" t="s">
        <v>187</v>
      </c>
      <c r="AA233" s="194">
        <v>32</v>
      </c>
      <c r="AB233" s="194" t="s">
        <v>187</v>
      </c>
      <c r="AC233" s="194">
        <v>36</v>
      </c>
      <c r="AD233" s="194" t="s">
        <v>187</v>
      </c>
    </row>
    <row r="234" spans="1:30" ht="81" x14ac:dyDescent="0.3">
      <c r="A234" s="5" t="s">
        <v>182</v>
      </c>
      <c r="B234" s="4">
        <v>10826</v>
      </c>
      <c r="C234" s="4">
        <v>1</v>
      </c>
      <c r="D234" s="4" t="s">
        <v>430</v>
      </c>
      <c r="E234" s="194" t="s">
        <v>199</v>
      </c>
      <c r="F234" s="194" t="s">
        <v>200</v>
      </c>
      <c r="G234" s="194">
        <v>77</v>
      </c>
      <c r="H234" s="194" t="s">
        <v>201</v>
      </c>
      <c r="I234" s="194">
        <v>65</v>
      </c>
      <c r="J234" s="194" t="s">
        <v>202</v>
      </c>
      <c r="K234" s="194">
        <v>76</v>
      </c>
      <c r="L234" s="194" t="s">
        <v>201</v>
      </c>
      <c r="M234" s="194">
        <v>0</v>
      </c>
      <c r="N234" s="194" t="s">
        <v>188</v>
      </c>
      <c r="O234" s="194">
        <v>5</v>
      </c>
      <c r="P234" s="194" t="s">
        <v>189</v>
      </c>
      <c r="Q234" s="194">
        <v>0</v>
      </c>
      <c r="R234" s="194" t="s">
        <v>203</v>
      </c>
      <c r="S234" s="194">
        <v>85</v>
      </c>
      <c r="T234" s="5" t="s">
        <v>192</v>
      </c>
      <c r="U234" s="194">
        <v>79</v>
      </c>
      <c r="V234" s="5" t="s">
        <v>192</v>
      </c>
      <c r="W234" s="194">
        <v>81</v>
      </c>
      <c r="X234" s="5" t="s">
        <v>192</v>
      </c>
      <c r="Y234" s="194">
        <v>85</v>
      </c>
      <c r="Z234" s="5" t="s">
        <v>192</v>
      </c>
      <c r="AA234" s="194">
        <v>80</v>
      </c>
      <c r="AB234" s="5" t="s">
        <v>192</v>
      </c>
      <c r="AC234" s="194">
        <v>87</v>
      </c>
      <c r="AD234" s="5" t="s">
        <v>192</v>
      </c>
    </row>
    <row r="235" spans="1:30" ht="94.5" x14ac:dyDescent="0.3">
      <c r="A235" s="5" t="s">
        <v>182</v>
      </c>
      <c r="B235" s="4">
        <v>10827</v>
      </c>
      <c r="C235" s="4">
        <v>1</v>
      </c>
      <c r="D235" s="4" t="s">
        <v>431</v>
      </c>
      <c r="E235" s="194" t="s">
        <v>205</v>
      </c>
      <c r="F235" s="194" t="s">
        <v>206</v>
      </c>
      <c r="G235" s="194">
        <v>81</v>
      </c>
      <c r="H235" s="194" t="s">
        <v>201</v>
      </c>
      <c r="I235" s="194">
        <v>86</v>
      </c>
      <c r="J235" s="194" t="s">
        <v>201</v>
      </c>
      <c r="K235" s="194">
        <v>76</v>
      </c>
      <c r="L235" s="194" t="s">
        <v>201</v>
      </c>
      <c r="M235" s="194">
        <v>0</v>
      </c>
      <c r="N235" s="194" t="s">
        <v>188</v>
      </c>
      <c r="O235" s="194">
        <v>1</v>
      </c>
      <c r="P235" s="194" t="s">
        <v>197</v>
      </c>
      <c r="Q235" s="194">
        <v>0</v>
      </c>
      <c r="R235" s="194" t="s">
        <v>203</v>
      </c>
      <c r="S235" s="194">
        <v>37</v>
      </c>
      <c r="T235" s="194" t="s">
        <v>187</v>
      </c>
      <c r="U235" s="194">
        <v>37</v>
      </c>
      <c r="V235" s="194" t="s">
        <v>187</v>
      </c>
      <c r="W235" s="194">
        <v>33</v>
      </c>
      <c r="X235" s="194" t="s">
        <v>187</v>
      </c>
      <c r="Y235" s="194">
        <v>36</v>
      </c>
      <c r="Z235" s="194" t="s">
        <v>187</v>
      </c>
      <c r="AA235" s="194">
        <v>32</v>
      </c>
      <c r="AB235" s="194" t="s">
        <v>187</v>
      </c>
      <c r="AC235" s="194">
        <v>36</v>
      </c>
      <c r="AD235" s="194" t="s">
        <v>187</v>
      </c>
    </row>
    <row r="236" spans="1:30" ht="81" x14ac:dyDescent="0.3">
      <c r="A236" s="5" t="s">
        <v>182</v>
      </c>
      <c r="B236" s="4">
        <v>10828</v>
      </c>
      <c r="C236" s="4">
        <v>1</v>
      </c>
      <c r="D236" s="4" t="s">
        <v>432</v>
      </c>
      <c r="E236" s="194" t="s">
        <v>184</v>
      </c>
      <c r="F236" s="194" t="s">
        <v>185</v>
      </c>
      <c r="G236" s="194">
        <v>23</v>
      </c>
      <c r="H236" s="194" t="s">
        <v>186</v>
      </c>
      <c r="I236" s="194">
        <v>23</v>
      </c>
      <c r="J236" s="194" t="s">
        <v>186</v>
      </c>
      <c r="K236" s="194">
        <v>45</v>
      </c>
      <c r="L236" s="194" t="s">
        <v>187</v>
      </c>
      <c r="M236" s="194">
        <v>0</v>
      </c>
      <c r="N236" s="194" t="s">
        <v>188</v>
      </c>
      <c r="O236" s="194">
        <v>3</v>
      </c>
      <c r="P236" s="194" t="s">
        <v>189</v>
      </c>
      <c r="Q236" s="194">
        <v>3</v>
      </c>
      <c r="R236" s="194" t="s">
        <v>190</v>
      </c>
      <c r="S236" s="194">
        <v>37</v>
      </c>
      <c r="T236" s="194" t="s">
        <v>187</v>
      </c>
      <c r="U236" s="194">
        <v>58</v>
      </c>
      <c r="V236" s="194" t="s">
        <v>191</v>
      </c>
      <c r="W236" s="194">
        <v>45</v>
      </c>
      <c r="X236" s="194" t="s">
        <v>191</v>
      </c>
      <c r="Y236" s="194">
        <v>48</v>
      </c>
      <c r="Z236" s="194" t="s">
        <v>191</v>
      </c>
      <c r="AA236" s="194">
        <v>32</v>
      </c>
      <c r="AB236" s="194" t="s">
        <v>187</v>
      </c>
      <c r="AC236" s="194">
        <v>62</v>
      </c>
      <c r="AD236" s="5" t="s">
        <v>192</v>
      </c>
    </row>
    <row r="237" spans="1:30" ht="81" x14ac:dyDescent="0.3">
      <c r="A237" s="5" t="s">
        <v>182</v>
      </c>
      <c r="B237" s="4">
        <v>10829</v>
      </c>
      <c r="C237" s="4">
        <v>1</v>
      </c>
      <c r="D237" s="4" t="s">
        <v>375</v>
      </c>
      <c r="E237" s="194" t="s">
        <v>194</v>
      </c>
      <c r="F237" s="194" t="s">
        <v>195</v>
      </c>
      <c r="G237" s="194">
        <v>32</v>
      </c>
      <c r="H237" s="194" t="s">
        <v>196</v>
      </c>
      <c r="I237" s="194">
        <v>31</v>
      </c>
      <c r="J237" s="194" t="s">
        <v>196</v>
      </c>
      <c r="K237" s="194">
        <v>26</v>
      </c>
      <c r="L237" s="194" t="s">
        <v>186</v>
      </c>
      <c r="M237" s="194">
        <v>0</v>
      </c>
      <c r="N237" s="194" t="s">
        <v>188</v>
      </c>
      <c r="O237" s="194">
        <v>1</v>
      </c>
      <c r="P237" s="194" t="s">
        <v>197</v>
      </c>
      <c r="Q237" s="194">
        <v>3</v>
      </c>
      <c r="R237" s="194" t="s">
        <v>190</v>
      </c>
      <c r="S237" s="194">
        <v>37</v>
      </c>
      <c r="T237" s="194" t="s">
        <v>187</v>
      </c>
      <c r="U237" s="194">
        <v>37</v>
      </c>
      <c r="V237" s="194" t="s">
        <v>187</v>
      </c>
      <c r="W237" s="194">
        <v>33</v>
      </c>
      <c r="X237" s="194" t="s">
        <v>187</v>
      </c>
      <c r="Y237" s="194">
        <v>36</v>
      </c>
      <c r="Z237" s="194" t="s">
        <v>187</v>
      </c>
      <c r="AA237" s="194">
        <v>32</v>
      </c>
      <c r="AB237" s="194" t="s">
        <v>187</v>
      </c>
      <c r="AC237" s="194">
        <v>36</v>
      </c>
      <c r="AD237" s="194" t="s">
        <v>187</v>
      </c>
    </row>
    <row r="238" spans="1:30" ht="81" x14ac:dyDescent="0.3">
      <c r="A238" s="5" t="s">
        <v>182</v>
      </c>
      <c r="B238" s="4">
        <v>10830</v>
      </c>
      <c r="C238" s="4">
        <v>2</v>
      </c>
      <c r="D238" s="4" t="s">
        <v>198</v>
      </c>
      <c r="E238" s="194" t="s">
        <v>199</v>
      </c>
      <c r="F238" s="194" t="s">
        <v>200</v>
      </c>
      <c r="G238" s="194">
        <v>77</v>
      </c>
      <c r="H238" s="194" t="s">
        <v>201</v>
      </c>
      <c r="I238" s="194">
        <v>65</v>
      </c>
      <c r="J238" s="194" t="s">
        <v>202</v>
      </c>
      <c r="K238" s="194">
        <v>76</v>
      </c>
      <c r="L238" s="194" t="s">
        <v>201</v>
      </c>
      <c r="M238" s="194">
        <v>0</v>
      </c>
      <c r="N238" s="194" t="s">
        <v>188</v>
      </c>
      <c r="O238" s="194">
        <v>5</v>
      </c>
      <c r="P238" s="194" t="s">
        <v>189</v>
      </c>
      <c r="Q238" s="194">
        <v>0</v>
      </c>
      <c r="R238" s="194" t="s">
        <v>203</v>
      </c>
      <c r="S238" s="194">
        <v>85</v>
      </c>
      <c r="T238" s="5" t="s">
        <v>192</v>
      </c>
      <c r="U238" s="194">
        <v>79</v>
      </c>
      <c r="V238" s="5" t="s">
        <v>192</v>
      </c>
      <c r="W238" s="194">
        <v>81</v>
      </c>
      <c r="X238" s="5" t="s">
        <v>192</v>
      </c>
      <c r="Y238" s="194">
        <v>85</v>
      </c>
      <c r="Z238" s="5" t="s">
        <v>192</v>
      </c>
      <c r="AA238" s="194">
        <v>80</v>
      </c>
      <c r="AB238" s="5" t="s">
        <v>192</v>
      </c>
      <c r="AC238" s="194">
        <v>87</v>
      </c>
      <c r="AD238" s="5" t="s">
        <v>192</v>
      </c>
    </row>
    <row r="239" spans="1:30" ht="94.5" x14ac:dyDescent="0.3">
      <c r="A239" s="5" t="s">
        <v>182</v>
      </c>
      <c r="B239" s="4">
        <v>10901</v>
      </c>
      <c r="C239" s="4">
        <v>2</v>
      </c>
      <c r="D239" s="4" t="s">
        <v>433</v>
      </c>
      <c r="E239" s="194" t="s">
        <v>205</v>
      </c>
      <c r="F239" s="194" t="s">
        <v>206</v>
      </c>
      <c r="G239" s="194">
        <v>81</v>
      </c>
      <c r="H239" s="194" t="s">
        <v>201</v>
      </c>
      <c r="I239" s="194">
        <v>86</v>
      </c>
      <c r="J239" s="194" t="s">
        <v>201</v>
      </c>
      <c r="K239" s="194">
        <v>76</v>
      </c>
      <c r="L239" s="194" t="s">
        <v>201</v>
      </c>
      <c r="M239" s="194">
        <v>0</v>
      </c>
      <c r="N239" s="194" t="s">
        <v>188</v>
      </c>
      <c r="O239" s="194">
        <v>1</v>
      </c>
      <c r="P239" s="194" t="s">
        <v>197</v>
      </c>
      <c r="Q239" s="194">
        <v>0</v>
      </c>
      <c r="R239" s="194" t="s">
        <v>203</v>
      </c>
      <c r="S239" s="194">
        <v>37</v>
      </c>
      <c r="T239" s="194" t="s">
        <v>187</v>
      </c>
      <c r="U239" s="194">
        <v>37</v>
      </c>
      <c r="V239" s="194" t="s">
        <v>187</v>
      </c>
      <c r="W239" s="194">
        <v>33</v>
      </c>
      <c r="X239" s="194" t="s">
        <v>187</v>
      </c>
      <c r="Y239" s="194">
        <v>36</v>
      </c>
      <c r="Z239" s="194" t="s">
        <v>187</v>
      </c>
      <c r="AA239" s="194">
        <v>32</v>
      </c>
      <c r="AB239" s="194" t="s">
        <v>187</v>
      </c>
      <c r="AC239" s="194">
        <v>36</v>
      </c>
      <c r="AD239" s="194" t="s">
        <v>187</v>
      </c>
    </row>
    <row r="240" spans="1:30" ht="81" x14ac:dyDescent="0.3">
      <c r="A240" s="5" t="s">
        <v>182</v>
      </c>
      <c r="B240" s="4">
        <v>10902</v>
      </c>
      <c r="C240" s="4">
        <v>2</v>
      </c>
      <c r="D240" s="4" t="s">
        <v>434</v>
      </c>
      <c r="E240" s="194" t="s">
        <v>184</v>
      </c>
      <c r="F240" s="194" t="s">
        <v>185</v>
      </c>
      <c r="G240" s="194">
        <v>23</v>
      </c>
      <c r="H240" s="194" t="s">
        <v>186</v>
      </c>
      <c r="I240" s="194">
        <v>23</v>
      </c>
      <c r="J240" s="194" t="s">
        <v>186</v>
      </c>
      <c r="K240" s="194">
        <v>45</v>
      </c>
      <c r="L240" s="194" t="s">
        <v>187</v>
      </c>
      <c r="M240" s="194">
        <v>0</v>
      </c>
      <c r="N240" s="194" t="s">
        <v>188</v>
      </c>
      <c r="O240" s="194">
        <v>3</v>
      </c>
      <c r="P240" s="194" t="s">
        <v>189</v>
      </c>
      <c r="Q240" s="194">
        <v>3</v>
      </c>
      <c r="R240" s="194" t="s">
        <v>190</v>
      </c>
      <c r="S240" s="194">
        <v>37</v>
      </c>
      <c r="T240" s="194" t="s">
        <v>187</v>
      </c>
      <c r="U240" s="194">
        <v>58</v>
      </c>
      <c r="V240" s="194" t="s">
        <v>191</v>
      </c>
      <c r="W240" s="194">
        <v>45</v>
      </c>
      <c r="X240" s="194" t="s">
        <v>191</v>
      </c>
      <c r="Y240" s="194">
        <v>48</v>
      </c>
      <c r="Z240" s="194" t="s">
        <v>191</v>
      </c>
      <c r="AA240" s="194">
        <v>32</v>
      </c>
      <c r="AB240" s="194" t="s">
        <v>187</v>
      </c>
      <c r="AC240" s="194">
        <v>62</v>
      </c>
      <c r="AD240" s="5" t="s">
        <v>192</v>
      </c>
    </row>
    <row r="241" spans="1:30" ht="81" x14ac:dyDescent="0.3">
      <c r="A241" s="5" t="s">
        <v>182</v>
      </c>
      <c r="B241" s="4">
        <v>10903</v>
      </c>
      <c r="C241" s="4">
        <v>2</v>
      </c>
      <c r="D241" s="4" t="s">
        <v>435</v>
      </c>
      <c r="E241" s="194" t="s">
        <v>194</v>
      </c>
      <c r="F241" s="194" t="s">
        <v>195</v>
      </c>
      <c r="G241" s="194">
        <v>32</v>
      </c>
      <c r="H241" s="194" t="s">
        <v>196</v>
      </c>
      <c r="I241" s="194">
        <v>31</v>
      </c>
      <c r="J241" s="194" t="s">
        <v>196</v>
      </c>
      <c r="K241" s="194">
        <v>26</v>
      </c>
      <c r="L241" s="194" t="s">
        <v>186</v>
      </c>
      <c r="M241" s="194">
        <v>0</v>
      </c>
      <c r="N241" s="194" t="s">
        <v>188</v>
      </c>
      <c r="O241" s="194">
        <v>1</v>
      </c>
      <c r="P241" s="194" t="s">
        <v>197</v>
      </c>
      <c r="Q241" s="194">
        <v>3</v>
      </c>
      <c r="R241" s="194" t="s">
        <v>190</v>
      </c>
      <c r="S241" s="194">
        <v>37</v>
      </c>
      <c r="T241" s="194" t="s">
        <v>187</v>
      </c>
      <c r="U241" s="194">
        <v>37</v>
      </c>
      <c r="V241" s="194" t="s">
        <v>187</v>
      </c>
      <c r="W241" s="194">
        <v>33</v>
      </c>
      <c r="X241" s="194" t="s">
        <v>187</v>
      </c>
      <c r="Y241" s="194">
        <v>36</v>
      </c>
      <c r="Z241" s="194" t="s">
        <v>187</v>
      </c>
      <c r="AA241" s="194">
        <v>32</v>
      </c>
      <c r="AB241" s="194" t="s">
        <v>187</v>
      </c>
      <c r="AC241" s="194">
        <v>36</v>
      </c>
      <c r="AD241" s="194" t="s">
        <v>187</v>
      </c>
    </row>
    <row r="242" spans="1:30" ht="81" x14ac:dyDescent="0.3">
      <c r="A242" s="5" t="s">
        <v>182</v>
      </c>
      <c r="B242" s="4">
        <v>10904</v>
      </c>
      <c r="C242" s="4">
        <v>2</v>
      </c>
      <c r="D242" s="4" t="s">
        <v>436</v>
      </c>
      <c r="E242" s="194" t="s">
        <v>199</v>
      </c>
      <c r="F242" s="194" t="s">
        <v>200</v>
      </c>
      <c r="G242" s="194">
        <v>77</v>
      </c>
      <c r="H242" s="194" t="s">
        <v>201</v>
      </c>
      <c r="I242" s="194">
        <v>65</v>
      </c>
      <c r="J242" s="194" t="s">
        <v>202</v>
      </c>
      <c r="K242" s="194">
        <v>76</v>
      </c>
      <c r="L242" s="194" t="s">
        <v>201</v>
      </c>
      <c r="M242" s="194">
        <v>0</v>
      </c>
      <c r="N242" s="194" t="s">
        <v>188</v>
      </c>
      <c r="O242" s="194">
        <v>5</v>
      </c>
      <c r="P242" s="194" t="s">
        <v>189</v>
      </c>
      <c r="Q242" s="194">
        <v>0</v>
      </c>
      <c r="R242" s="194" t="s">
        <v>203</v>
      </c>
      <c r="S242" s="194">
        <v>85</v>
      </c>
      <c r="T242" s="5" t="s">
        <v>192</v>
      </c>
      <c r="U242" s="194">
        <v>79</v>
      </c>
      <c r="V242" s="5" t="s">
        <v>192</v>
      </c>
      <c r="W242" s="194">
        <v>81</v>
      </c>
      <c r="X242" s="5" t="s">
        <v>192</v>
      </c>
      <c r="Y242" s="194">
        <v>85</v>
      </c>
      <c r="Z242" s="5" t="s">
        <v>192</v>
      </c>
      <c r="AA242" s="194">
        <v>80</v>
      </c>
      <c r="AB242" s="5" t="s">
        <v>192</v>
      </c>
      <c r="AC242" s="194">
        <v>87</v>
      </c>
      <c r="AD242" s="5" t="s">
        <v>192</v>
      </c>
    </row>
    <row r="243" spans="1:30" ht="94.5" x14ac:dyDescent="0.3">
      <c r="A243" s="5" t="s">
        <v>182</v>
      </c>
      <c r="B243" s="4">
        <v>10905</v>
      </c>
      <c r="C243" s="4">
        <v>2</v>
      </c>
      <c r="D243" s="4" t="s">
        <v>437</v>
      </c>
      <c r="E243" s="194" t="s">
        <v>205</v>
      </c>
      <c r="F243" s="194" t="s">
        <v>206</v>
      </c>
      <c r="G243" s="194">
        <v>81</v>
      </c>
      <c r="H243" s="194" t="s">
        <v>201</v>
      </c>
      <c r="I243" s="194">
        <v>86</v>
      </c>
      <c r="J243" s="194" t="s">
        <v>201</v>
      </c>
      <c r="K243" s="194">
        <v>76</v>
      </c>
      <c r="L243" s="194" t="s">
        <v>201</v>
      </c>
      <c r="M243" s="194">
        <v>0</v>
      </c>
      <c r="N243" s="194" t="s">
        <v>188</v>
      </c>
      <c r="O243" s="194">
        <v>1</v>
      </c>
      <c r="P243" s="194" t="s">
        <v>197</v>
      </c>
      <c r="Q243" s="194">
        <v>0</v>
      </c>
      <c r="R243" s="194" t="s">
        <v>203</v>
      </c>
      <c r="S243" s="194">
        <v>37</v>
      </c>
      <c r="T243" s="194" t="s">
        <v>187</v>
      </c>
      <c r="U243" s="194">
        <v>37</v>
      </c>
      <c r="V243" s="194" t="s">
        <v>187</v>
      </c>
      <c r="W243" s="194">
        <v>33</v>
      </c>
      <c r="X243" s="194" t="s">
        <v>187</v>
      </c>
      <c r="Y243" s="194">
        <v>36</v>
      </c>
      <c r="Z243" s="194" t="s">
        <v>187</v>
      </c>
      <c r="AA243" s="194">
        <v>32</v>
      </c>
      <c r="AB243" s="194" t="s">
        <v>187</v>
      </c>
      <c r="AC243" s="194">
        <v>36</v>
      </c>
      <c r="AD243" s="194" t="s">
        <v>187</v>
      </c>
    </row>
    <row r="244" spans="1:30" ht="81" x14ac:dyDescent="0.3">
      <c r="A244" s="5" t="s">
        <v>182</v>
      </c>
      <c r="B244" s="4">
        <v>10906</v>
      </c>
      <c r="C244" s="4">
        <v>2</v>
      </c>
      <c r="D244" s="4" t="s">
        <v>438</v>
      </c>
      <c r="E244" s="194" t="s">
        <v>184</v>
      </c>
      <c r="F244" s="194" t="s">
        <v>185</v>
      </c>
      <c r="G244" s="194">
        <v>23</v>
      </c>
      <c r="H244" s="194" t="s">
        <v>186</v>
      </c>
      <c r="I244" s="194">
        <v>23</v>
      </c>
      <c r="J244" s="194" t="s">
        <v>186</v>
      </c>
      <c r="K244" s="194">
        <v>45</v>
      </c>
      <c r="L244" s="194" t="s">
        <v>187</v>
      </c>
      <c r="M244" s="194">
        <v>0</v>
      </c>
      <c r="N244" s="194" t="s">
        <v>188</v>
      </c>
      <c r="O244" s="194">
        <v>3</v>
      </c>
      <c r="P244" s="194" t="s">
        <v>189</v>
      </c>
      <c r="Q244" s="194">
        <v>3</v>
      </c>
      <c r="R244" s="194" t="s">
        <v>190</v>
      </c>
      <c r="S244" s="194">
        <v>37</v>
      </c>
      <c r="T244" s="194" t="s">
        <v>187</v>
      </c>
      <c r="U244" s="194">
        <v>58</v>
      </c>
      <c r="V244" s="194" t="s">
        <v>191</v>
      </c>
      <c r="W244" s="194">
        <v>45</v>
      </c>
      <c r="X244" s="194" t="s">
        <v>191</v>
      </c>
      <c r="Y244" s="194">
        <v>48</v>
      </c>
      <c r="Z244" s="194" t="s">
        <v>191</v>
      </c>
      <c r="AA244" s="194">
        <v>32</v>
      </c>
      <c r="AB244" s="194" t="s">
        <v>187</v>
      </c>
      <c r="AC244" s="194">
        <v>62</v>
      </c>
      <c r="AD244" s="5" t="s">
        <v>192</v>
      </c>
    </row>
    <row r="245" spans="1:30" ht="81" x14ac:dyDescent="0.3">
      <c r="A245" s="5" t="s">
        <v>182</v>
      </c>
      <c r="B245" s="4">
        <v>10907</v>
      </c>
      <c r="C245" s="4">
        <v>2</v>
      </c>
      <c r="D245" s="4" t="s">
        <v>439</v>
      </c>
      <c r="E245" s="194" t="s">
        <v>194</v>
      </c>
      <c r="F245" s="194" t="s">
        <v>195</v>
      </c>
      <c r="G245" s="194">
        <v>32</v>
      </c>
      <c r="H245" s="194" t="s">
        <v>196</v>
      </c>
      <c r="I245" s="194">
        <v>31</v>
      </c>
      <c r="J245" s="194" t="s">
        <v>196</v>
      </c>
      <c r="K245" s="194">
        <v>26</v>
      </c>
      <c r="L245" s="194" t="s">
        <v>186</v>
      </c>
      <c r="M245" s="194">
        <v>0</v>
      </c>
      <c r="N245" s="194" t="s">
        <v>188</v>
      </c>
      <c r="O245" s="194">
        <v>1</v>
      </c>
      <c r="P245" s="194" t="s">
        <v>197</v>
      </c>
      <c r="Q245" s="194">
        <v>3</v>
      </c>
      <c r="R245" s="194" t="s">
        <v>190</v>
      </c>
      <c r="S245" s="194">
        <v>37</v>
      </c>
      <c r="T245" s="194" t="s">
        <v>187</v>
      </c>
      <c r="U245" s="194">
        <v>37</v>
      </c>
      <c r="V245" s="194" t="s">
        <v>187</v>
      </c>
      <c r="W245" s="194">
        <v>33</v>
      </c>
      <c r="X245" s="194" t="s">
        <v>187</v>
      </c>
      <c r="Y245" s="194">
        <v>36</v>
      </c>
      <c r="Z245" s="194" t="s">
        <v>187</v>
      </c>
      <c r="AA245" s="194">
        <v>32</v>
      </c>
      <c r="AB245" s="194" t="s">
        <v>187</v>
      </c>
      <c r="AC245" s="194">
        <v>36</v>
      </c>
      <c r="AD245" s="194" t="s">
        <v>187</v>
      </c>
    </row>
    <row r="246" spans="1:30" ht="81" x14ac:dyDescent="0.3">
      <c r="A246" s="5" t="s">
        <v>182</v>
      </c>
      <c r="B246" s="4">
        <v>10908</v>
      </c>
      <c r="C246" s="4">
        <v>2</v>
      </c>
      <c r="D246" s="4" t="s">
        <v>440</v>
      </c>
      <c r="E246" s="194" t="s">
        <v>199</v>
      </c>
      <c r="F246" s="194" t="s">
        <v>200</v>
      </c>
      <c r="G246" s="194">
        <v>77</v>
      </c>
      <c r="H246" s="194" t="s">
        <v>201</v>
      </c>
      <c r="I246" s="194">
        <v>65</v>
      </c>
      <c r="J246" s="194" t="s">
        <v>202</v>
      </c>
      <c r="K246" s="194">
        <v>76</v>
      </c>
      <c r="L246" s="194" t="s">
        <v>201</v>
      </c>
      <c r="M246" s="194">
        <v>0</v>
      </c>
      <c r="N246" s="194" t="s">
        <v>188</v>
      </c>
      <c r="O246" s="194">
        <v>5</v>
      </c>
      <c r="P246" s="194" t="s">
        <v>189</v>
      </c>
      <c r="Q246" s="194">
        <v>0</v>
      </c>
      <c r="R246" s="194" t="s">
        <v>203</v>
      </c>
      <c r="S246" s="194">
        <v>85</v>
      </c>
      <c r="T246" s="5" t="s">
        <v>192</v>
      </c>
      <c r="U246" s="194">
        <v>79</v>
      </c>
      <c r="V246" s="5" t="s">
        <v>192</v>
      </c>
      <c r="W246" s="194">
        <v>81</v>
      </c>
      <c r="X246" s="5" t="s">
        <v>192</v>
      </c>
      <c r="Y246" s="194">
        <v>85</v>
      </c>
      <c r="Z246" s="5" t="s">
        <v>192</v>
      </c>
      <c r="AA246" s="194">
        <v>80</v>
      </c>
      <c r="AB246" s="5" t="s">
        <v>192</v>
      </c>
      <c r="AC246" s="194">
        <v>87</v>
      </c>
      <c r="AD246" s="5" t="s">
        <v>192</v>
      </c>
    </row>
    <row r="247" spans="1:30" ht="94.5" x14ac:dyDescent="0.3">
      <c r="A247" s="5" t="s">
        <v>182</v>
      </c>
      <c r="B247" s="4">
        <v>10909</v>
      </c>
      <c r="C247" s="4">
        <v>2</v>
      </c>
      <c r="D247" s="4" t="s">
        <v>441</v>
      </c>
      <c r="E247" s="194" t="s">
        <v>205</v>
      </c>
      <c r="F247" s="194" t="s">
        <v>206</v>
      </c>
      <c r="G247" s="194">
        <v>81</v>
      </c>
      <c r="H247" s="194" t="s">
        <v>201</v>
      </c>
      <c r="I247" s="194">
        <v>86</v>
      </c>
      <c r="J247" s="194" t="s">
        <v>201</v>
      </c>
      <c r="K247" s="194">
        <v>76</v>
      </c>
      <c r="L247" s="194" t="s">
        <v>201</v>
      </c>
      <c r="M247" s="194">
        <v>0</v>
      </c>
      <c r="N247" s="194" t="s">
        <v>188</v>
      </c>
      <c r="O247" s="194">
        <v>1</v>
      </c>
      <c r="P247" s="194" t="s">
        <v>197</v>
      </c>
      <c r="Q247" s="194">
        <v>0</v>
      </c>
      <c r="R247" s="194" t="s">
        <v>203</v>
      </c>
      <c r="S247" s="194">
        <v>37</v>
      </c>
      <c r="T247" s="194" t="s">
        <v>187</v>
      </c>
      <c r="U247" s="194">
        <v>37</v>
      </c>
      <c r="V247" s="194" t="s">
        <v>187</v>
      </c>
      <c r="W247" s="194">
        <v>33</v>
      </c>
      <c r="X247" s="194" t="s">
        <v>187</v>
      </c>
      <c r="Y247" s="194">
        <v>36</v>
      </c>
      <c r="Z247" s="194" t="s">
        <v>187</v>
      </c>
      <c r="AA247" s="194">
        <v>32</v>
      </c>
      <c r="AB247" s="194" t="s">
        <v>187</v>
      </c>
      <c r="AC247" s="194">
        <v>36</v>
      </c>
      <c r="AD247" s="194" t="s">
        <v>187</v>
      </c>
    </row>
    <row r="248" spans="1:30" ht="81" x14ac:dyDescent="0.3">
      <c r="A248" s="5" t="s">
        <v>182</v>
      </c>
      <c r="B248" s="4">
        <v>10910</v>
      </c>
      <c r="C248" s="4">
        <v>2</v>
      </c>
      <c r="D248" s="4" t="s">
        <v>442</v>
      </c>
      <c r="E248" s="194" t="s">
        <v>184</v>
      </c>
      <c r="F248" s="194" t="s">
        <v>185</v>
      </c>
      <c r="G248" s="194">
        <v>23</v>
      </c>
      <c r="H248" s="194" t="s">
        <v>186</v>
      </c>
      <c r="I248" s="194">
        <v>23</v>
      </c>
      <c r="J248" s="194" t="s">
        <v>186</v>
      </c>
      <c r="K248" s="194">
        <v>45</v>
      </c>
      <c r="L248" s="194" t="s">
        <v>187</v>
      </c>
      <c r="M248" s="194">
        <v>0</v>
      </c>
      <c r="N248" s="194" t="s">
        <v>188</v>
      </c>
      <c r="O248" s="194">
        <v>3</v>
      </c>
      <c r="P248" s="194" t="s">
        <v>189</v>
      </c>
      <c r="Q248" s="194">
        <v>3</v>
      </c>
      <c r="R248" s="194" t="s">
        <v>190</v>
      </c>
      <c r="S248" s="194">
        <v>37</v>
      </c>
      <c r="T248" s="194" t="s">
        <v>187</v>
      </c>
      <c r="U248" s="194">
        <v>58</v>
      </c>
      <c r="V248" s="194" t="s">
        <v>191</v>
      </c>
      <c r="W248" s="194">
        <v>45</v>
      </c>
      <c r="X248" s="194" t="s">
        <v>191</v>
      </c>
      <c r="Y248" s="194">
        <v>48</v>
      </c>
      <c r="Z248" s="194" t="s">
        <v>191</v>
      </c>
      <c r="AA248" s="194">
        <v>32</v>
      </c>
      <c r="AB248" s="194" t="s">
        <v>187</v>
      </c>
      <c r="AC248" s="194">
        <v>62</v>
      </c>
      <c r="AD248" s="5" t="s">
        <v>192</v>
      </c>
    </row>
    <row r="249" spans="1:30" ht="81" x14ac:dyDescent="0.3">
      <c r="A249" s="5" t="s">
        <v>182</v>
      </c>
      <c r="B249" s="4">
        <v>10911</v>
      </c>
      <c r="C249" s="4">
        <v>2</v>
      </c>
      <c r="D249" s="4" t="s">
        <v>443</v>
      </c>
      <c r="E249" s="194" t="s">
        <v>194</v>
      </c>
      <c r="F249" s="194" t="s">
        <v>195</v>
      </c>
      <c r="G249" s="194">
        <v>32</v>
      </c>
      <c r="H249" s="194" t="s">
        <v>196</v>
      </c>
      <c r="I249" s="194">
        <v>31</v>
      </c>
      <c r="J249" s="194" t="s">
        <v>196</v>
      </c>
      <c r="K249" s="194">
        <v>26</v>
      </c>
      <c r="L249" s="194" t="s">
        <v>186</v>
      </c>
      <c r="M249" s="194">
        <v>0</v>
      </c>
      <c r="N249" s="194" t="s">
        <v>188</v>
      </c>
      <c r="O249" s="194">
        <v>1</v>
      </c>
      <c r="P249" s="194" t="s">
        <v>197</v>
      </c>
      <c r="Q249" s="194">
        <v>3</v>
      </c>
      <c r="R249" s="194" t="s">
        <v>190</v>
      </c>
      <c r="S249" s="194">
        <v>37</v>
      </c>
      <c r="T249" s="194" t="s">
        <v>187</v>
      </c>
      <c r="U249" s="194">
        <v>37</v>
      </c>
      <c r="V249" s="194" t="s">
        <v>187</v>
      </c>
      <c r="W249" s="194">
        <v>33</v>
      </c>
      <c r="X249" s="194" t="s">
        <v>187</v>
      </c>
      <c r="Y249" s="194">
        <v>36</v>
      </c>
      <c r="Z249" s="194" t="s">
        <v>187</v>
      </c>
      <c r="AA249" s="194">
        <v>32</v>
      </c>
      <c r="AB249" s="194" t="s">
        <v>187</v>
      </c>
      <c r="AC249" s="194">
        <v>36</v>
      </c>
      <c r="AD249" s="194" t="s">
        <v>187</v>
      </c>
    </row>
    <row r="250" spans="1:30" ht="81" x14ac:dyDescent="0.3">
      <c r="A250" s="5" t="s">
        <v>182</v>
      </c>
      <c r="B250" s="4">
        <v>10912</v>
      </c>
      <c r="C250" s="4">
        <v>2</v>
      </c>
      <c r="D250" s="4" t="s">
        <v>444</v>
      </c>
      <c r="E250" s="194" t="s">
        <v>199</v>
      </c>
      <c r="F250" s="194" t="s">
        <v>200</v>
      </c>
      <c r="G250" s="194">
        <v>77</v>
      </c>
      <c r="H250" s="194" t="s">
        <v>201</v>
      </c>
      <c r="I250" s="194">
        <v>65</v>
      </c>
      <c r="J250" s="194" t="s">
        <v>202</v>
      </c>
      <c r="K250" s="194">
        <v>76</v>
      </c>
      <c r="L250" s="194" t="s">
        <v>201</v>
      </c>
      <c r="M250" s="194">
        <v>0</v>
      </c>
      <c r="N250" s="194" t="s">
        <v>188</v>
      </c>
      <c r="O250" s="194">
        <v>5</v>
      </c>
      <c r="P250" s="194" t="s">
        <v>189</v>
      </c>
      <c r="Q250" s="194">
        <v>0</v>
      </c>
      <c r="R250" s="194" t="s">
        <v>203</v>
      </c>
      <c r="S250" s="194">
        <v>85</v>
      </c>
      <c r="T250" s="5" t="s">
        <v>192</v>
      </c>
      <c r="U250" s="194">
        <v>79</v>
      </c>
      <c r="V250" s="5" t="s">
        <v>192</v>
      </c>
      <c r="W250" s="194">
        <v>81</v>
      </c>
      <c r="X250" s="5" t="s">
        <v>192</v>
      </c>
      <c r="Y250" s="194">
        <v>85</v>
      </c>
      <c r="Z250" s="5" t="s">
        <v>192</v>
      </c>
      <c r="AA250" s="194">
        <v>80</v>
      </c>
      <c r="AB250" s="5" t="s">
        <v>192</v>
      </c>
      <c r="AC250" s="194">
        <v>87</v>
      </c>
      <c r="AD250" s="5" t="s">
        <v>192</v>
      </c>
    </row>
    <row r="251" spans="1:30" ht="94.5" x14ac:dyDescent="0.3">
      <c r="A251" s="5" t="s">
        <v>182</v>
      </c>
      <c r="B251" s="4">
        <v>10913</v>
      </c>
      <c r="C251" s="4">
        <v>2</v>
      </c>
      <c r="D251" s="4" t="s">
        <v>445</v>
      </c>
      <c r="E251" s="194" t="s">
        <v>205</v>
      </c>
      <c r="F251" s="194" t="s">
        <v>206</v>
      </c>
      <c r="G251" s="194">
        <v>81</v>
      </c>
      <c r="H251" s="194" t="s">
        <v>201</v>
      </c>
      <c r="I251" s="194">
        <v>86</v>
      </c>
      <c r="J251" s="194" t="s">
        <v>201</v>
      </c>
      <c r="K251" s="194">
        <v>76</v>
      </c>
      <c r="L251" s="194" t="s">
        <v>201</v>
      </c>
      <c r="M251" s="194">
        <v>0</v>
      </c>
      <c r="N251" s="194" t="s">
        <v>188</v>
      </c>
      <c r="O251" s="194">
        <v>1</v>
      </c>
      <c r="P251" s="194" t="s">
        <v>197</v>
      </c>
      <c r="Q251" s="194">
        <v>0</v>
      </c>
      <c r="R251" s="194" t="s">
        <v>203</v>
      </c>
      <c r="S251" s="194">
        <v>37</v>
      </c>
      <c r="T251" s="194" t="s">
        <v>187</v>
      </c>
      <c r="U251" s="194">
        <v>37</v>
      </c>
      <c r="V251" s="194" t="s">
        <v>187</v>
      </c>
      <c r="W251" s="194">
        <v>33</v>
      </c>
      <c r="X251" s="194" t="s">
        <v>187</v>
      </c>
      <c r="Y251" s="194">
        <v>36</v>
      </c>
      <c r="Z251" s="194" t="s">
        <v>187</v>
      </c>
      <c r="AA251" s="194">
        <v>32</v>
      </c>
      <c r="AB251" s="194" t="s">
        <v>187</v>
      </c>
      <c r="AC251" s="194">
        <v>36</v>
      </c>
      <c r="AD251" s="194" t="s">
        <v>187</v>
      </c>
    </row>
    <row r="252" spans="1:30" ht="81" x14ac:dyDescent="0.3">
      <c r="A252" s="5" t="s">
        <v>182</v>
      </c>
      <c r="B252" s="4">
        <v>10914</v>
      </c>
      <c r="C252" s="4">
        <v>2</v>
      </c>
      <c r="D252" s="4" t="s">
        <v>446</v>
      </c>
      <c r="E252" s="194" t="s">
        <v>184</v>
      </c>
      <c r="F252" s="194" t="s">
        <v>185</v>
      </c>
      <c r="G252" s="194">
        <v>23</v>
      </c>
      <c r="H252" s="194" t="s">
        <v>186</v>
      </c>
      <c r="I252" s="194">
        <v>23</v>
      </c>
      <c r="J252" s="194" t="s">
        <v>186</v>
      </c>
      <c r="K252" s="194">
        <v>45</v>
      </c>
      <c r="L252" s="194" t="s">
        <v>187</v>
      </c>
      <c r="M252" s="194">
        <v>0</v>
      </c>
      <c r="N252" s="194" t="s">
        <v>188</v>
      </c>
      <c r="O252" s="194">
        <v>3</v>
      </c>
      <c r="P252" s="194" t="s">
        <v>189</v>
      </c>
      <c r="Q252" s="194">
        <v>3</v>
      </c>
      <c r="R252" s="194" t="s">
        <v>190</v>
      </c>
      <c r="S252" s="194">
        <v>37</v>
      </c>
      <c r="T252" s="194" t="s">
        <v>187</v>
      </c>
      <c r="U252" s="194">
        <v>58</v>
      </c>
      <c r="V252" s="194" t="s">
        <v>191</v>
      </c>
      <c r="W252" s="194">
        <v>45</v>
      </c>
      <c r="X252" s="194" t="s">
        <v>191</v>
      </c>
      <c r="Y252" s="194">
        <v>48</v>
      </c>
      <c r="Z252" s="194" t="s">
        <v>191</v>
      </c>
      <c r="AA252" s="194">
        <v>32</v>
      </c>
      <c r="AB252" s="194" t="s">
        <v>187</v>
      </c>
      <c r="AC252" s="194">
        <v>62</v>
      </c>
      <c r="AD252" s="5" t="s">
        <v>192</v>
      </c>
    </row>
    <row r="253" spans="1:30" ht="81" x14ac:dyDescent="0.3">
      <c r="A253" s="5" t="s">
        <v>182</v>
      </c>
      <c r="B253" s="4">
        <v>10915</v>
      </c>
      <c r="C253" s="4">
        <v>2</v>
      </c>
      <c r="D253" s="4" t="s">
        <v>447</v>
      </c>
      <c r="E253" s="194" t="s">
        <v>194</v>
      </c>
      <c r="F253" s="194" t="s">
        <v>195</v>
      </c>
      <c r="G253" s="194">
        <v>32</v>
      </c>
      <c r="H253" s="194" t="s">
        <v>196</v>
      </c>
      <c r="I253" s="194">
        <v>31</v>
      </c>
      <c r="J253" s="194" t="s">
        <v>196</v>
      </c>
      <c r="K253" s="194">
        <v>26</v>
      </c>
      <c r="L253" s="194" t="s">
        <v>186</v>
      </c>
      <c r="M253" s="194">
        <v>0</v>
      </c>
      <c r="N253" s="194" t="s">
        <v>188</v>
      </c>
      <c r="O253" s="194">
        <v>1</v>
      </c>
      <c r="P253" s="194" t="s">
        <v>197</v>
      </c>
      <c r="Q253" s="194">
        <v>3</v>
      </c>
      <c r="R253" s="194" t="s">
        <v>190</v>
      </c>
      <c r="S253" s="194">
        <v>37</v>
      </c>
      <c r="T253" s="194" t="s">
        <v>187</v>
      </c>
      <c r="U253" s="194">
        <v>37</v>
      </c>
      <c r="V253" s="194" t="s">
        <v>187</v>
      </c>
      <c r="W253" s="194">
        <v>33</v>
      </c>
      <c r="X253" s="194" t="s">
        <v>187</v>
      </c>
      <c r="Y253" s="194">
        <v>36</v>
      </c>
      <c r="Z253" s="194" t="s">
        <v>187</v>
      </c>
      <c r="AA253" s="194">
        <v>32</v>
      </c>
      <c r="AB253" s="194" t="s">
        <v>187</v>
      </c>
      <c r="AC253" s="194">
        <v>36</v>
      </c>
      <c r="AD253" s="194" t="s">
        <v>187</v>
      </c>
    </row>
    <row r="254" spans="1:30" ht="81" x14ac:dyDescent="0.3">
      <c r="A254" s="5" t="s">
        <v>182</v>
      </c>
      <c r="B254" s="4">
        <v>10917</v>
      </c>
      <c r="C254" s="4">
        <v>1</v>
      </c>
      <c r="D254" s="4" t="s">
        <v>448</v>
      </c>
      <c r="E254" s="194" t="s">
        <v>199</v>
      </c>
      <c r="F254" s="194" t="s">
        <v>200</v>
      </c>
      <c r="G254" s="194">
        <v>77</v>
      </c>
      <c r="H254" s="194" t="s">
        <v>201</v>
      </c>
      <c r="I254" s="194">
        <v>65</v>
      </c>
      <c r="J254" s="194" t="s">
        <v>202</v>
      </c>
      <c r="K254" s="194">
        <v>76</v>
      </c>
      <c r="L254" s="194" t="s">
        <v>201</v>
      </c>
      <c r="M254" s="194">
        <v>0</v>
      </c>
      <c r="N254" s="194" t="s">
        <v>188</v>
      </c>
      <c r="O254" s="194">
        <v>5</v>
      </c>
      <c r="P254" s="194" t="s">
        <v>189</v>
      </c>
      <c r="Q254" s="194">
        <v>0</v>
      </c>
      <c r="R254" s="194" t="s">
        <v>203</v>
      </c>
      <c r="S254" s="194">
        <v>85</v>
      </c>
      <c r="T254" s="5" t="s">
        <v>192</v>
      </c>
      <c r="U254" s="194">
        <v>79</v>
      </c>
      <c r="V254" s="5" t="s">
        <v>192</v>
      </c>
      <c r="W254" s="194">
        <v>81</v>
      </c>
      <c r="X254" s="5" t="s">
        <v>192</v>
      </c>
      <c r="Y254" s="194">
        <v>85</v>
      </c>
      <c r="Z254" s="5" t="s">
        <v>192</v>
      </c>
      <c r="AA254" s="194">
        <v>80</v>
      </c>
      <c r="AB254" s="5" t="s">
        <v>192</v>
      </c>
      <c r="AC254" s="194">
        <v>87</v>
      </c>
      <c r="AD254" s="5" t="s">
        <v>192</v>
      </c>
    </row>
    <row r="255" spans="1:30" ht="94.5" x14ac:dyDescent="0.3">
      <c r="A255" s="5" t="s">
        <v>182</v>
      </c>
      <c r="B255" s="4">
        <v>10918</v>
      </c>
      <c r="C255" s="4">
        <v>1</v>
      </c>
      <c r="D255" s="4" t="s">
        <v>449</v>
      </c>
      <c r="E255" s="194" t="s">
        <v>205</v>
      </c>
      <c r="F255" s="194" t="s">
        <v>206</v>
      </c>
      <c r="G255" s="194">
        <v>81</v>
      </c>
      <c r="H255" s="194" t="s">
        <v>201</v>
      </c>
      <c r="I255" s="194">
        <v>86</v>
      </c>
      <c r="J255" s="194" t="s">
        <v>201</v>
      </c>
      <c r="K255" s="194">
        <v>76</v>
      </c>
      <c r="L255" s="194" t="s">
        <v>201</v>
      </c>
      <c r="M255" s="194">
        <v>0</v>
      </c>
      <c r="N255" s="194" t="s">
        <v>188</v>
      </c>
      <c r="O255" s="194">
        <v>1</v>
      </c>
      <c r="P255" s="194" t="s">
        <v>197</v>
      </c>
      <c r="Q255" s="194">
        <v>0</v>
      </c>
      <c r="R255" s="194" t="s">
        <v>203</v>
      </c>
      <c r="S255" s="194">
        <v>37</v>
      </c>
      <c r="T255" s="194" t="s">
        <v>187</v>
      </c>
      <c r="U255" s="194">
        <v>37</v>
      </c>
      <c r="V255" s="194" t="s">
        <v>187</v>
      </c>
      <c r="W255" s="194">
        <v>33</v>
      </c>
      <c r="X255" s="194" t="s">
        <v>187</v>
      </c>
      <c r="Y255" s="194">
        <v>36</v>
      </c>
      <c r="Z255" s="194" t="s">
        <v>187</v>
      </c>
      <c r="AA255" s="194">
        <v>32</v>
      </c>
      <c r="AB255" s="194" t="s">
        <v>187</v>
      </c>
      <c r="AC255" s="194">
        <v>36</v>
      </c>
      <c r="AD255" s="194" t="s">
        <v>187</v>
      </c>
    </row>
    <row r="256" spans="1:30" ht="81" x14ac:dyDescent="0.3">
      <c r="A256" s="5" t="s">
        <v>182</v>
      </c>
      <c r="B256" s="4">
        <v>10919</v>
      </c>
      <c r="C256" s="4">
        <v>1</v>
      </c>
      <c r="D256" s="4" t="s">
        <v>450</v>
      </c>
      <c r="E256" s="194" t="s">
        <v>184</v>
      </c>
      <c r="F256" s="194" t="s">
        <v>185</v>
      </c>
      <c r="G256" s="194">
        <v>23</v>
      </c>
      <c r="H256" s="194" t="s">
        <v>186</v>
      </c>
      <c r="I256" s="194">
        <v>23</v>
      </c>
      <c r="J256" s="194" t="s">
        <v>186</v>
      </c>
      <c r="K256" s="194">
        <v>45</v>
      </c>
      <c r="L256" s="194" t="s">
        <v>187</v>
      </c>
      <c r="M256" s="194">
        <v>0</v>
      </c>
      <c r="N256" s="194" t="s">
        <v>188</v>
      </c>
      <c r="O256" s="194">
        <v>3</v>
      </c>
      <c r="P256" s="194" t="s">
        <v>189</v>
      </c>
      <c r="Q256" s="194">
        <v>3</v>
      </c>
      <c r="R256" s="194" t="s">
        <v>190</v>
      </c>
      <c r="S256" s="194">
        <v>37</v>
      </c>
      <c r="T256" s="194" t="s">
        <v>187</v>
      </c>
      <c r="U256" s="194">
        <v>58</v>
      </c>
      <c r="V256" s="194" t="s">
        <v>191</v>
      </c>
      <c r="W256" s="194">
        <v>45</v>
      </c>
      <c r="X256" s="194" t="s">
        <v>191</v>
      </c>
      <c r="Y256" s="194">
        <v>48</v>
      </c>
      <c r="Z256" s="194" t="s">
        <v>191</v>
      </c>
      <c r="AA256" s="194">
        <v>32</v>
      </c>
      <c r="AB256" s="194" t="s">
        <v>187</v>
      </c>
      <c r="AC256" s="194">
        <v>62</v>
      </c>
      <c r="AD256" s="5" t="s">
        <v>192</v>
      </c>
    </row>
    <row r="257" spans="1:30" ht="81" x14ac:dyDescent="0.3">
      <c r="A257" s="5" t="s">
        <v>182</v>
      </c>
      <c r="B257" s="4">
        <v>10920</v>
      </c>
      <c r="C257" s="4">
        <v>1</v>
      </c>
      <c r="D257" s="4" t="s">
        <v>451</v>
      </c>
      <c r="E257" s="194" t="s">
        <v>194</v>
      </c>
      <c r="F257" s="194" t="s">
        <v>195</v>
      </c>
      <c r="G257" s="194">
        <v>32</v>
      </c>
      <c r="H257" s="194" t="s">
        <v>196</v>
      </c>
      <c r="I257" s="194">
        <v>31</v>
      </c>
      <c r="J257" s="194" t="s">
        <v>196</v>
      </c>
      <c r="K257" s="194">
        <v>26</v>
      </c>
      <c r="L257" s="194" t="s">
        <v>186</v>
      </c>
      <c r="M257" s="194">
        <v>0</v>
      </c>
      <c r="N257" s="194" t="s">
        <v>188</v>
      </c>
      <c r="O257" s="194">
        <v>1</v>
      </c>
      <c r="P257" s="194" t="s">
        <v>197</v>
      </c>
      <c r="Q257" s="194">
        <v>3</v>
      </c>
      <c r="R257" s="194" t="s">
        <v>190</v>
      </c>
      <c r="S257" s="194">
        <v>37</v>
      </c>
      <c r="T257" s="194" t="s">
        <v>187</v>
      </c>
      <c r="U257" s="194">
        <v>37</v>
      </c>
      <c r="V257" s="194" t="s">
        <v>187</v>
      </c>
      <c r="W257" s="194">
        <v>33</v>
      </c>
      <c r="X257" s="194" t="s">
        <v>187</v>
      </c>
      <c r="Y257" s="194">
        <v>36</v>
      </c>
      <c r="Z257" s="194" t="s">
        <v>187</v>
      </c>
      <c r="AA257" s="194">
        <v>32</v>
      </c>
      <c r="AB257" s="194" t="s">
        <v>187</v>
      </c>
      <c r="AC257" s="194">
        <v>36</v>
      </c>
      <c r="AD257" s="194" t="s">
        <v>187</v>
      </c>
    </row>
    <row r="258" spans="1:30" ht="81" x14ac:dyDescent="0.3">
      <c r="A258" s="5" t="s">
        <v>182</v>
      </c>
      <c r="B258" s="4">
        <v>10921</v>
      </c>
      <c r="C258" s="4">
        <v>1</v>
      </c>
      <c r="D258" s="4" t="s">
        <v>452</v>
      </c>
      <c r="E258" s="194" t="s">
        <v>199</v>
      </c>
      <c r="F258" s="194" t="s">
        <v>200</v>
      </c>
      <c r="G258" s="194">
        <v>77</v>
      </c>
      <c r="H258" s="194" t="s">
        <v>201</v>
      </c>
      <c r="I258" s="194">
        <v>65</v>
      </c>
      <c r="J258" s="194" t="s">
        <v>202</v>
      </c>
      <c r="K258" s="194">
        <v>76</v>
      </c>
      <c r="L258" s="194" t="s">
        <v>201</v>
      </c>
      <c r="M258" s="194">
        <v>0</v>
      </c>
      <c r="N258" s="194" t="s">
        <v>188</v>
      </c>
      <c r="O258" s="194">
        <v>5</v>
      </c>
      <c r="P258" s="194" t="s">
        <v>189</v>
      </c>
      <c r="Q258" s="194">
        <v>0</v>
      </c>
      <c r="R258" s="194" t="s">
        <v>203</v>
      </c>
      <c r="S258" s="194">
        <v>85</v>
      </c>
      <c r="T258" s="5" t="s">
        <v>192</v>
      </c>
      <c r="U258" s="194">
        <v>79</v>
      </c>
      <c r="V258" s="5" t="s">
        <v>192</v>
      </c>
      <c r="W258" s="194">
        <v>81</v>
      </c>
      <c r="X258" s="5" t="s">
        <v>192</v>
      </c>
      <c r="Y258" s="194">
        <v>85</v>
      </c>
      <c r="Z258" s="5" t="s">
        <v>192</v>
      </c>
      <c r="AA258" s="194">
        <v>80</v>
      </c>
      <c r="AB258" s="5" t="s">
        <v>192</v>
      </c>
      <c r="AC258" s="194">
        <v>87</v>
      </c>
      <c r="AD258" s="5" t="s">
        <v>192</v>
      </c>
    </row>
    <row r="259" spans="1:30" ht="94.5" x14ac:dyDescent="0.3">
      <c r="A259" s="5" t="s">
        <v>182</v>
      </c>
      <c r="B259" s="4">
        <v>10922</v>
      </c>
      <c r="C259" s="4">
        <v>1</v>
      </c>
      <c r="D259" s="4" t="s">
        <v>453</v>
      </c>
      <c r="E259" s="194" t="s">
        <v>205</v>
      </c>
      <c r="F259" s="194" t="s">
        <v>206</v>
      </c>
      <c r="G259" s="194">
        <v>81</v>
      </c>
      <c r="H259" s="194" t="s">
        <v>201</v>
      </c>
      <c r="I259" s="194">
        <v>86</v>
      </c>
      <c r="J259" s="194" t="s">
        <v>201</v>
      </c>
      <c r="K259" s="194">
        <v>76</v>
      </c>
      <c r="L259" s="194" t="s">
        <v>201</v>
      </c>
      <c r="M259" s="194">
        <v>0</v>
      </c>
      <c r="N259" s="194" t="s">
        <v>188</v>
      </c>
      <c r="O259" s="194">
        <v>1</v>
      </c>
      <c r="P259" s="194" t="s">
        <v>197</v>
      </c>
      <c r="Q259" s="194">
        <v>0</v>
      </c>
      <c r="R259" s="194" t="s">
        <v>203</v>
      </c>
      <c r="S259" s="194">
        <v>37</v>
      </c>
      <c r="T259" s="194" t="s">
        <v>187</v>
      </c>
      <c r="U259" s="194">
        <v>37</v>
      </c>
      <c r="V259" s="194" t="s">
        <v>187</v>
      </c>
      <c r="W259" s="194">
        <v>33</v>
      </c>
      <c r="X259" s="194" t="s">
        <v>187</v>
      </c>
      <c r="Y259" s="194">
        <v>36</v>
      </c>
      <c r="Z259" s="194" t="s">
        <v>187</v>
      </c>
      <c r="AA259" s="194">
        <v>32</v>
      </c>
      <c r="AB259" s="194" t="s">
        <v>187</v>
      </c>
      <c r="AC259" s="194">
        <v>36</v>
      </c>
      <c r="AD259" s="194" t="s">
        <v>187</v>
      </c>
    </row>
    <row r="260" spans="1:30" ht="81" x14ac:dyDescent="0.3">
      <c r="A260" s="5" t="s">
        <v>182</v>
      </c>
      <c r="B260" s="4">
        <v>10923</v>
      </c>
      <c r="C260" s="4">
        <v>1</v>
      </c>
      <c r="D260" s="4" t="s">
        <v>454</v>
      </c>
      <c r="E260" s="194" t="s">
        <v>184</v>
      </c>
      <c r="F260" s="194" t="s">
        <v>185</v>
      </c>
      <c r="G260" s="194">
        <v>23</v>
      </c>
      <c r="H260" s="194" t="s">
        <v>186</v>
      </c>
      <c r="I260" s="194">
        <v>23</v>
      </c>
      <c r="J260" s="194" t="s">
        <v>186</v>
      </c>
      <c r="K260" s="194">
        <v>45</v>
      </c>
      <c r="L260" s="194" t="s">
        <v>187</v>
      </c>
      <c r="M260" s="194">
        <v>0</v>
      </c>
      <c r="N260" s="194" t="s">
        <v>188</v>
      </c>
      <c r="O260" s="194">
        <v>3</v>
      </c>
      <c r="P260" s="194" t="s">
        <v>189</v>
      </c>
      <c r="Q260" s="194">
        <v>3</v>
      </c>
      <c r="R260" s="194" t="s">
        <v>190</v>
      </c>
      <c r="S260" s="194">
        <v>37</v>
      </c>
      <c r="T260" s="194" t="s">
        <v>187</v>
      </c>
      <c r="U260" s="194">
        <v>58</v>
      </c>
      <c r="V260" s="194" t="s">
        <v>191</v>
      </c>
      <c r="W260" s="194">
        <v>45</v>
      </c>
      <c r="X260" s="194" t="s">
        <v>191</v>
      </c>
      <c r="Y260" s="194">
        <v>48</v>
      </c>
      <c r="Z260" s="194" t="s">
        <v>191</v>
      </c>
      <c r="AA260" s="194">
        <v>32</v>
      </c>
      <c r="AB260" s="194" t="s">
        <v>187</v>
      </c>
      <c r="AC260" s="194">
        <v>62</v>
      </c>
      <c r="AD260" s="5" t="s">
        <v>192</v>
      </c>
    </row>
    <row r="261" spans="1:30" ht="81" x14ac:dyDescent="0.3">
      <c r="A261" s="5" t="s">
        <v>182</v>
      </c>
      <c r="B261" s="4">
        <v>10924</v>
      </c>
      <c r="C261" s="4">
        <v>1</v>
      </c>
      <c r="D261" s="4" t="s">
        <v>455</v>
      </c>
      <c r="E261" s="194" t="s">
        <v>194</v>
      </c>
      <c r="F261" s="194" t="s">
        <v>195</v>
      </c>
      <c r="G261" s="194">
        <v>32</v>
      </c>
      <c r="H261" s="194" t="s">
        <v>196</v>
      </c>
      <c r="I261" s="194">
        <v>31</v>
      </c>
      <c r="J261" s="194" t="s">
        <v>196</v>
      </c>
      <c r="K261" s="194">
        <v>26</v>
      </c>
      <c r="L261" s="194" t="s">
        <v>186</v>
      </c>
      <c r="M261" s="194">
        <v>0</v>
      </c>
      <c r="N261" s="194" t="s">
        <v>188</v>
      </c>
      <c r="O261" s="194">
        <v>1</v>
      </c>
      <c r="P261" s="194" t="s">
        <v>197</v>
      </c>
      <c r="Q261" s="194">
        <v>3</v>
      </c>
      <c r="R261" s="194" t="s">
        <v>190</v>
      </c>
      <c r="S261" s="194">
        <v>37</v>
      </c>
      <c r="T261" s="194" t="s">
        <v>187</v>
      </c>
      <c r="U261" s="194">
        <v>37</v>
      </c>
      <c r="V261" s="194" t="s">
        <v>187</v>
      </c>
      <c r="W261" s="194">
        <v>33</v>
      </c>
      <c r="X261" s="194" t="s">
        <v>187</v>
      </c>
      <c r="Y261" s="194">
        <v>36</v>
      </c>
      <c r="Z261" s="194" t="s">
        <v>187</v>
      </c>
      <c r="AA261" s="194">
        <v>32</v>
      </c>
      <c r="AB261" s="194" t="s">
        <v>187</v>
      </c>
      <c r="AC261" s="194">
        <v>36</v>
      </c>
      <c r="AD261" s="194" t="s">
        <v>187</v>
      </c>
    </row>
    <row r="262" spans="1:30" ht="81" x14ac:dyDescent="0.3">
      <c r="A262" s="5" t="s">
        <v>182</v>
      </c>
      <c r="B262" s="4">
        <v>10925</v>
      </c>
      <c r="C262" s="4">
        <v>1</v>
      </c>
      <c r="D262" s="4" t="s">
        <v>456</v>
      </c>
      <c r="E262" s="194" t="s">
        <v>199</v>
      </c>
      <c r="F262" s="194" t="s">
        <v>200</v>
      </c>
      <c r="G262" s="194">
        <v>77</v>
      </c>
      <c r="H262" s="194" t="s">
        <v>201</v>
      </c>
      <c r="I262" s="194">
        <v>65</v>
      </c>
      <c r="J262" s="194" t="s">
        <v>202</v>
      </c>
      <c r="K262" s="194">
        <v>76</v>
      </c>
      <c r="L262" s="194" t="s">
        <v>201</v>
      </c>
      <c r="M262" s="194">
        <v>0</v>
      </c>
      <c r="N262" s="194" t="s">
        <v>188</v>
      </c>
      <c r="O262" s="194">
        <v>5</v>
      </c>
      <c r="P262" s="194" t="s">
        <v>189</v>
      </c>
      <c r="Q262" s="194">
        <v>0</v>
      </c>
      <c r="R262" s="194" t="s">
        <v>203</v>
      </c>
      <c r="S262" s="194">
        <v>85</v>
      </c>
      <c r="T262" s="5" t="s">
        <v>192</v>
      </c>
      <c r="U262" s="194">
        <v>79</v>
      </c>
      <c r="V262" s="5" t="s">
        <v>192</v>
      </c>
      <c r="W262" s="194">
        <v>81</v>
      </c>
      <c r="X262" s="5" t="s">
        <v>192</v>
      </c>
      <c r="Y262" s="194">
        <v>85</v>
      </c>
      <c r="Z262" s="5" t="s">
        <v>192</v>
      </c>
      <c r="AA262" s="194">
        <v>80</v>
      </c>
      <c r="AB262" s="5" t="s">
        <v>192</v>
      </c>
      <c r="AC262" s="194">
        <v>87</v>
      </c>
      <c r="AD262" s="5" t="s">
        <v>192</v>
      </c>
    </row>
    <row r="263" spans="1:30" ht="94.5" x14ac:dyDescent="0.3">
      <c r="A263" s="5" t="s">
        <v>182</v>
      </c>
      <c r="B263" s="4">
        <v>10926</v>
      </c>
      <c r="C263" s="4">
        <v>1</v>
      </c>
      <c r="D263" s="4" t="s">
        <v>457</v>
      </c>
      <c r="E263" s="194" t="s">
        <v>205</v>
      </c>
      <c r="F263" s="194" t="s">
        <v>206</v>
      </c>
      <c r="G263" s="194">
        <v>81</v>
      </c>
      <c r="H263" s="194" t="s">
        <v>201</v>
      </c>
      <c r="I263" s="194">
        <v>86</v>
      </c>
      <c r="J263" s="194" t="s">
        <v>201</v>
      </c>
      <c r="K263" s="194">
        <v>76</v>
      </c>
      <c r="L263" s="194" t="s">
        <v>201</v>
      </c>
      <c r="M263" s="194">
        <v>0</v>
      </c>
      <c r="N263" s="194" t="s">
        <v>188</v>
      </c>
      <c r="O263" s="194">
        <v>1</v>
      </c>
      <c r="P263" s="194" t="s">
        <v>197</v>
      </c>
      <c r="Q263" s="194">
        <v>0</v>
      </c>
      <c r="R263" s="194" t="s">
        <v>203</v>
      </c>
      <c r="S263" s="194">
        <v>37</v>
      </c>
      <c r="T263" s="194" t="s">
        <v>187</v>
      </c>
      <c r="U263" s="194">
        <v>37</v>
      </c>
      <c r="V263" s="194" t="s">
        <v>187</v>
      </c>
      <c r="W263" s="194">
        <v>33</v>
      </c>
      <c r="X263" s="194" t="s">
        <v>187</v>
      </c>
      <c r="Y263" s="194">
        <v>36</v>
      </c>
      <c r="Z263" s="194" t="s">
        <v>187</v>
      </c>
      <c r="AA263" s="194">
        <v>32</v>
      </c>
      <c r="AB263" s="194" t="s">
        <v>187</v>
      </c>
      <c r="AC263" s="194">
        <v>36</v>
      </c>
      <c r="AD263" s="194" t="s">
        <v>187</v>
      </c>
    </row>
    <row r="264" spans="1:30" ht="81" x14ac:dyDescent="0.3">
      <c r="A264" s="5" t="s">
        <v>182</v>
      </c>
      <c r="B264" s="4">
        <v>10927</v>
      </c>
      <c r="C264" s="4">
        <v>1</v>
      </c>
      <c r="D264" s="4" t="s">
        <v>458</v>
      </c>
      <c r="E264" s="194" t="s">
        <v>184</v>
      </c>
      <c r="F264" s="194" t="s">
        <v>185</v>
      </c>
      <c r="G264" s="194">
        <v>23</v>
      </c>
      <c r="H264" s="194" t="s">
        <v>186</v>
      </c>
      <c r="I264" s="194">
        <v>23</v>
      </c>
      <c r="J264" s="194" t="s">
        <v>186</v>
      </c>
      <c r="K264" s="194">
        <v>45</v>
      </c>
      <c r="L264" s="194" t="s">
        <v>187</v>
      </c>
      <c r="M264" s="194">
        <v>0</v>
      </c>
      <c r="N264" s="194" t="s">
        <v>188</v>
      </c>
      <c r="O264" s="194">
        <v>3</v>
      </c>
      <c r="P264" s="194" t="s">
        <v>189</v>
      </c>
      <c r="Q264" s="194">
        <v>3</v>
      </c>
      <c r="R264" s="194" t="s">
        <v>190</v>
      </c>
      <c r="S264" s="194">
        <v>37</v>
      </c>
      <c r="T264" s="194" t="s">
        <v>187</v>
      </c>
      <c r="U264" s="194">
        <v>58</v>
      </c>
      <c r="V264" s="194" t="s">
        <v>191</v>
      </c>
      <c r="W264" s="194">
        <v>45</v>
      </c>
      <c r="X264" s="194" t="s">
        <v>191</v>
      </c>
      <c r="Y264" s="194">
        <v>48</v>
      </c>
      <c r="Z264" s="194" t="s">
        <v>191</v>
      </c>
      <c r="AA264" s="194">
        <v>32</v>
      </c>
      <c r="AB264" s="194" t="s">
        <v>187</v>
      </c>
      <c r="AC264" s="194">
        <v>62</v>
      </c>
      <c r="AD264" s="5" t="s">
        <v>192</v>
      </c>
    </row>
    <row r="265" spans="1:30" ht="81" x14ac:dyDescent="0.3">
      <c r="A265" s="5" t="s">
        <v>182</v>
      </c>
      <c r="B265" s="4">
        <v>10928</v>
      </c>
      <c r="C265" s="4">
        <v>1</v>
      </c>
      <c r="D265" s="4" t="s">
        <v>459</v>
      </c>
      <c r="E265" s="194" t="s">
        <v>194</v>
      </c>
      <c r="F265" s="194" t="s">
        <v>195</v>
      </c>
      <c r="G265" s="194">
        <v>32</v>
      </c>
      <c r="H265" s="194" t="s">
        <v>196</v>
      </c>
      <c r="I265" s="194">
        <v>31</v>
      </c>
      <c r="J265" s="194" t="s">
        <v>196</v>
      </c>
      <c r="K265" s="194">
        <v>26</v>
      </c>
      <c r="L265" s="194" t="s">
        <v>186</v>
      </c>
      <c r="M265" s="194">
        <v>0</v>
      </c>
      <c r="N265" s="194" t="s">
        <v>188</v>
      </c>
      <c r="O265" s="194">
        <v>1</v>
      </c>
      <c r="P265" s="194" t="s">
        <v>197</v>
      </c>
      <c r="Q265" s="194">
        <v>3</v>
      </c>
      <c r="R265" s="194" t="s">
        <v>190</v>
      </c>
      <c r="S265" s="194">
        <v>37</v>
      </c>
      <c r="T265" s="194" t="s">
        <v>187</v>
      </c>
      <c r="U265" s="194">
        <v>37</v>
      </c>
      <c r="V265" s="194" t="s">
        <v>187</v>
      </c>
      <c r="W265" s="194">
        <v>33</v>
      </c>
      <c r="X265" s="194" t="s">
        <v>187</v>
      </c>
      <c r="Y265" s="194">
        <v>36</v>
      </c>
      <c r="Z265" s="194" t="s">
        <v>187</v>
      </c>
      <c r="AA265" s="194">
        <v>32</v>
      </c>
      <c r="AB265" s="194" t="s">
        <v>187</v>
      </c>
      <c r="AC265" s="194">
        <v>36</v>
      </c>
      <c r="AD265" s="194" t="s">
        <v>187</v>
      </c>
    </row>
    <row r="266" spans="1:30" ht="81" x14ac:dyDescent="0.3">
      <c r="A266" s="5" t="s">
        <v>182</v>
      </c>
      <c r="B266" s="4">
        <v>10929</v>
      </c>
      <c r="C266" s="4">
        <v>1</v>
      </c>
      <c r="D266" s="4" t="s">
        <v>256</v>
      </c>
      <c r="E266" s="194" t="s">
        <v>199</v>
      </c>
      <c r="F266" s="194" t="s">
        <v>200</v>
      </c>
      <c r="G266" s="194">
        <v>77</v>
      </c>
      <c r="H266" s="194" t="s">
        <v>201</v>
      </c>
      <c r="I266" s="194">
        <v>65</v>
      </c>
      <c r="J266" s="194" t="s">
        <v>202</v>
      </c>
      <c r="K266" s="194">
        <v>76</v>
      </c>
      <c r="L266" s="194" t="s">
        <v>201</v>
      </c>
      <c r="M266" s="194">
        <v>0</v>
      </c>
      <c r="N266" s="194" t="s">
        <v>188</v>
      </c>
      <c r="O266" s="194">
        <v>5</v>
      </c>
      <c r="P266" s="194" t="s">
        <v>189</v>
      </c>
      <c r="Q266" s="194">
        <v>0</v>
      </c>
      <c r="R266" s="194" t="s">
        <v>203</v>
      </c>
      <c r="S266" s="194">
        <v>85</v>
      </c>
      <c r="T266" s="5" t="s">
        <v>192</v>
      </c>
      <c r="U266" s="194">
        <v>79</v>
      </c>
      <c r="V266" s="5" t="s">
        <v>192</v>
      </c>
      <c r="W266" s="194">
        <v>81</v>
      </c>
      <c r="X266" s="5" t="s">
        <v>192</v>
      </c>
      <c r="Y266" s="194">
        <v>85</v>
      </c>
      <c r="Z266" s="5" t="s">
        <v>192</v>
      </c>
      <c r="AA266" s="194">
        <v>80</v>
      </c>
      <c r="AB266" s="5" t="s">
        <v>192</v>
      </c>
      <c r="AC266" s="194">
        <v>87</v>
      </c>
      <c r="AD266" s="5" t="s">
        <v>192</v>
      </c>
    </row>
    <row r="267" spans="1:30" ht="94.5" x14ac:dyDescent="0.3">
      <c r="A267" s="5" t="s">
        <v>182</v>
      </c>
      <c r="B267" s="4">
        <v>10930</v>
      </c>
      <c r="C267" s="4">
        <v>1</v>
      </c>
      <c r="D267" s="4" t="s">
        <v>460</v>
      </c>
      <c r="E267" s="194" t="s">
        <v>205</v>
      </c>
      <c r="F267" s="194" t="s">
        <v>206</v>
      </c>
      <c r="G267" s="194">
        <v>81</v>
      </c>
      <c r="H267" s="194" t="s">
        <v>201</v>
      </c>
      <c r="I267" s="194">
        <v>86</v>
      </c>
      <c r="J267" s="194" t="s">
        <v>201</v>
      </c>
      <c r="K267" s="194">
        <v>76</v>
      </c>
      <c r="L267" s="194" t="s">
        <v>201</v>
      </c>
      <c r="M267" s="194">
        <v>0</v>
      </c>
      <c r="N267" s="194" t="s">
        <v>188</v>
      </c>
      <c r="O267" s="194">
        <v>1</v>
      </c>
      <c r="P267" s="194" t="s">
        <v>197</v>
      </c>
      <c r="Q267" s="194">
        <v>0</v>
      </c>
      <c r="R267" s="194" t="s">
        <v>203</v>
      </c>
      <c r="S267" s="194">
        <v>37</v>
      </c>
      <c r="T267" s="194" t="s">
        <v>187</v>
      </c>
      <c r="U267" s="194">
        <v>37</v>
      </c>
      <c r="V267" s="194" t="s">
        <v>187</v>
      </c>
      <c r="W267" s="194">
        <v>33</v>
      </c>
      <c r="X267" s="194" t="s">
        <v>187</v>
      </c>
      <c r="Y267" s="194">
        <v>36</v>
      </c>
      <c r="Z267" s="194" t="s">
        <v>187</v>
      </c>
      <c r="AA267" s="194">
        <v>32</v>
      </c>
      <c r="AB267" s="194" t="s">
        <v>187</v>
      </c>
      <c r="AC267" s="194">
        <v>36</v>
      </c>
      <c r="AD267" s="194" t="s">
        <v>187</v>
      </c>
    </row>
    <row r="268" spans="1:30" ht="81" x14ac:dyDescent="0.3">
      <c r="A268" s="5" t="s">
        <v>182</v>
      </c>
      <c r="B268" s="4">
        <v>10931</v>
      </c>
      <c r="C268" s="4">
        <v>2</v>
      </c>
      <c r="D268" s="4" t="s">
        <v>461</v>
      </c>
      <c r="E268" s="194" t="s">
        <v>184</v>
      </c>
      <c r="F268" s="194" t="s">
        <v>185</v>
      </c>
      <c r="G268" s="194">
        <v>23</v>
      </c>
      <c r="H268" s="194" t="s">
        <v>186</v>
      </c>
      <c r="I268" s="194">
        <v>23</v>
      </c>
      <c r="J268" s="194" t="s">
        <v>186</v>
      </c>
      <c r="K268" s="194">
        <v>45</v>
      </c>
      <c r="L268" s="194" t="s">
        <v>187</v>
      </c>
      <c r="M268" s="194">
        <v>0</v>
      </c>
      <c r="N268" s="194" t="s">
        <v>188</v>
      </c>
      <c r="O268" s="194">
        <v>3</v>
      </c>
      <c r="P268" s="194" t="s">
        <v>189</v>
      </c>
      <c r="Q268" s="194">
        <v>3</v>
      </c>
      <c r="R268" s="194" t="s">
        <v>190</v>
      </c>
      <c r="S268" s="194">
        <v>37</v>
      </c>
      <c r="T268" s="194" t="s">
        <v>187</v>
      </c>
      <c r="U268" s="194">
        <v>58</v>
      </c>
      <c r="V268" s="194" t="s">
        <v>191</v>
      </c>
      <c r="W268" s="194">
        <v>45</v>
      </c>
      <c r="X268" s="194" t="s">
        <v>191</v>
      </c>
      <c r="Y268" s="194">
        <v>48</v>
      </c>
      <c r="Z268" s="194" t="s">
        <v>191</v>
      </c>
      <c r="AA268" s="194">
        <v>32</v>
      </c>
      <c r="AB268" s="194" t="s">
        <v>187</v>
      </c>
      <c r="AC268" s="194">
        <v>62</v>
      </c>
      <c r="AD268" s="5" t="s">
        <v>192</v>
      </c>
    </row>
    <row r="269" spans="1:30" ht="81" x14ac:dyDescent="0.3">
      <c r="A269" s="5" t="s">
        <v>182</v>
      </c>
      <c r="B269" s="4">
        <v>11001</v>
      </c>
      <c r="C269" s="4">
        <v>2</v>
      </c>
      <c r="D269" s="4" t="s">
        <v>462</v>
      </c>
      <c r="E269" s="194" t="s">
        <v>194</v>
      </c>
      <c r="F269" s="194" t="s">
        <v>195</v>
      </c>
      <c r="G269" s="194">
        <v>32</v>
      </c>
      <c r="H269" s="194" t="s">
        <v>196</v>
      </c>
      <c r="I269" s="194">
        <v>31</v>
      </c>
      <c r="J269" s="194" t="s">
        <v>196</v>
      </c>
      <c r="K269" s="194">
        <v>26</v>
      </c>
      <c r="L269" s="194" t="s">
        <v>186</v>
      </c>
      <c r="M269" s="194">
        <v>0</v>
      </c>
      <c r="N269" s="194" t="s">
        <v>188</v>
      </c>
      <c r="O269" s="194">
        <v>1</v>
      </c>
      <c r="P269" s="194" t="s">
        <v>197</v>
      </c>
      <c r="Q269" s="194">
        <v>3</v>
      </c>
      <c r="R269" s="194" t="s">
        <v>190</v>
      </c>
      <c r="S269" s="194">
        <v>37</v>
      </c>
      <c r="T269" s="194" t="s">
        <v>187</v>
      </c>
      <c r="U269" s="194">
        <v>37</v>
      </c>
      <c r="V269" s="194" t="s">
        <v>187</v>
      </c>
      <c r="W269" s="194">
        <v>33</v>
      </c>
      <c r="X269" s="194" t="s">
        <v>187</v>
      </c>
      <c r="Y269" s="194">
        <v>36</v>
      </c>
      <c r="Z269" s="194" t="s">
        <v>187</v>
      </c>
      <c r="AA269" s="194">
        <v>32</v>
      </c>
      <c r="AB269" s="194" t="s">
        <v>187</v>
      </c>
      <c r="AC269" s="194">
        <v>36</v>
      </c>
      <c r="AD269" s="194" t="s">
        <v>187</v>
      </c>
    </row>
    <row r="270" spans="1:30" ht="81" x14ac:dyDescent="0.3">
      <c r="A270" s="5" t="s">
        <v>182</v>
      </c>
      <c r="B270" s="4">
        <v>11002</v>
      </c>
      <c r="C270" s="4">
        <v>2</v>
      </c>
      <c r="D270" s="4" t="s">
        <v>463</v>
      </c>
      <c r="E270" s="194" t="s">
        <v>199</v>
      </c>
      <c r="F270" s="194" t="s">
        <v>200</v>
      </c>
      <c r="G270" s="194">
        <v>77</v>
      </c>
      <c r="H270" s="194" t="s">
        <v>201</v>
      </c>
      <c r="I270" s="194">
        <v>65</v>
      </c>
      <c r="J270" s="194" t="s">
        <v>202</v>
      </c>
      <c r="K270" s="194">
        <v>76</v>
      </c>
      <c r="L270" s="194" t="s">
        <v>201</v>
      </c>
      <c r="M270" s="194">
        <v>0</v>
      </c>
      <c r="N270" s="194" t="s">
        <v>188</v>
      </c>
      <c r="O270" s="194">
        <v>5</v>
      </c>
      <c r="P270" s="194" t="s">
        <v>189</v>
      </c>
      <c r="Q270" s="194">
        <v>0</v>
      </c>
      <c r="R270" s="194" t="s">
        <v>203</v>
      </c>
      <c r="S270" s="194">
        <v>85</v>
      </c>
      <c r="T270" s="5" t="s">
        <v>192</v>
      </c>
      <c r="U270" s="194">
        <v>79</v>
      </c>
      <c r="V270" s="5" t="s">
        <v>192</v>
      </c>
      <c r="W270" s="194">
        <v>81</v>
      </c>
      <c r="X270" s="5" t="s">
        <v>192</v>
      </c>
      <c r="Y270" s="194">
        <v>85</v>
      </c>
      <c r="Z270" s="5" t="s">
        <v>192</v>
      </c>
      <c r="AA270" s="194">
        <v>80</v>
      </c>
      <c r="AB270" s="5" t="s">
        <v>192</v>
      </c>
      <c r="AC270" s="194">
        <v>87</v>
      </c>
      <c r="AD270" s="5" t="s">
        <v>192</v>
      </c>
    </row>
    <row r="271" spans="1:30" ht="94.5" x14ac:dyDescent="0.3">
      <c r="A271" s="5" t="s">
        <v>182</v>
      </c>
      <c r="B271" s="4">
        <v>11003</v>
      </c>
      <c r="C271" s="4">
        <v>2</v>
      </c>
      <c r="D271" s="4" t="s">
        <v>464</v>
      </c>
      <c r="E271" s="194" t="s">
        <v>205</v>
      </c>
      <c r="F271" s="194" t="s">
        <v>206</v>
      </c>
      <c r="G271" s="194">
        <v>81</v>
      </c>
      <c r="H271" s="194" t="s">
        <v>201</v>
      </c>
      <c r="I271" s="194">
        <v>86</v>
      </c>
      <c r="J271" s="194" t="s">
        <v>201</v>
      </c>
      <c r="K271" s="194">
        <v>76</v>
      </c>
      <c r="L271" s="194" t="s">
        <v>201</v>
      </c>
      <c r="M271" s="194">
        <v>0</v>
      </c>
      <c r="N271" s="194" t="s">
        <v>188</v>
      </c>
      <c r="O271" s="194">
        <v>1</v>
      </c>
      <c r="P271" s="194" t="s">
        <v>197</v>
      </c>
      <c r="Q271" s="194">
        <v>0</v>
      </c>
      <c r="R271" s="194" t="s">
        <v>203</v>
      </c>
      <c r="S271" s="194">
        <v>37</v>
      </c>
      <c r="T271" s="194" t="s">
        <v>187</v>
      </c>
      <c r="U271" s="194">
        <v>37</v>
      </c>
      <c r="V271" s="194" t="s">
        <v>187</v>
      </c>
      <c r="W271" s="194">
        <v>33</v>
      </c>
      <c r="X271" s="194" t="s">
        <v>187</v>
      </c>
      <c r="Y271" s="194">
        <v>36</v>
      </c>
      <c r="Z271" s="194" t="s">
        <v>187</v>
      </c>
      <c r="AA271" s="194">
        <v>32</v>
      </c>
      <c r="AB271" s="194" t="s">
        <v>187</v>
      </c>
      <c r="AC271" s="194">
        <v>36</v>
      </c>
      <c r="AD271" s="194" t="s">
        <v>187</v>
      </c>
    </row>
    <row r="272" spans="1:30" ht="81" x14ac:dyDescent="0.3">
      <c r="A272" s="5" t="s">
        <v>182</v>
      </c>
      <c r="B272" s="4">
        <v>11004</v>
      </c>
      <c r="C272" s="4">
        <v>2</v>
      </c>
      <c r="D272" s="4" t="s">
        <v>465</v>
      </c>
      <c r="E272" s="194" t="s">
        <v>184</v>
      </c>
      <c r="F272" s="194" t="s">
        <v>185</v>
      </c>
      <c r="G272" s="194">
        <v>23</v>
      </c>
      <c r="H272" s="194" t="s">
        <v>186</v>
      </c>
      <c r="I272" s="194">
        <v>23</v>
      </c>
      <c r="J272" s="194" t="s">
        <v>186</v>
      </c>
      <c r="K272" s="194">
        <v>45</v>
      </c>
      <c r="L272" s="194" t="s">
        <v>187</v>
      </c>
      <c r="M272" s="194">
        <v>0</v>
      </c>
      <c r="N272" s="194" t="s">
        <v>188</v>
      </c>
      <c r="O272" s="194">
        <v>3</v>
      </c>
      <c r="P272" s="194" t="s">
        <v>189</v>
      </c>
      <c r="Q272" s="194">
        <v>3</v>
      </c>
      <c r="R272" s="194" t="s">
        <v>190</v>
      </c>
      <c r="S272" s="194">
        <v>37</v>
      </c>
      <c r="T272" s="194" t="s">
        <v>187</v>
      </c>
      <c r="U272" s="194">
        <v>58</v>
      </c>
      <c r="V272" s="194" t="s">
        <v>191</v>
      </c>
      <c r="W272" s="194">
        <v>45</v>
      </c>
      <c r="X272" s="194" t="s">
        <v>191</v>
      </c>
      <c r="Y272" s="194">
        <v>48</v>
      </c>
      <c r="Z272" s="194" t="s">
        <v>191</v>
      </c>
      <c r="AA272" s="194">
        <v>32</v>
      </c>
      <c r="AB272" s="194" t="s">
        <v>187</v>
      </c>
      <c r="AC272" s="194">
        <v>62</v>
      </c>
      <c r="AD272" s="5" t="s">
        <v>192</v>
      </c>
    </row>
    <row r="273" spans="1:30" ht="81" x14ac:dyDescent="0.3">
      <c r="A273" s="5" t="s">
        <v>182</v>
      </c>
      <c r="B273" s="4">
        <v>11005</v>
      </c>
      <c r="C273" s="4">
        <v>2</v>
      </c>
      <c r="D273" s="4" t="s">
        <v>466</v>
      </c>
      <c r="E273" s="194" t="s">
        <v>194</v>
      </c>
      <c r="F273" s="194" t="s">
        <v>195</v>
      </c>
      <c r="G273" s="194">
        <v>32</v>
      </c>
      <c r="H273" s="194" t="s">
        <v>196</v>
      </c>
      <c r="I273" s="194">
        <v>31</v>
      </c>
      <c r="J273" s="194" t="s">
        <v>196</v>
      </c>
      <c r="K273" s="194">
        <v>26</v>
      </c>
      <c r="L273" s="194" t="s">
        <v>186</v>
      </c>
      <c r="M273" s="194">
        <v>0</v>
      </c>
      <c r="N273" s="194" t="s">
        <v>188</v>
      </c>
      <c r="O273" s="194">
        <v>1</v>
      </c>
      <c r="P273" s="194" t="s">
        <v>197</v>
      </c>
      <c r="Q273" s="194">
        <v>3</v>
      </c>
      <c r="R273" s="194" t="s">
        <v>190</v>
      </c>
      <c r="S273" s="194">
        <v>37</v>
      </c>
      <c r="T273" s="194" t="s">
        <v>187</v>
      </c>
      <c r="U273" s="194">
        <v>37</v>
      </c>
      <c r="V273" s="194" t="s">
        <v>187</v>
      </c>
      <c r="W273" s="194">
        <v>33</v>
      </c>
      <c r="X273" s="194" t="s">
        <v>187</v>
      </c>
      <c r="Y273" s="194">
        <v>36</v>
      </c>
      <c r="Z273" s="194" t="s">
        <v>187</v>
      </c>
      <c r="AA273" s="194">
        <v>32</v>
      </c>
      <c r="AB273" s="194" t="s">
        <v>187</v>
      </c>
      <c r="AC273" s="194">
        <v>36</v>
      </c>
      <c r="AD273" s="194" t="s">
        <v>187</v>
      </c>
    </row>
    <row r="274" spans="1:30" ht="81" x14ac:dyDescent="0.3">
      <c r="A274" s="5" t="s">
        <v>182</v>
      </c>
      <c r="B274" s="4">
        <v>11006</v>
      </c>
      <c r="C274" s="4">
        <v>2</v>
      </c>
      <c r="D274" s="4" t="s">
        <v>467</v>
      </c>
      <c r="E274" s="194" t="s">
        <v>199</v>
      </c>
      <c r="F274" s="194" t="s">
        <v>200</v>
      </c>
      <c r="G274" s="194">
        <v>77</v>
      </c>
      <c r="H274" s="194" t="s">
        <v>201</v>
      </c>
      <c r="I274" s="194">
        <v>65</v>
      </c>
      <c r="J274" s="194" t="s">
        <v>202</v>
      </c>
      <c r="K274" s="194">
        <v>76</v>
      </c>
      <c r="L274" s="194" t="s">
        <v>201</v>
      </c>
      <c r="M274" s="194">
        <v>0</v>
      </c>
      <c r="N274" s="194" t="s">
        <v>188</v>
      </c>
      <c r="O274" s="194">
        <v>5</v>
      </c>
      <c r="P274" s="194" t="s">
        <v>189</v>
      </c>
      <c r="Q274" s="194">
        <v>0</v>
      </c>
      <c r="R274" s="194" t="s">
        <v>203</v>
      </c>
      <c r="S274" s="194">
        <v>85</v>
      </c>
      <c r="T274" s="5" t="s">
        <v>192</v>
      </c>
      <c r="U274" s="194">
        <v>79</v>
      </c>
      <c r="V274" s="5" t="s">
        <v>192</v>
      </c>
      <c r="W274" s="194">
        <v>81</v>
      </c>
      <c r="X274" s="5" t="s">
        <v>192</v>
      </c>
      <c r="Y274" s="194">
        <v>85</v>
      </c>
      <c r="Z274" s="5" t="s">
        <v>192</v>
      </c>
      <c r="AA274" s="194">
        <v>80</v>
      </c>
      <c r="AB274" s="5" t="s">
        <v>192</v>
      </c>
      <c r="AC274" s="194">
        <v>87</v>
      </c>
      <c r="AD274" s="5" t="s">
        <v>192</v>
      </c>
    </row>
    <row r="275" spans="1:30" ht="94.5" x14ac:dyDescent="0.3">
      <c r="A275" s="5" t="s">
        <v>182</v>
      </c>
      <c r="B275" s="4">
        <v>11007</v>
      </c>
      <c r="C275" s="4">
        <v>2</v>
      </c>
      <c r="D275" s="4" t="s">
        <v>468</v>
      </c>
      <c r="E275" s="194" t="s">
        <v>205</v>
      </c>
      <c r="F275" s="194" t="s">
        <v>206</v>
      </c>
      <c r="G275" s="194">
        <v>81</v>
      </c>
      <c r="H275" s="194" t="s">
        <v>201</v>
      </c>
      <c r="I275" s="194">
        <v>86</v>
      </c>
      <c r="J275" s="194" t="s">
        <v>201</v>
      </c>
      <c r="K275" s="194">
        <v>76</v>
      </c>
      <c r="L275" s="194" t="s">
        <v>201</v>
      </c>
      <c r="M275" s="194">
        <v>0</v>
      </c>
      <c r="N275" s="194" t="s">
        <v>188</v>
      </c>
      <c r="O275" s="194">
        <v>1</v>
      </c>
      <c r="P275" s="194" t="s">
        <v>197</v>
      </c>
      <c r="Q275" s="194">
        <v>0</v>
      </c>
      <c r="R275" s="194" t="s">
        <v>203</v>
      </c>
      <c r="S275" s="194">
        <v>37</v>
      </c>
      <c r="T275" s="194" t="s">
        <v>187</v>
      </c>
      <c r="U275" s="194">
        <v>37</v>
      </c>
      <c r="V275" s="194" t="s">
        <v>187</v>
      </c>
      <c r="W275" s="194">
        <v>33</v>
      </c>
      <c r="X275" s="194" t="s">
        <v>187</v>
      </c>
      <c r="Y275" s="194">
        <v>36</v>
      </c>
      <c r="Z275" s="194" t="s">
        <v>187</v>
      </c>
      <c r="AA275" s="194">
        <v>32</v>
      </c>
      <c r="AB275" s="194" t="s">
        <v>187</v>
      </c>
      <c r="AC275" s="194">
        <v>36</v>
      </c>
      <c r="AD275" s="194" t="s">
        <v>187</v>
      </c>
    </row>
    <row r="276" spans="1:30" ht="81" x14ac:dyDescent="0.3">
      <c r="A276" s="5" t="s">
        <v>182</v>
      </c>
      <c r="B276" s="4">
        <v>11008</v>
      </c>
      <c r="C276" s="4">
        <v>2</v>
      </c>
      <c r="D276" s="4" t="s">
        <v>327</v>
      </c>
      <c r="E276" s="194" t="s">
        <v>184</v>
      </c>
      <c r="F276" s="194" t="s">
        <v>185</v>
      </c>
      <c r="G276" s="194">
        <v>23</v>
      </c>
      <c r="H276" s="194" t="s">
        <v>186</v>
      </c>
      <c r="I276" s="194">
        <v>23</v>
      </c>
      <c r="J276" s="194" t="s">
        <v>186</v>
      </c>
      <c r="K276" s="194">
        <v>45</v>
      </c>
      <c r="L276" s="194" t="s">
        <v>187</v>
      </c>
      <c r="M276" s="194">
        <v>0</v>
      </c>
      <c r="N276" s="194" t="s">
        <v>188</v>
      </c>
      <c r="O276" s="194">
        <v>3</v>
      </c>
      <c r="P276" s="194" t="s">
        <v>189</v>
      </c>
      <c r="Q276" s="194">
        <v>3</v>
      </c>
      <c r="R276" s="194" t="s">
        <v>190</v>
      </c>
      <c r="S276" s="194">
        <v>37</v>
      </c>
      <c r="T276" s="194" t="s">
        <v>187</v>
      </c>
      <c r="U276" s="194">
        <v>58</v>
      </c>
      <c r="V276" s="194" t="s">
        <v>191</v>
      </c>
      <c r="W276" s="194">
        <v>45</v>
      </c>
      <c r="X276" s="194" t="s">
        <v>191</v>
      </c>
      <c r="Y276" s="194">
        <v>48</v>
      </c>
      <c r="Z276" s="194" t="s">
        <v>191</v>
      </c>
      <c r="AA276" s="194">
        <v>32</v>
      </c>
      <c r="AB276" s="194" t="s">
        <v>187</v>
      </c>
      <c r="AC276" s="194">
        <v>62</v>
      </c>
      <c r="AD276" s="5" t="s">
        <v>192</v>
      </c>
    </row>
    <row r="277" spans="1:30" ht="81" x14ac:dyDescent="0.3">
      <c r="A277" s="5" t="s">
        <v>182</v>
      </c>
      <c r="B277" s="4">
        <v>11009</v>
      </c>
      <c r="C277" s="4">
        <v>2</v>
      </c>
      <c r="D277" s="4" t="s">
        <v>469</v>
      </c>
      <c r="E277" s="194" t="s">
        <v>194</v>
      </c>
      <c r="F277" s="194" t="s">
        <v>195</v>
      </c>
      <c r="G277" s="194">
        <v>32</v>
      </c>
      <c r="H277" s="194" t="s">
        <v>196</v>
      </c>
      <c r="I277" s="194">
        <v>31</v>
      </c>
      <c r="J277" s="194" t="s">
        <v>196</v>
      </c>
      <c r="K277" s="194">
        <v>26</v>
      </c>
      <c r="L277" s="194" t="s">
        <v>186</v>
      </c>
      <c r="M277" s="194">
        <v>0</v>
      </c>
      <c r="N277" s="194" t="s">
        <v>188</v>
      </c>
      <c r="O277" s="194">
        <v>1</v>
      </c>
      <c r="P277" s="194" t="s">
        <v>197</v>
      </c>
      <c r="Q277" s="194">
        <v>3</v>
      </c>
      <c r="R277" s="194" t="s">
        <v>190</v>
      </c>
      <c r="S277" s="194">
        <v>37</v>
      </c>
      <c r="T277" s="194" t="s">
        <v>187</v>
      </c>
      <c r="U277" s="194">
        <v>37</v>
      </c>
      <c r="V277" s="194" t="s">
        <v>187</v>
      </c>
      <c r="W277" s="194">
        <v>33</v>
      </c>
      <c r="X277" s="194" t="s">
        <v>187</v>
      </c>
      <c r="Y277" s="194">
        <v>36</v>
      </c>
      <c r="Z277" s="194" t="s">
        <v>187</v>
      </c>
      <c r="AA277" s="194">
        <v>32</v>
      </c>
      <c r="AB277" s="194" t="s">
        <v>187</v>
      </c>
      <c r="AC277" s="194">
        <v>36</v>
      </c>
      <c r="AD277" s="194" t="s">
        <v>187</v>
      </c>
    </row>
    <row r="278" spans="1:30" ht="81" x14ac:dyDescent="0.3">
      <c r="A278" s="5" t="s">
        <v>182</v>
      </c>
      <c r="B278" s="4">
        <v>11010</v>
      </c>
      <c r="C278" s="4">
        <v>2</v>
      </c>
      <c r="D278" s="4" t="s">
        <v>470</v>
      </c>
      <c r="E278" s="194" t="s">
        <v>199</v>
      </c>
      <c r="F278" s="194" t="s">
        <v>200</v>
      </c>
      <c r="G278" s="194">
        <v>77</v>
      </c>
      <c r="H278" s="194" t="s">
        <v>201</v>
      </c>
      <c r="I278" s="194">
        <v>65</v>
      </c>
      <c r="J278" s="194" t="s">
        <v>202</v>
      </c>
      <c r="K278" s="194">
        <v>76</v>
      </c>
      <c r="L278" s="194" t="s">
        <v>201</v>
      </c>
      <c r="M278" s="194">
        <v>0</v>
      </c>
      <c r="N278" s="194" t="s">
        <v>188</v>
      </c>
      <c r="O278" s="194">
        <v>5</v>
      </c>
      <c r="P278" s="194" t="s">
        <v>189</v>
      </c>
      <c r="Q278" s="194">
        <v>0</v>
      </c>
      <c r="R278" s="194" t="s">
        <v>203</v>
      </c>
      <c r="S278" s="194">
        <v>85</v>
      </c>
      <c r="T278" s="5" t="s">
        <v>192</v>
      </c>
      <c r="U278" s="194">
        <v>79</v>
      </c>
      <c r="V278" s="5" t="s">
        <v>192</v>
      </c>
      <c r="W278" s="194">
        <v>81</v>
      </c>
      <c r="X278" s="5" t="s">
        <v>192</v>
      </c>
      <c r="Y278" s="194">
        <v>85</v>
      </c>
      <c r="Z278" s="5" t="s">
        <v>192</v>
      </c>
      <c r="AA278" s="194">
        <v>80</v>
      </c>
      <c r="AB278" s="5" t="s">
        <v>192</v>
      </c>
      <c r="AC278" s="194">
        <v>87</v>
      </c>
      <c r="AD278" s="5" t="s">
        <v>192</v>
      </c>
    </row>
    <row r="279" spans="1:30" ht="94.5" x14ac:dyDescent="0.3">
      <c r="A279" s="5" t="s">
        <v>182</v>
      </c>
      <c r="B279" s="4">
        <v>11011</v>
      </c>
      <c r="C279" s="4">
        <v>2</v>
      </c>
      <c r="D279" s="4" t="s">
        <v>471</v>
      </c>
      <c r="E279" s="194" t="s">
        <v>205</v>
      </c>
      <c r="F279" s="194" t="s">
        <v>206</v>
      </c>
      <c r="G279" s="194">
        <v>81</v>
      </c>
      <c r="H279" s="194" t="s">
        <v>201</v>
      </c>
      <c r="I279" s="194">
        <v>86</v>
      </c>
      <c r="J279" s="194" t="s">
        <v>201</v>
      </c>
      <c r="K279" s="194">
        <v>76</v>
      </c>
      <c r="L279" s="194" t="s">
        <v>201</v>
      </c>
      <c r="M279" s="194">
        <v>0</v>
      </c>
      <c r="N279" s="194" t="s">
        <v>188</v>
      </c>
      <c r="O279" s="194">
        <v>1</v>
      </c>
      <c r="P279" s="194" t="s">
        <v>197</v>
      </c>
      <c r="Q279" s="194">
        <v>0</v>
      </c>
      <c r="R279" s="194" t="s">
        <v>203</v>
      </c>
      <c r="S279" s="194">
        <v>37</v>
      </c>
      <c r="T279" s="194" t="s">
        <v>187</v>
      </c>
      <c r="U279" s="194">
        <v>37</v>
      </c>
      <c r="V279" s="194" t="s">
        <v>187</v>
      </c>
      <c r="W279" s="194">
        <v>33</v>
      </c>
      <c r="X279" s="194" t="s">
        <v>187</v>
      </c>
      <c r="Y279" s="194">
        <v>36</v>
      </c>
      <c r="Z279" s="194" t="s">
        <v>187</v>
      </c>
      <c r="AA279" s="194">
        <v>32</v>
      </c>
      <c r="AB279" s="194" t="s">
        <v>187</v>
      </c>
      <c r="AC279" s="194">
        <v>36</v>
      </c>
      <c r="AD279" s="194" t="s">
        <v>187</v>
      </c>
    </row>
    <row r="280" spans="1:30" ht="81" x14ac:dyDescent="0.3">
      <c r="A280" s="5" t="s">
        <v>182</v>
      </c>
      <c r="B280" s="4">
        <v>11012</v>
      </c>
      <c r="C280" s="4">
        <v>2</v>
      </c>
      <c r="D280" s="4" t="s">
        <v>472</v>
      </c>
      <c r="E280" s="194" t="s">
        <v>184</v>
      </c>
      <c r="F280" s="194" t="s">
        <v>185</v>
      </c>
      <c r="G280" s="194">
        <v>23</v>
      </c>
      <c r="H280" s="194" t="s">
        <v>186</v>
      </c>
      <c r="I280" s="194">
        <v>23</v>
      </c>
      <c r="J280" s="194" t="s">
        <v>186</v>
      </c>
      <c r="K280" s="194">
        <v>45</v>
      </c>
      <c r="L280" s="194" t="s">
        <v>187</v>
      </c>
      <c r="M280" s="194">
        <v>0</v>
      </c>
      <c r="N280" s="194" t="s">
        <v>188</v>
      </c>
      <c r="O280" s="194">
        <v>3</v>
      </c>
      <c r="P280" s="194" t="s">
        <v>189</v>
      </c>
      <c r="Q280" s="194">
        <v>3</v>
      </c>
      <c r="R280" s="194" t="s">
        <v>190</v>
      </c>
      <c r="S280" s="194">
        <v>37</v>
      </c>
      <c r="T280" s="194" t="s">
        <v>187</v>
      </c>
      <c r="U280" s="194">
        <v>58</v>
      </c>
      <c r="V280" s="194" t="s">
        <v>191</v>
      </c>
      <c r="W280" s="194">
        <v>45</v>
      </c>
      <c r="X280" s="194" t="s">
        <v>191</v>
      </c>
      <c r="Y280" s="194">
        <v>48</v>
      </c>
      <c r="Z280" s="194" t="s">
        <v>191</v>
      </c>
      <c r="AA280" s="194">
        <v>32</v>
      </c>
      <c r="AB280" s="194" t="s">
        <v>187</v>
      </c>
      <c r="AC280" s="194">
        <v>62</v>
      </c>
      <c r="AD280" s="5" t="s">
        <v>192</v>
      </c>
    </row>
    <row r="281" spans="1:30" ht="81" x14ac:dyDescent="0.3">
      <c r="A281" s="5" t="s">
        <v>182</v>
      </c>
      <c r="B281" s="4">
        <v>11014</v>
      </c>
      <c r="C281" s="4">
        <v>2</v>
      </c>
      <c r="D281" s="4" t="s">
        <v>473</v>
      </c>
      <c r="E281" s="194" t="s">
        <v>194</v>
      </c>
      <c r="F281" s="194" t="s">
        <v>195</v>
      </c>
      <c r="G281" s="194">
        <v>32</v>
      </c>
      <c r="H281" s="194" t="s">
        <v>196</v>
      </c>
      <c r="I281" s="194">
        <v>31</v>
      </c>
      <c r="J281" s="194" t="s">
        <v>196</v>
      </c>
      <c r="K281" s="194">
        <v>26</v>
      </c>
      <c r="L281" s="194" t="s">
        <v>186</v>
      </c>
      <c r="M281" s="194">
        <v>0</v>
      </c>
      <c r="N281" s="194" t="s">
        <v>188</v>
      </c>
      <c r="O281" s="194">
        <v>1</v>
      </c>
      <c r="P281" s="194" t="s">
        <v>197</v>
      </c>
      <c r="Q281" s="194">
        <v>3</v>
      </c>
      <c r="R281" s="194" t="s">
        <v>190</v>
      </c>
      <c r="S281" s="194">
        <v>37</v>
      </c>
      <c r="T281" s="194" t="s">
        <v>187</v>
      </c>
      <c r="U281" s="194">
        <v>37</v>
      </c>
      <c r="V281" s="194" t="s">
        <v>187</v>
      </c>
      <c r="W281" s="194">
        <v>33</v>
      </c>
      <c r="X281" s="194" t="s">
        <v>187</v>
      </c>
      <c r="Y281" s="194">
        <v>36</v>
      </c>
      <c r="Z281" s="194" t="s">
        <v>187</v>
      </c>
      <c r="AA281" s="194">
        <v>32</v>
      </c>
      <c r="AB281" s="194" t="s">
        <v>187</v>
      </c>
      <c r="AC281" s="194">
        <v>36</v>
      </c>
      <c r="AD281" s="194" t="s">
        <v>187</v>
      </c>
    </row>
    <row r="282" spans="1:30" ht="81" x14ac:dyDescent="0.3">
      <c r="A282" s="5" t="s">
        <v>182</v>
      </c>
      <c r="B282" s="4">
        <v>11015</v>
      </c>
      <c r="C282" s="4">
        <v>1</v>
      </c>
      <c r="D282" s="4" t="s">
        <v>474</v>
      </c>
      <c r="E282" s="194" t="s">
        <v>199</v>
      </c>
      <c r="F282" s="194" t="s">
        <v>200</v>
      </c>
      <c r="G282" s="194">
        <v>77</v>
      </c>
      <c r="H282" s="194" t="s">
        <v>201</v>
      </c>
      <c r="I282" s="194">
        <v>65</v>
      </c>
      <c r="J282" s="194" t="s">
        <v>202</v>
      </c>
      <c r="K282" s="194">
        <v>76</v>
      </c>
      <c r="L282" s="194" t="s">
        <v>201</v>
      </c>
      <c r="M282" s="194">
        <v>0</v>
      </c>
      <c r="N282" s="194" t="s">
        <v>188</v>
      </c>
      <c r="O282" s="194">
        <v>5</v>
      </c>
      <c r="P282" s="194" t="s">
        <v>189</v>
      </c>
      <c r="Q282" s="194">
        <v>0</v>
      </c>
      <c r="R282" s="194" t="s">
        <v>203</v>
      </c>
      <c r="S282" s="194">
        <v>85</v>
      </c>
      <c r="T282" s="5" t="s">
        <v>192</v>
      </c>
      <c r="U282" s="194">
        <v>79</v>
      </c>
      <c r="V282" s="5" t="s">
        <v>192</v>
      </c>
      <c r="W282" s="194">
        <v>81</v>
      </c>
      <c r="X282" s="5" t="s">
        <v>192</v>
      </c>
      <c r="Y282" s="194">
        <v>85</v>
      </c>
      <c r="Z282" s="5" t="s">
        <v>192</v>
      </c>
      <c r="AA282" s="194">
        <v>80</v>
      </c>
      <c r="AB282" s="5" t="s">
        <v>192</v>
      </c>
      <c r="AC282" s="194">
        <v>87</v>
      </c>
      <c r="AD282" s="5" t="s">
        <v>192</v>
      </c>
    </row>
    <row r="283" spans="1:30" ht="94.5" x14ac:dyDescent="0.3">
      <c r="A283" s="5" t="s">
        <v>182</v>
      </c>
      <c r="B283" s="4">
        <v>11016</v>
      </c>
      <c r="C283" s="4">
        <v>1</v>
      </c>
      <c r="D283" s="4" t="s">
        <v>475</v>
      </c>
      <c r="E283" s="194" t="s">
        <v>205</v>
      </c>
      <c r="F283" s="194" t="s">
        <v>206</v>
      </c>
      <c r="G283" s="194">
        <v>81</v>
      </c>
      <c r="H283" s="194" t="s">
        <v>201</v>
      </c>
      <c r="I283" s="194">
        <v>86</v>
      </c>
      <c r="J283" s="194" t="s">
        <v>201</v>
      </c>
      <c r="K283" s="194">
        <v>76</v>
      </c>
      <c r="L283" s="194" t="s">
        <v>201</v>
      </c>
      <c r="M283" s="194">
        <v>0</v>
      </c>
      <c r="N283" s="194" t="s">
        <v>188</v>
      </c>
      <c r="O283" s="194">
        <v>1</v>
      </c>
      <c r="P283" s="194" t="s">
        <v>197</v>
      </c>
      <c r="Q283" s="194">
        <v>0</v>
      </c>
      <c r="R283" s="194" t="s">
        <v>203</v>
      </c>
      <c r="S283" s="194">
        <v>37</v>
      </c>
      <c r="T283" s="194" t="s">
        <v>187</v>
      </c>
      <c r="U283" s="194">
        <v>37</v>
      </c>
      <c r="V283" s="194" t="s">
        <v>187</v>
      </c>
      <c r="W283" s="194">
        <v>33</v>
      </c>
      <c r="X283" s="194" t="s">
        <v>187</v>
      </c>
      <c r="Y283" s="194">
        <v>36</v>
      </c>
      <c r="Z283" s="194" t="s">
        <v>187</v>
      </c>
      <c r="AA283" s="194">
        <v>32</v>
      </c>
      <c r="AB283" s="194" t="s">
        <v>187</v>
      </c>
      <c r="AC283" s="194">
        <v>36</v>
      </c>
      <c r="AD283" s="194" t="s">
        <v>187</v>
      </c>
    </row>
    <row r="284" spans="1:30" ht="81" x14ac:dyDescent="0.3">
      <c r="A284" s="5" t="s">
        <v>182</v>
      </c>
      <c r="B284" s="4">
        <v>11017</v>
      </c>
      <c r="C284" s="4">
        <v>1</v>
      </c>
      <c r="D284" s="4" t="s">
        <v>476</v>
      </c>
      <c r="E284" s="194" t="s">
        <v>184</v>
      </c>
      <c r="F284" s="194" t="s">
        <v>185</v>
      </c>
      <c r="G284" s="194">
        <v>23</v>
      </c>
      <c r="H284" s="194" t="s">
        <v>186</v>
      </c>
      <c r="I284" s="194">
        <v>23</v>
      </c>
      <c r="J284" s="194" t="s">
        <v>186</v>
      </c>
      <c r="K284" s="194">
        <v>45</v>
      </c>
      <c r="L284" s="194" t="s">
        <v>187</v>
      </c>
      <c r="M284" s="194">
        <v>0</v>
      </c>
      <c r="N284" s="194" t="s">
        <v>188</v>
      </c>
      <c r="O284" s="194">
        <v>3</v>
      </c>
      <c r="P284" s="194" t="s">
        <v>189</v>
      </c>
      <c r="Q284" s="194">
        <v>3</v>
      </c>
      <c r="R284" s="194" t="s">
        <v>190</v>
      </c>
      <c r="S284" s="194">
        <v>37</v>
      </c>
      <c r="T284" s="194" t="s">
        <v>187</v>
      </c>
      <c r="U284" s="194">
        <v>58</v>
      </c>
      <c r="V284" s="194" t="s">
        <v>191</v>
      </c>
      <c r="W284" s="194">
        <v>45</v>
      </c>
      <c r="X284" s="194" t="s">
        <v>191</v>
      </c>
      <c r="Y284" s="194">
        <v>48</v>
      </c>
      <c r="Z284" s="194" t="s">
        <v>191</v>
      </c>
      <c r="AA284" s="194">
        <v>32</v>
      </c>
      <c r="AB284" s="194" t="s">
        <v>187</v>
      </c>
      <c r="AC284" s="194">
        <v>62</v>
      </c>
      <c r="AD284" s="5" t="s">
        <v>192</v>
      </c>
    </row>
    <row r="285" spans="1:30" ht="81" x14ac:dyDescent="0.3">
      <c r="A285" s="5" t="s">
        <v>182</v>
      </c>
      <c r="B285" s="4">
        <v>11019</v>
      </c>
      <c r="C285" s="4">
        <v>1</v>
      </c>
      <c r="D285" s="4" t="s">
        <v>477</v>
      </c>
      <c r="E285" s="194" t="s">
        <v>194</v>
      </c>
      <c r="F285" s="194" t="s">
        <v>195</v>
      </c>
      <c r="G285" s="194">
        <v>32</v>
      </c>
      <c r="H285" s="194" t="s">
        <v>196</v>
      </c>
      <c r="I285" s="194">
        <v>31</v>
      </c>
      <c r="J285" s="194" t="s">
        <v>196</v>
      </c>
      <c r="K285" s="194">
        <v>26</v>
      </c>
      <c r="L285" s="194" t="s">
        <v>186</v>
      </c>
      <c r="M285" s="194">
        <v>0</v>
      </c>
      <c r="N285" s="194" t="s">
        <v>188</v>
      </c>
      <c r="O285" s="194">
        <v>1</v>
      </c>
      <c r="P285" s="194" t="s">
        <v>197</v>
      </c>
      <c r="Q285" s="194">
        <v>3</v>
      </c>
      <c r="R285" s="194" t="s">
        <v>190</v>
      </c>
      <c r="S285" s="194">
        <v>37</v>
      </c>
      <c r="T285" s="194" t="s">
        <v>187</v>
      </c>
      <c r="U285" s="194">
        <v>37</v>
      </c>
      <c r="V285" s="194" t="s">
        <v>187</v>
      </c>
      <c r="W285" s="194">
        <v>33</v>
      </c>
      <c r="X285" s="194" t="s">
        <v>187</v>
      </c>
      <c r="Y285" s="194">
        <v>36</v>
      </c>
      <c r="Z285" s="194" t="s">
        <v>187</v>
      </c>
      <c r="AA285" s="194">
        <v>32</v>
      </c>
      <c r="AB285" s="194" t="s">
        <v>187</v>
      </c>
      <c r="AC285" s="194">
        <v>36</v>
      </c>
      <c r="AD285" s="194" t="s">
        <v>187</v>
      </c>
    </row>
    <row r="286" spans="1:30" ht="81" x14ac:dyDescent="0.3">
      <c r="A286" s="5" t="s">
        <v>182</v>
      </c>
      <c r="B286" s="4">
        <v>11020</v>
      </c>
      <c r="C286" s="4">
        <v>1</v>
      </c>
      <c r="D286" s="4" t="s">
        <v>478</v>
      </c>
      <c r="E286" s="194" t="s">
        <v>199</v>
      </c>
      <c r="F286" s="194" t="s">
        <v>200</v>
      </c>
      <c r="G286" s="194">
        <v>77</v>
      </c>
      <c r="H286" s="194" t="s">
        <v>201</v>
      </c>
      <c r="I286" s="194">
        <v>65</v>
      </c>
      <c r="J286" s="194" t="s">
        <v>202</v>
      </c>
      <c r="K286" s="194">
        <v>76</v>
      </c>
      <c r="L286" s="194" t="s">
        <v>201</v>
      </c>
      <c r="M286" s="194">
        <v>0</v>
      </c>
      <c r="N286" s="194" t="s">
        <v>188</v>
      </c>
      <c r="O286" s="194">
        <v>5</v>
      </c>
      <c r="P286" s="194" t="s">
        <v>189</v>
      </c>
      <c r="Q286" s="194">
        <v>0</v>
      </c>
      <c r="R286" s="194" t="s">
        <v>203</v>
      </c>
      <c r="S286" s="194">
        <v>85</v>
      </c>
      <c r="T286" s="5" t="s">
        <v>192</v>
      </c>
      <c r="U286" s="194">
        <v>79</v>
      </c>
      <c r="V286" s="5" t="s">
        <v>192</v>
      </c>
      <c r="W286" s="194">
        <v>81</v>
      </c>
      <c r="X286" s="5" t="s">
        <v>192</v>
      </c>
      <c r="Y286" s="194">
        <v>85</v>
      </c>
      <c r="Z286" s="5" t="s">
        <v>192</v>
      </c>
      <c r="AA286" s="194">
        <v>80</v>
      </c>
      <c r="AB286" s="5" t="s">
        <v>192</v>
      </c>
      <c r="AC286" s="194">
        <v>87</v>
      </c>
      <c r="AD286" s="5" t="s">
        <v>192</v>
      </c>
    </row>
    <row r="287" spans="1:30" ht="94.5" x14ac:dyDescent="0.3">
      <c r="A287" s="5" t="s">
        <v>182</v>
      </c>
      <c r="B287" s="4">
        <v>11021</v>
      </c>
      <c r="C287" s="4">
        <v>1</v>
      </c>
      <c r="D287" s="4" t="s">
        <v>479</v>
      </c>
      <c r="E287" s="194" t="s">
        <v>205</v>
      </c>
      <c r="F287" s="194" t="s">
        <v>206</v>
      </c>
      <c r="G287" s="194">
        <v>81</v>
      </c>
      <c r="H287" s="194" t="s">
        <v>201</v>
      </c>
      <c r="I287" s="194">
        <v>86</v>
      </c>
      <c r="J287" s="194" t="s">
        <v>201</v>
      </c>
      <c r="K287" s="194">
        <v>76</v>
      </c>
      <c r="L287" s="194" t="s">
        <v>201</v>
      </c>
      <c r="M287" s="194">
        <v>0</v>
      </c>
      <c r="N287" s="194" t="s">
        <v>188</v>
      </c>
      <c r="O287" s="194">
        <v>1</v>
      </c>
      <c r="P287" s="194" t="s">
        <v>197</v>
      </c>
      <c r="Q287" s="194">
        <v>0</v>
      </c>
      <c r="R287" s="194" t="s">
        <v>203</v>
      </c>
      <c r="S287" s="194">
        <v>37</v>
      </c>
      <c r="T287" s="194" t="s">
        <v>187</v>
      </c>
      <c r="U287" s="194">
        <v>37</v>
      </c>
      <c r="V287" s="194" t="s">
        <v>187</v>
      </c>
      <c r="W287" s="194">
        <v>33</v>
      </c>
      <c r="X287" s="194" t="s">
        <v>187</v>
      </c>
      <c r="Y287" s="194">
        <v>36</v>
      </c>
      <c r="Z287" s="194" t="s">
        <v>187</v>
      </c>
      <c r="AA287" s="194">
        <v>32</v>
      </c>
      <c r="AB287" s="194" t="s">
        <v>187</v>
      </c>
      <c r="AC287" s="194">
        <v>36</v>
      </c>
      <c r="AD287" s="194" t="s">
        <v>187</v>
      </c>
    </row>
    <row r="288" spans="1:30" ht="81" x14ac:dyDescent="0.3">
      <c r="A288" s="5" t="s">
        <v>182</v>
      </c>
      <c r="B288" s="4">
        <v>11022</v>
      </c>
      <c r="C288" s="4">
        <v>1</v>
      </c>
      <c r="D288" s="4" t="s">
        <v>480</v>
      </c>
      <c r="E288" s="194" t="s">
        <v>184</v>
      </c>
      <c r="F288" s="194" t="s">
        <v>185</v>
      </c>
      <c r="G288" s="194">
        <v>23</v>
      </c>
      <c r="H288" s="194" t="s">
        <v>186</v>
      </c>
      <c r="I288" s="194">
        <v>23</v>
      </c>
      <c r="J288" s="194" t="s">
        <v>186</v>
      </c>
      <c r="K288" s="194">
        <v>45</v>
      </c>
      <c r="L288" s="194" t="s">
        <v>187</v>
      </c>
      <c r="M288" s="194">
        <v>0</v>
      </c>
      <c r="N288" s="194" t="s">
        <v>188</v>
      </c>
      <c r="O288" s="194">
        <v>3</v>
      </c>
      <c r="P288" s="194" t="s">
        <v>189</v>
      </c>
      <c r="Q288" s="194">
        <v>3</v>
      </c>
      <c r="R288" s="194" t="s">
        <v>190</v>
      </c>
      <c r="S288" s="194">
        <v>37</v>
      </c>
      <c r="T288" s="194" t="s">
        <v>187</v>
      </c>
      <c r="U288" s="194">
        <v>58</v>
      </c>
      <c r="V288" s="194" t="s">
        <v>191</v>
      </c>
      <c r="W288" s="194">
        <v>45</v>
      </c>
      <c r="X288" s="194" t="s">
        <v>191</v>
      </c>
      <c r="Y288" s="194">
        <v>48</v>
      </c>
      <c r="Z288" s="194" t="s">
        <v>191</v>
      </c>
      <c r="AA288" s="194">
        <v>32</v>
      </c>
      <c r="AB288" s="194" t="s">
        <v>187</v>
      </c>
      <c r="AC288" s="194">
        <v>62</v>
      </c>
      <c r="AD288" s="5" t="s">
        <v>192</v>
      </c>
    </row>
    <row r="289" spans="1:30" ht="81" x14ac:dyDescent="0.3">
      <c r="A289" s="5" t="s">
        <v>182</v>
      </c>
      <c r="B289" s="4">
        <v>11023</v>
      </c>
      <c r="C289" s="4">
        <v>1</v>
      </c>
      <c r="D289" s="4" t="s">
        <v>481</v>
      </c>
      <c r="E289" s="194" t="s">
        <v>194</v>
      </c>
      <c r="F289" s="194" t="s">
        <v>195</v>
      </c>
      <c r="G289" s="194">
        <v>32</v>
      </c>
      <c r="H289" s="194" t="s">
        <v>196</v>
      </c>
      <c r="I289" s="194">
        <v>31</v>
      </c>
      <c r="J289" s="194" t="s">
        <v>196</v>
      </c>
      <c r="K289" s="194">
        <v>26</v>
      </c>
      <c r="L289" s="194" t="s">
        <v>186</v>
      </c>
      <c r="M289" s="194">
        <v>0</v>
      </c>
      <c r="N289" s="194" t="s">
        <v>188</v>
      </c>
      <c r="O289" s="194">
        <v>1</v>
      </c>
      <c r="P289" s="194" t="s">
        <v>197</v>
      </c>
      <c r="Q289" s="194">
        <v>3</v>
      </c>
      <c r="R289" s="194" t="s">
        <v>190</v>
      </c>
      <c r="S289" s="194">
        <v>37</v>
      </c>
      <c r="T289" s="194" t="s">
        <v>187</v>
      </c>
      <c r="U289" s="194">
        <v>37</v>
      </c>
      <c r="V289" s="194" t="s">
        <v>187</v>
      </c>
      <c r="W289" s="194">
        <v>33</v>
      </c>
      <c r="X289" s="194" t="s">
        <v>187</v>
      </c>
      <c r="Y289" s="194">
        <v>36</v>
      </c>
      <c r="Z289" s="194" t="s">
        <v>187</v>
      </c>
      <c r="AA289" s="194">
        <v>32</v>
      </c>
      <c r="AB289" s="194" t="s">
        <v>187</v>
      </c>
      <c r="AC289" s="194">
        <v>36</v>
      </c>
      <c r="AD289" s="194" t="s">
        <v>187</v>
      </c>
    </row>
    <row r="290" spans="1:30" ht="81" x14ac:dyDescent="0.3">
      <c r="A290" s="5" t="s">
        <v>182</v>
      </c>
      <c r="B290" s="4">
        <v>11024</v>
      </c>
      <c r="C290" s="4">
        <v>1</v>
      </c>
      <c r="D290" s="4" t="s">
        <v>482</v>
      </c>
      <c r="E290" s="194" t="s">
        <v>199</v>
      </c>
      <c r="F290" s="194" t="s">
        <v>200</v>
      </c>
      <c r="G290" s="194">
        <v>77</v>
      </c>
      <c r="H290" s="194" t="s">
        <v>201</v>
      </c>
      <c r="I290" s="194">
        <v>65</v>
      </c>
      <c r="J290" s="194" t="s">
        <v>202</v>
      </c>
      <c r="K290" s="194">
        <v>76</v>
      </c>
      <c r="L290" s="194" t="s">
        <v>201</v>
      </c>
      <c r="M290" s="194">
        <v>0</v>
      </c>
      <c r="N290" s="194" t="s">
        <v>188</v>
      </c>
      <c r="O290" s="194">
        <v>5</v>
      </c>
      <c r="P290" s="194" t="s">
        <v>189</v>
      </c>
      <c r="Q290" s="194">
        <v>0</v>
      </c>
      <c r="R290" s="194" t="s">
        <v>203</v>
      </c>
      <c r="S290" s="194">
        <v>85</v>
      </c>
      <c r="T290" s="5" t="s">
        <v>192</v>
      </c>
      <c r="U290" s="194">
        <v>79</v>
      </c>
      <c r="V290" s="5" t="s">
        <v>192</v>
      </c>
      <c r="W290" s="194">
        <v>81</v>
      </c>
      <c r="X290" s="5" t="s">
        <v>192</v>
      </c>
      <c r="Y290" s="194">
        <v>85</v>
      </c>
      <c r="Z290" s="5" t="s">
        <v>192</v>
      </c>
      <c r="AA290" s="194">
        <v>80</v>
      </c>
      <c r="AB290" s="5" t="s">
        <v>192</v>
      </c>
      <c r="AC290" s="194">
        <v>87</v>
      </c>
      <c r="AD290" s="5" t="s">
        <v>192</v>
      </c>
    </row>
    <row r="291" spans="1:30" ht="94.5" x14ac:dyDescent="0.3">
      <c r="A291" s="5" t="s">
        <v>182</v>
      </c>
      <c r="B291" s="4">
        <v>11025</v>
      </c>
      <c r="C291" s="4">
        <v>1</v>
      </c>
      <c r="D291" s="4" t="s">
        <v>483</v>
      </c>
      <c r="E291" s="194" t="s">
        <v>205</v>
      </c>
      <c r="F291" s="194" t="s">
        <v>206</v>
      </c>
      <c r="G291" s="194">
        <v>81</v>
      </c>
      <c r="H291" s="194" t="s">
        <v>201</v>
      </c>
      <c r="I291" s="194">
        <v>86</v>
      </c>
      <c r="J291" s="194" t="s">
        <v>201</v>
      </c>
      <c r="K291" s="194">
        <v>76</v>
      </c>
      <c r="L291" s="194" t="s">
        <v>201</v>
      </c>
      <c r="M291" s="194">
        <v>0</v>
      </c>
      <c r="N291" s="194" t="s">
        <v>188</v>
      </c>
      <c r="O291" s="194">
        <v>1</v>
      </c>
      <c r="P291" s="194" t="s">
        <v>197</v>
      </c>
      <c r="Q291" s="194">
        <v>0</v>
      </c>
      <c r="R291" s="194" t="s">
        <v>203</v>
      </c>
      <c r="S291" s="194">
        <v>37</v>
      </c>
      <c r="T291" s="194" t="s">
        <v>187</v>
      </c>
      <c r="U291" s="194">
        <v>37</v>
      </c>
      <c r="V291" s="194" t="s">
        <v>187</v>
      </c>
      <c r="W291" s="194">
        <v>33</v>
      </c>
      <c r="X291" s="194" t="s">
        <v>187</v>
      </c>
      <c r="Y291" s="194">
        <v>36</v>
      </c>
      <c r="Z291" s="194" t="s">
        <v>187</v>
      </c>
      <c r="AA291" s="194">
        <v>32</v>
      </c>
      <c r="AB291" s="194" t="s">
        <v>187</v>
      </c>
      <c r="AC291" s="194">
        <v>36</v>
      </c>
      <c r="AD291" s="194" t="s">
        <v>187</v>
      </c>
    </row>
    <row r="292" spans="1:30" ht="81" x14ac:dyDescent="0.3">
      <c r="A292" s="5" t="s">
        <v>182</v>
      </c>
      <c r="B292" s="4">
        <v>11026</v>
      </c>
      <c r="C292" s="4">
        <v>1</v>
      </c>
      <c r="D292" s="4" t="s">
        <v>484</v>
      </c>
      <c r="E292" s="194" t="s">
        <v>184</v>
      </c>
      <c r="F292" s="194" t="s">
        <v>185</v>
      </c>
      <c r="G292" s="194">
        <v>23</v>
      </c>
      <c r="H292" s="194" t="s">
        <v>186</v>
      </c>
      <c r="I292" s="194">
        <v>23</v>
      </c>
      <c r="J292" s="194" t="s">
        <v>186</v>
      </c>
      <c r="K292" s="194">
        <v>45</v>
      </c>
      <c r="L292" s="194" t="s">
        <v>187</v>
      </c>
      <c r="M292" s="194">
        <v>0</v>
      </c>
      <c r="N292" s="194" t="s">
        <v>188</v>
      </c>
      <c r="O292" s="194">
        <v>3</v>
      </c>
      <c r="P292" s="194" t="s">
        <v>189</v>
      </c>
      <c r="Q292" s="194">
        <v>3</v>
      </c>
      <c r="R292" s="194" t="s">
        <v>190</v>
      </c>
      <c r="S292" s="194">
        <v>37</v>
      </c>
      <c r="T292" s="194" t="s">
        <v>187</v>
      </c>
      <c r="U292" s="194">
        <v>58</v>
      </c>
      <c r="V292" s="194" t="s">
        <v>191</v>
      </c>
      <c r="W292" s="194">
        <v>45</v>
      </c>
      <c r="X292" s="194" t="s">
        <v>191</v>
      </c>
      <c r="Y292" s="194">
        <v>48</v>
      </c>
      <c r="Z292" s="194" t="s">
        <v>191</v>
      </c>
      <c r="AA292" s="194">
        <v>32</v>
      </c>
      <c r="AB292" s="194" t="s">
        <v>187</v>
      </c>
      <c r="AC292" s="194">
        <v>62</v>
      </c>
      <c r="AD292" s="5" t="s">
        <v>192</v>
      </c>
    </row>
    <row r="293" spans="1:30" ht="81" x14ac:dyDescent="0.3">
      <c r="A293" s="5" t="s">
        <v>182</v>
      </c>
      <c r="B293" s="4">
        <v>11027</v>
      </c>
      <c r="C293" s="4">
        <v>1</v>
      </c>
      <c r="D293" s="4" t="s">
        <v>485</v>
      </c>
      <c r="E293" s="194" t="s">
        <v>194</v>
      </c>
      <c r="F293" s="194" t="s">
        <v>195</v>
      </c>
      <c r="G293" s="194">
        <v>32</v>
      </c>
      <c r="H293" s="194" t="s">
        <v>196</v>
      </c>
      <c r="I293" s="194">
        <v>31</v>
      </c>
      <c r="J293" s="194" t="s">
        <v>196</v>
      </c>
      <c r="K293" s="194">
        <v>26</v>
      </c>
      <c r="L293" s="194" t="s">
        <v>186</v>
      </c>
      <c r="M293" s="194">
        <v>0</v>
      </c>
      <c r="N293" s="194" t="s">
        <v>188</v>
      </c>
      <c r="O293" s="194">
        <v>1</v>
      </c>
      <c r="P293" s="194" t="s">
        <v>197</v>
      </c>
      <c r="Q293" s="194">
        <v>3</v>
      </c>
      <c r="R293" s="194" t="s">
        <v>190</v>
      </c>
      <c r="S293" s="194">
        <v>37</v>
      </c>
      <c r="T293" s="194" t="s">
        <v>187</v>
      </c>
      <c r="U293" s="194">
        <v>37</v>
      </c>
      <c r="V293" s="194" t="s">
        <v>187</v>
      </c>
      <c r="W293" s="194">
        <v>33</v>
      </c>
      <c r="X293" s="194" t="s">
        <v>187</v>
      </c>
      <c r="Y293" s="194">
        <v>36</v>
      </c>
      <c r="Z293" s="194" t="s">
        <v>187</v>
      </c>
      <c r="AA293" s="194">
        <v>32</v>
      </c>
      <c r="AB293" s="194" t="s">
        <v>187</v>
      </c>
      <c r="AC293" s="194">
        <v>36</v>
      </c>
      <c r="AD293" s="194" t="s">
        <v>187</v>
      </c>
    </row>
    <row r="294" spans="1:30" ht="81" x14ac:dyDescent="0.3">
      <c r="A294" s="5" t="s">
        <v>182</v>
      </c>
      <c r="B294" s="4">
        <v>11028</v>
      </c>
      <c r="C294" s="4">
        <v>1</v>
      </c>
      <c r="D294" s="4" t="s">
        <v>486</v>
      </c>
      <c r="E294" s="194" t="s">
        <v>199</v>
      </c>
      <c r="F294" s="194" t="s">
        <v>200</v>
      </c>
      <c r="G294" s="194">
        <v>77</v>
      </c>
      <c r="H294" s="194" t="s">
        <v>201</v>
      </c>
      <c r="I294" s="194">
        <v>65</v>
      </c>
      <c r="J294" s="194" t="s">
        <v>202</v>
      </c>
      <c r="K294" s="194">
        <v>76</v>
      </c>
      <c r="L294" s="194" t="s">
        <v>201</v>
      </c>
      <c r="M294" s="194">
        <v>0</v>
      </c>
      <c r="N294" s="194" t="s">
        <v>188</v>
      </c>
      <c r="O294" s="194">
        <v>5</v>
      </c>
      <c r="P294" s="194" t="s">
        <v>189</v>
      </c>
      <c r="Q294" s="194">
        <v>0</v>
      </c>
      <c r="R294" s="194" t="s">
        <v>203</v>
      </c>
      <c r="S294" s="194">
        <v>85</v>
      </c>
      <c r="T294" s="5" t="s">
        <v>192</v>
      </c>
      <c r="U294" s="194">
        <v>79</v>
      </c>
      <c r="V294" s="5" t="s">
        <v>192</v>
      </c>
      <c r="W294" s="194">
        <v>81</v>
      </c>
      <c r="X294" s="5" t="s">
        <v>192</v>
      </c>
      <c r="Y294" s="194">
        <v>85</v>
      </c>
      <c r="Z294" s="5" t="s">
        <v>192</v>
      </c>
      <c r="AA294" s="194">
        <v>80</v>
      </c>
      <c r="AB294" s="5" t="s">
        <v>192</v>
      </c>
      <c r="AC294" s="194">
        <v>87</v>
      </c>
      <c r="AD294" s="5" t="s">
        <v>192</v>
      </c>
    </row>
    <row r="295" spans="1:30" ht="94.5" x14ac:dyDescent="0.3">
      <c r="A295" s="5" t="s">
        <v>182</v>
      </c>
      <c r="B295" s="4">
        <v>11029</v>
      </c>
      <c r="C295" s="4">
        <v>1</v>
      </c>
      <c r="D295" s="4" t="s">
        <v>487</v>
      </c>
      <c r="E295" s="194" t="s">
        <v>205</v>
      </c>
      <c r="F295" s="194" t="s">
        <v>206</v>
      </c>
      <c r="G295" s="194">
        <v>81</v>
      </c>
      <c r="H295" s="194" t="s">
        <v>201</v>
      </c>
      <c r="I295" s="194">
        <v>86</v>
      </c>
      <c r="J295" s="194" t="s">
        <v>201</v>
      </c>
      <c r="K295" s="194">
        <v>76</v>
      </c>
      <c r="L295" s="194" t="s">
        <v>201</v>
      </c>
      <c r="M295" s="194">
        <v>0</v>
      </c>
      <c r="N295" s="194" t="s">
        <v>188</v>
      </c>
      <c r="O295" s="194">
        <v>1</v>
      </c>
      <c r="P295" s="194" t="s">
        <v>197</v>
      </c>
      <c r="Q295" s="194">
        <v>0</v>
      </c>
      <c r="R295" s="194" t="s">
        <v>203</v>
      </c>
      <c r="S295" s="194">
        <v>37</v>
      </c>
      <c r="T295" s="194" t="s">
        <v>187</v>
      </c>
      <c r="U295" s="194">
        <v>37</v>
      </c>
      <c r="V295" s="194" t="s">
        <v>187</v>
      </c>
      <c r="W295" s="194">
        <v>33</v>
      </c>
      <c r="X295" s="194" t="s">
        <v>187</v>
      </c>
      <c r="Y295" s="194">
        <v>36</v>
      </c>
      <c r="Z295" s="194" t="s">
        <v>187</v>
      </c>
      <c r="AA295" s="194">
        <v>32</v>
      </c>
      <c r="AB295" s="194" t="s">
        <v>187</v>
      </c>
      <c r="AC295" s="194">
        <v>36</v>
      </c>
      <c r="AD295" s="194" t="s">
        <v>187</v>
      </c>
    </row>
    <row r="296" spans="1:30" ht="81" x14ac:dyDescent="0.3">
      <c r="A296" s="5" t="s">
        <v>182</v>
      </c>
      <c r="B296" s="4">
        <v>11030</v>
      </c>
      <c r="C296" s="4">
        <v>1</v>
      </c>
      <c r="D296" s="4" t="s">
        <v>488</v>
      </c>
      <c r="E296" s="194" t="s">
        <v>184</v>
      </c>
      <c r="F296" s="194" t="s">
        <v>185</v>
      </c>
      <c r="G296" s="194">
        <v>81</v>
      </c>
      <c r="H296" s="194" t="s">
        <v>201</v>
      </c>
      <c r="I296" s="194">
        <v>86</v>
      </c>
      <c r="J296" s="194" t="s">
        <v>201</v>
      </c>
      <c r="K296" s="194">
        <v>76</v>
      </c>
      <c r="L296" s="194" t="s">
        <v>201</v>
      </c>
      <c r="M296" s="194">
        <v>0</v>
      </c>
      <c r="N296" s="194" t="s">
        <v>188</v>
      </c>
      <c r="O296" s="194">
        <v>1</v>
      </c>
      <c r="P296" s="194" t="s">
        <v>197</v>
      </c>
      <c r="Q296" s="194">
        <v>0</v>
      </c>
      <c r="R296" s="194" t="s">
        <v>203</v>
      </c>
      <c r="S296" s="194">
        <v>37</v>
      </c>
      <c r="T296" s="194" t="s">
        <v>187</v>
      </c>
      <c r="U296" s="194">
        <v>37</v>
      </c>
      <c r="V296" s="194" t="s">
        <v>187</v>
      </c>
      <c r="W296" s="194">
        <v>33</v>
      </c>
      <c r="X296" s="194" t="s">
        <v>187</v>
      </c>
      <c r="Y296" s="194">
        <v>36</v>
      </c>
      <c r="Z296" s="194" t="s">
        <v>187</v>
      </c>
      <c r="AA296" s="194">
        <v>32</v>
      </c>
      <c r="AB296" s="194" t="s">
        <v>187</v>
      </c>
      <c r="AC296" s="194">
        <v>36</v>
      </c>
      <c r="AD296" s="194" t="s">
        <v>187</v>
      </c>
    </row>
  </sheetData>
  <mergeCells count="22">
    <mergeCell ref="S2:T2"/>
    <mergeCell ref="U2:V2"/>
    <mergeCell ref="W2:X2"/>
    <mergeCell ref="Y2:Z2"/>
    <mergeCell ref="AA2:AB2"/>
    <mergeCell ref="AC2:AD2"/>
    <mergeCell ref="G1:L1"/>
    <mergeCell ref="M1:R1"/>
    <mergeCell ref="S1:V1"/>
    <mergeCell ref="W1:AD1"/>
    <mergeCell ref="G2:H2"/>
    <mergeCell ref="I2:J2"/>
    <mergeCell ref="K2:L2"/>
    <mergeCell ref="M2:N2"/>
    <mergeCell ref="O2:P2"/>
    <mergeCell ref="Q2:R2"/>
    <mergeCell ref="A1:A3"/>
    <mergeCell ref="B1:B3"/>
    <mergeCell ref="C1:C3"/>
    <mergeCell ref="D1:D3"/>
    <mergeCell ref="E1:E3"/>
    <mergeCell ref="F1:F3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9AB7E-19E0-43A3-923F-13E7B15BB536}">
  <dimension ref="A1:F294"/>
  <sheetViews>
    <sheetView showGridLines="0" workbookViewId="0"/>
  </sheetViews>
  <sheetFormatPr defaultColWidth="8.875" defaultRowHeight="16.5" customHeight="1" x14ac:dyDescent="0.3"/>
  <cols>
    <col min="1" max="1" width="6.375" style="196" customWidth="1"/>
    <col min="2" max="2" width="7" style="196" customWidth="1"/>
    <col min="3" max="4" width="8.375" style="196" customWidth="1"/>
    <col min="5" max="5" width="24.375" style="196" customWidth="1"/>
    <col min="6" max="6" width="39.125" style="196" customWidth="1"/>
    <col min="7" max="7" width="8.875" style="196" customWidth="1"/>
    <col min="8" max="16384" width="8.875" style="196"/>
  </cols>
  <sheetData>
    <row r="1" spans="1:6" ht="17.25" customHeight="1" thickBot="1" x14ac:dyDescent="0.35">
      <c r="A1" s="195" t="s">
        <v>489</v>
      </c>
      <c r="B1" s="195" t="s">
        <v>490</v>
      </c>
      <c r="C1" s="195" t="s">
        <v>491</v>
      </c>
      <c r="D1" s="195" t="s">
        <v>12</v>
      </c>
      <c r="E1" s="195" t="s">
        <v>3</v>
      </c>
      <c r="F1" s="195" t="s">
        <v>492</v>
      </c>
    </row>
    <row r="2" spans="1:6" ht="33" customHeight="1" x14ac:dyDescent="0.3">
      <c r="A2" s="197">
        <v>1</v>
      </c>
      <c r="B2" s="198">
        <v>1</v>
      </c>
      <c r="C2" s="198">
        <v>1</v>
      </c>
      <c r="D2" s="199" t="s">
        <v>493</v>
      </c>
      <c r="E2" s="199" t="s">
        <v>183</v>
      </c>
      <c r="F2" s="200" t="s">
        <v>494</v>
      </c>
    </row>
    <row r="3" spans="1:6" ht="15.95" customHeight="1" x14ac:dyDescent="0.3">
      <c r="A3" s="201">
        <v>1</v>
      </c>
      <c r="B3" s="202">
        <v>1</v>
      </c>
      <c r="C3" s="202">
        <v>2</v>
      </c>
      <c r="D3" s="203" t="s">
        <v>493</v>
      </c>
      <c r="E3" s="203" t="s">
        <v>193</v>
      </c>
      <c r="F3" s="204"/>
    </row>
    <row r="4" spans="1:6" ht="15.95" customHeight="1" x14ac:dyDescent="0.3">
      <c r="A4" s="201">
        <v>1</v>
      </c>
      <c r="B4" s="202">
        <v>1</v>
      </c>
      <c r="C4" s="202">
        <v>3</v>
      </c>
      <c r="D4" s="203" t="s">
        <v>493</v>
      </c>
      <c r="E4" s="203" t="s">
        <v>198</v>
      </c>
      <c r="F4" s="204"/>
    </row>
    <row r="5" spans="1:6" ht="15.95" customHeight="1" x14ac:dyDescent="0.3">
      <c r="A5" s="201">
        <v>1</v>
      </c>
      <c r="B5" s="202">
        <v>1</v>
      </c>
      <c r="C5" s="202">
        <v>4</v>
      </c>
      <c r="D5" s="203" t="s">
        <v>493</v>
      </c>
      <c r="E5" s="203" t="s">
        <v>204</v>
      </c>
      <c r="F5" s="204"/>
    </row>
    <row r="6" spans="1:6" ht="15.95" customHeight="1" x14ac:dyDescent="0.3">
      <c r="A6" s="201">
        <v>1</v>
      </c>
      <c r="B6" s="202">
        <v>1</v>
      </c>
      <c r="C6" s="202">
        <v>5</v>
      </c>
      <c r="D6" s="203" t="s">
        <v>493</v>
      </c>
      <c r="E6" s="203" t="s">
        <v>207</v>
      </c>
      <c r="F6" s="204"/>
    </row>
    <row r="7" spans="1:6" ht="16.7" customHeight="1" x14ac:dyDescent="0.3">
      <c r="A7" s="201">
        <v>1</v>
      </c>
      <c r="B7" s="202">
        <v>1</v>
      </c>
      <c r="C7" s="202">
        <v>6</v>
      </c>
      <c r="D7" s="203" t="s">
        <v>493</v>
      </c>
      <c r="E7" s="203" t="s">
        <v>208</v>
      </c>
      <c r="F7" s="205" t="s">
        <v>495</v>
      </c>
    </row>
    <row r="8" spans="1:6" ht="15.95" customHeight="1" x14ac:dyDescent="0.3">
      <c r="A8" s="201">
        <v>1</v>
      </c>
      <c r="B8" s="202">
        <v>1</v>
      </c>
      <c r="C8" s="202">
        <v>7</v>
      </c>
      <c r="D8" s="203" t="s">
        <v>493</v>
      </c>
      <c r="E8" s="203" t="s">
        <v>209</v>
      </c>
      <c r="F8" s="204"/>
    </row>
    <row r="9" spans="1:6" ht="16.7" customHeight="1" x14ac:dyDescent="0.3">
      <c r="A9" s="201">
        <v>1</v>
      </c>
      <c r="B9" s="202">
        <v>1</v>
      </c>
      <c r="C9" s="202">
        <v>8</v>
      </c>
      <c r="D9" s="203" t="s">
        <v>493</v>
      </c>
      <c r="E9" s="203" t="s">
        <v>210</v>
      </c>
      <c r="F9" s="205" t="s">
        <v>496</v>
      </c>
    </row>
    <row r="10" spans="1:6" ht="16.7" customHeight="1" x14ac:dyDescent="0.3">
      <c r="A10" s="201">
        <v>1</v>
      </c>
      <c r="B10" s="202">
        <v>1</v>
      </c>
      <c r="C10" s="202">
        <v>9</v>
      </c>
      <c r="D10" s="203" t="s">
        <v>493</v>
      </c>
      <c r="E10" s="203" t="s">
        <v>211</v>
      </c>
      <c r="F10" s="205" t="s">
        <v>497</v>
      </c>
    </row>
    <row r="11" spans="1:6" ht="16.5" customHeight="1" x14ac:dyDescent="0.3">
      <c r="A11" s="201">
        <v>1</v>
      </c>
      <c r="B11" s="202">
        <v>1</v>
      </c>
      <c r="C11" s="202">
        <v>10</v>
      </c>
      <c r="D11" s="203" t="s">
        <v>493</v>
      </c>
      <c r="E11" s="203" t="s">
        <v>212</v>
      </c>
      <c r="F11" s="205" t="s">
        <v>498</v>
      </c>
    </row>
    <row r="12" spans="1:6" ht="15.95" customHeight="1" x14ac:dyDescent="0.3">
      <c r="A12" s="201">
        <v>1</v>
      </c>
      <c r="B12" s="202">
        <v>1</v>
      </c>
      <c r="C12" s="202">
        <v>11</v>
      </c>
      <c r="D12" s="203" t="s">
        <v>493</v>
      </c>
      <c r="E12" s="203" t="s">
        <v>213</v>
      </c>
      <c r="F12" s="204"/>
    </row>
    <row r="13" spans="1:6" ht="16.7" customHeight="1" x14ac:dyDescent="0.3">
      <c r="A13" s="201">
        <v>1</v>
      </c>
      <c r="B13" s="202">
        <v>1</v>
      </c>
      <c r="C13" s="202">
        <v>12</v>
      </c>
      <c r="D13" s="203" t="s">
        <v>493</v>
      </c>
      <c r="E13" s="203" t="s">
        <v>214</v>
      </c>
      <c r="F13" s="205" t="s">
        <v>499</v>
      </c>
    </row>
    <row r="14" spans="1:6" ht="16.7" customHeight="1" x14ac:dyDescent="0.3">
      <c r="A14" s="201">
        <v>1</v>
      </c>
      <c r="B14" s="202">
        <v>1</v>
      </c>
      <c r="C14" s="202">
        <v>13</v>
      </c>
      <c r="D14" s="203" t="s">
        <v>493</v>
      </c>
      <c r="E14" s="203" t="s">
        <v>215</v>
      </c>
      <c r="F14" s="205" t="s">
        <v>500</v>
      </c>
    </row>
    <row r="15" spans="1:6" ht="15.95" customHeight="1" x14ac:dyDescent="0.3">
      <c r="A15" s="201">
        <v>1</v>
      </c>
      <c r="B15" s="202">
        <v>1</v>
      </c>
      <c r="C15" s="202">
        <v>14</v>
      </c>
      <c r="D15" s="203" t="s">
        <v>493</v>
      </c>
      <c r="E15" s="203" t="s">
        <v>216</v>
      </c>
      <c r="F15" s="204"/>
    </row>
    <row r="16" spans="1:6" ht="15.95" customHeight="1" x14ac:dyDescent="0.3">
      <c r="A16" s="201">
        <v>1</v>
      </c>
      <c r="B16" s="202">
        <v>1</v>
      </c>
      <c r="C16" s="202">
        <v>15</v>
      </c>
      <c r="D16" s="203" t="s">
        <v>493</v>
      </c>
      <c r="E16" s="203" t="s">
        <v>217</v>
      </c>
      <c r="F16" s="204"/>
    </row>
    <row r="17" spans="1:6" ht="15.95" customHeight="1" x14ac:dyDescent="0.3">
      <c r="A17" s="201">
        <v>1</v>
      </c>
      <c r="B17" s="202">
        <v>1</v>
      </c>
      <c r="C17" s="202">
        <v>16</v>
      </c>
      <c r="D17" s="203" t="s">
        <v>501</v>
      </c>
      <c r="E17" s="203" t="s">
        <v>218</v>
      </c>
      <c r="F17" s="204"/>
    </row>
    <row r="18" spans="1:6" ht="15.95" customHeight="1" x14ac:dyDescent="0.3">
      <c r="A18" s="201">
        <v>1</v>
      </c>
      <c r="B18" s="202">
        <v>1</v>
      </c>
      <c r="C18" s="202">
        <v>17</v>
      </c>
      <c r="D18" s="203" t="s">
        <v>501</v>
      </c>
      <c r="E18" s="203" t="s">
        <v>219</v>
      </c>
      <c r="F18" s="204"/>
    </row>
    <row r="19" spans="1:6" ht="15.95" customHeight="1" x14ac:dyDescent="0.3">
      <c r="A19" s="201">
        <v>1</v>
      </c>
      <c r="B19" s="202">
        <v>1</v>
      </c>
      <c r="C19" s="202">
        <v>18</v>
      </c>
      <c r="D19" s="203" t="s">
        <v>501</v>
      </c>
      <c r="E19" s="203" t="s">
        <v>220</v>
      </c>
      <c r="F19" s="204"/>
    </row>
    <row r="20" spans="1:6" ht="15.95" customHeight="1" x14ac:dyDescent="0.3">
      <c r="A20" s="201">
        <v>1</v>
      </c>
      <c r="B20" s="202">
        <v>1</v>
      </c>
      <c r="C20" s="202">
        <v>19</v>
      </c>
      <c r="D20" s="203" t="s">
        <v>501</v>
      </c>
      <c r="E20" s="203" t="s">
        <v>221</v>
      </c>
      <c r="F20" s="204"/>
    </row>
    <row r="21" spans="1:6" ht="15.95" customHeight="1" x14ac:dyDescent="0.3">
      <c r="A21" s="201">
        <v>1</v>
      </c>
      <c r="B21" s="202">
        <v>1</v>
      </c>
      <c r="C21" s="202">
        <v>20</v>
      </c>
      <c r="D21" s="203" t="s">
        <v>501</v>
      </c>
      <c r="E21" s="203" t="s">
        <v>222</v>
      </c>
      <c r="F21" s="204"/>
    </row>
    <row r="22" spans="1:6" ht="15.95" customHeight="1" x14ac:dyDescent="0.3">
      <c r="A22" s="201">
        <v>1</v>
      </c>
      <c r="B22" s="202">
        <v>1</v>
      </c>
      <c r="C22" s="202">
        <v>21</v>
      </c>
      <c r="D22" s="203" t="s">
        <v>501</v>
      </c>
      <c r="E22" s="203" t="s">
        <v>223</v>
      </c>
      <c r="F22" s="204"/>
    </row>
    <row r="23" spans="1:6" ht="15.95" customHeight="1" x14ac:dyDescent="0.3">
      <c r="A23" s="201">
        <v>1</v>
      </c>
      <c r="B23" s="202">
        <v>1</v>
      </c>
      <c r="C23" s="202">
        <v>22</v>
      </c>
      <c r="D23" s="203" t="s">
        <v>501</v>
      </c>
      <c r="E23" s="203" t="s">
        <v>224</v>
      </c>
      <c r="F23" s="204"/>
    </row>
    <row r="24" spans="1:6" ht="15.95" customHeight="1" x14ac:dyDescent="0.3">
      <c r="A24" s="201">
        <v>1</v>
      </c>
      <c r="B24" s="202">
        <v>1</v>
      </c>
      <c r="C24" s="202">
        <v>23</v>
      </c>
      <c r="D24" s="203" t="s">
        <v>501</v>
      </c>
      <c r="E24" s="203" t="s">
        <v>225</v>
      </c>
      <c r="F24" s="204"/>
    </row>
    <row r="25" spans="1:6" ht="21" customHeight="1" x14ac:dyDescent="0.3">
      <c r="A25" s="201">
        <v>1</v>
      </c>
      <c r="B25" s="202">
        <v>1</v>
      </c>
      <c r="C25" s="202">
        <v>24</v>
      </c>
      <c r="D25" s="203" t="s">
        <v>501</v>
      </c>
      <c r="E25" s="203" t="s">
        <v>226</v>
      </c>
      <c r="F25" s="204"/>
    </row>
    <row r="26" spans="1:6" ht="16.7" customHeight="1" x14ac:dyDescent="0.3">
      <c r="A26" s="201">
        <v>1</v>
      </c>
      <c r="B26" s="202">
        <v>1</v>
      </c>
      <c r="C26" s="202">
        <v>25</v>
      </c>
      <c r="D26" s="203" t="s">
        <v>501</v>
      </c>
      <c r="E26" s="203" t="s">
        <v>227</v>
      </c>
      <c r="F26" s="205" t="s">
        <v>502</v>
      </c>
    </row>
    <row r="27" spans="1:6" ht="15.95" customHeight="1" x14ac:dyDescent="0.3">
      <c r="A27" s="201">
        <v>1</v>
      </c>
      <c r="B27" s="202">
        <v>1</v>
      </c>
      <c r="C27" s="202">
        <v>26</v>
      </c>
      <c r="D27" s="203" t="s">
        <v>501</v>
      </c>
      <c r="E27" s="203" t="s">
        <v>228</v>
      </c>
      <c r="F27" s="204"/>
    </row>
    <row r="28" spans="1:6" ht="15.95" customHeight="1" x14ac:dyDescent="0.3">
      <c r="A28" s="201">
        <v>1</v>
      </c>
      <c r="B28" s="202">
        <v>1</v>
      </c>
      <c r="C28" s="202">
        <v>27</v>
      </c>
      <c r="D28" s="203" t="s">
        <v>501</v>
      </c>
      <c r="E28" s="203" t="s">
        <v>229</v>
      </c>
      <c r="F28" s="204"/>
    </row>
    <row r="29" spans="1:6" ht="15.95" customHeight="1" x14ac:dyDescent="0.3">
      <c r="A29" s="201">
        <v>1</v>
      </c>
      <c r="B29" s="202">
        <v>1</v>
      </c>
      <c r="C29" s="202">
        <v>28</v>
      </c>
      <c r="D29" s="203" t="s">
        <v>501</v>
      </c>
      <c r="E29" s="203" t="s">
        <v>230</v>
      </c>
      <c r="F29" s="204"/>
    </row>
    <row r="30" spans="1:6" ht="18.75" customHeight="1" x14ac:dyDescent="0.3">
      <c r="A30" s="201">
        <v>1</v>
      </c>
      <c r="B30" s="202">
        <v>1</v>
      </c>
      <c r="C30" s="202">
        <v>30</v>
      </c>
      <c r="D30" s="203" t="s">
        <v>501</v>
      </c>
      <c r="E30" s="203" t="s">
        <v>231</v>
      </c>
      <c r="F30" s="204"/>
    </row>
    <row r="31" spans="1:6" ht="15.95" customHeight="1" x14ac:dyDescent="0.3">
      <c r="A31" s="201">
        <v>1</v>
      </c>
      <c r="B31" s="202">
        <v>2</v>
      </c>
      <c r="C31" s="202">
        <v>1</v>
      </c>
      <c r="D31" s="203" t="s">
        <v>493</v>
      </c>
      <c r="E31" s="203" t="s">
        <v>232</v>
      </c>
      <c r="F31" s="204"/>
    </row>
    <row r="32" spans="1:6" ht="15.95" customHeight="1" x14ac:dyDescent="0.3">
      <c r="A32" s="201">
        <v>1</v>
      </c>
      <c r="B32" s="202">
        <v>2</v>
      </c>
      <c r="C32" s="202">
        <v>2</v>
      </c>
      <c r="D32" s="203" t="s">
        <v>493</v>
      </c>
      <c r="E32" s="203" t="s">
        <v>233</v>
      </c>
      <c r="F32" s="204"/>
    </row>
    <row r="33" spans="1:6" ht="15.95" customHeight="1" x14ac:dyDescent="0.3">
      <c r="A33" s="201">
        <v>1</v>
      </c>
      <c r="B33" s="202">
        <v>2</v>
      </c>
      <c r="C33" s="202">
        <v>3</v>
      </c>
      <c r="D33" s="203" t="s">
        <v>493</v>
      </c>
      <c r="E33" s="203" t="s">
        <v>234</v>
      </c>
      <c r="F33" s="204"/>
    </row>
    <row r="34" spans="1:6" ht="15.95" customHeight="1" x14ac:dyDescent="0.3">
      <c r="A34" s="201">
        <v>1</v>
      </c>
      <c r="B34" s="202">
        <v>2</v>
      </c>
      <c r="C34" s="202">
        <v>4</v>
      </c>
      <c r="D34" s="203" t="s">
        <v>493</v>
      </c>
      <c r="E34" s="203" t="s">
        <v>235</v>
      </c>
      <c r="F34" s="204"/>
    </row>
    <row r="35" spans="1:6" ht="16.7" customHeight="1" x14ac:dyDescent="0.3">
      <c r="A35" s="201">
        <v>1</v>
      </c>
      <c r="B35" s="202">
        <v>2</v>
      </c>
      <c r="C35" s="202">
        <v>5</v>
      </c>
      <c r="D35" s="203" t="s">
        <v>493</v>
      </c>
      <c r="E35" s="203" t="s">
        <v>236</v>
      </c>
      <c r="F35" s="205" t="s">
        <v>503</v>
      </c>
    </row>
    <row r="36" spans="1:6" ht="15.95" customHeight="1" x14ac:dyDescent="0.3">
      <c r="A36" s="201">
        <v>1</v>
      </c>
      <c r="B36" s="202">
        <v>2</v>
      </c>
      <c r="C36" s="202">
        <v>6</v>
      </c>
      <c r="D36" s="203" t="s">
        <v>493</v>
      </c>
      <c r="E36" s="203" t="s">
        <v>237</v>
      </c>
      <c r="F36" s="204"/>
    </row>
    <row r="37" spans="1:6" ht="15.95" customHeight="1" x14ac:dyDescent="0.3">
      <c r="A37" s="201">
        <v>1</v>
      </c>
      <c r="B37" s="202">
        <v>2</v>
      </c>
      <c r="C37" s="202">
        <v>7</v>
      </c>
      <c r="D37" s="203" t="s">
        <v>493</v>
      </c>
      <c r="E37" s="203" t="s">
        <v>238</v>
      </c>
      <c r="F37" s="204"/>
    </row>
    <row r="38" spans="1:6" ht="16.7" customHeight="1" x14ac:dyDescent="0.3">
      <c r="A38" s="201">
        <v>1</v>
      </c>
      <c r="B38" s="202">
        <v>2</v>
      </c>
      <c r="C38" s="202">
        <v>8</v>
      </c>
      <c r="D38" s="203" t="s">
        <v>493</v>
      </c>
      <c r="E38" s="203" t="s">
        <v>239</v>
      </c>
      <c r="F38" s="205" t="s">
        <v>504</v>
      </c>
    </row>
    <row r="39" spans="1:6" ht="15.95" customHeight="1" x14ac:dyDescent="0.3">
      <c r="A39" s="201">
        <v>1</v>
      </c>
      <c r="B39" s="202">
        <v>2</v>
      </c>
      <c r="C39" s="202">
        <v>9</v>
      </c>
      <c r="D39" s="203" t="s">
        <v>493</v>
      </c>
      <c r="E39" s="203" t="s">
        <v>240</v>
      </c>
      <c r="F39" s="204"/>
    </row>
    <row r="40" spans="1:6" ht="15.95" customHeight="1" x14ac:dyDescent="0.3">
      <c r="A40" s="201">
        <v>1</v>
      </c>
      <c r="B40" s="202">
        <v>2</v>
      </c>
      <c r="C40" s="202">
        <v>10</v>
      </c>
      <c r="D40" s="203" t="s">
        <v>493</v>
      </c>
      <c r="E40" s="203" t="s">
        <v>241</v>
      </c>
      <c r="F40" s="204"/>
    </row>
    <row r="41" spans="1:6" ht="15.95" customHeight="1" x14ac:dyDescent="0.3">
      <c r="A41" s="201">
        <v>1</v>
      </c>
      <c r="B41" s="202">
        <v>2</v>
      </c>
      <c r="C41" s="202">
        <v>11</v>
      </c>
      <c r="D41" s="203" t="s">
        <v>493</v>
      </c>
      <c r="E41" s="203" t="s">
        <v>242</v>
      </c>
      <c r="F41" s="204"/>
    </row>
    <row r="42" spans="1:6" ht="15.95" customHeight="1" x14ac:dyDescent="0.3">
      <c r="A42" s="201">
        <v>1</v>
      </c>
      <c r="B42" s="202">
        <v>2</v>
      </c>
      <c r="C42" s="202">
        <v>12</v>
      </c>
      <c r="D42" s="203" t="s">
        <v>493</v>
      </c>
      <c r="E42" s="203" t="s">
        <v>243</v>
      </c>
      <c r="F42" s="204"/>
    </row>
    <row r="43" spans="1:6" ht="15.95" customHeight="1" x14ac:dyDescent="0.3">
      <c r="A43" s="201">
        <v>1</v>
      </c>
      <c r="B43" s="202">
        <v>2</v>
      </c>
      <c r="C43" s="202">
        <v>13</v>
      </c>
      <c r="D43" s="203" t="s">
        <v>493</v>
      </c>
      <c r="E43" s="203" t="s">
        <v>244</v>
      </c>
      <c r="F43" s="204"/>
    </row>
    <row r="44" spans="1:6" ht="15.95" customHeight="1" x14ac:dyDescent="0.3">
      <c r="A44" s="201">
        <v>1</v>
      </c>
      <c r="B44" s="202">
        <v>2</v>
      </c>
      <c r="C44" s="202">
        <v>14</v>
      </c>
      <c r="D44" s="203" t="s">
        <v>493</v>
      </c>
      <c r="E44" s="203" t="s">
        <v>245</v>
      </c>
      <c r="F44" s="204"/>
    </row>
    <row r="45" spans="1:6" ht="15.95" customHeight="1" x14ac:dyDescent="0.3">
      <c r="A45" s="201">
        <v>1</v>
      </c>
      <c r="B45" s="202">
        <v>2</v>
      </c>
      <c r="C45" s="202">
        <v>15</v>
      </c>
      <c r="D45" s="203" t="s">
        <v>493</v>
      </c>
      <c r="E45" s="203" t="s">
        <v>246</v>
      </c>
      <c r="F45" s="204"/>
    </row>
    <row r="46" spans="1:6" ht="15.95" customHeight="1" x14ac:dyDescent="0.3">
      <c r="A46" s="201">
        <v>1</v>
      </c>
      <c r="B46" s="202">
        <v>2</v>
      </c>
      <c r="C46" s="202">
        <v>16</v>
      </c>
      <c r="D46" s="203" t="s">
        <v>501</v>
      </c>
      <c r="E46" s="203" t="s">
        <v>247</v>
      </c>
      <c r="F46" s="204"/>
    </row>
    <row r="47" spans="1:6" ht="15.95" customHeight="1" x14ac:dyDescent="0.3">
      <c r="A47" s="201">
        <v>1</v>
      </c>
      <c r="B47" s="202">
        <v>2</v>
      </c>
      <c r="C47" s="202">
        <v>17</v>
      </c>
      <c r="D47" s="203" t="s">
        <v>501</v>
      </c>
      <c r="E47" s="203" t="s">
        <v>248</v>
      </c>
      <c r="F47" s="204"/>
    </row>
    <row r="48" spans="1:6" ht="15.95" customHeight="1" x14ac:dyDescent="0.3">
      <c r="A48" s="201">
        <v>1</v>
      </c>
      <c r="B48" s="202">
        <v>2</v>
      </c>
      <c r="C48" s="202">
        <v>18</v>
      </c>
      <c r="D48" s="203" t="s">
        <v>501</v>
      </c>
      <c r="E48" s="203" t="s">
        <v>249</v>
      </c>
      <c r="F48" s="204"/>
    </row>
    <row r="49" spans="1:6" ht="15.95" customHeight="1" x14ac:dyDescent="0.3">
      <c r="A49" s="201">
        <v>1</v>
      </c>
      <c r="B49" s="202">
        <v>2</v>
      </c>
      <c r="C49" s="202">
        <v>19</v>
      </c>
      <c r="D49" s="203" t="s">
        <v>501</v>
      </c>
      <c r="E49" s="203" t="s">
        <v>250</v>
      </c>
      <c r="F49" s="204"/>
    </row>
    <row r="50" spans="1:6" ht="15.95" customHeight="1" x14ac:dyDescent="0.3">
      <c r="A50" s="201">
        <v>1</v>
      </c>
      <c r="B50" s="202">
        <v>2</v>
      </c>
      <c r="C50" s="202">
        <v>20</v>
      </c>
      <c r="D50" s="203" t="s">
        <v>501</v>
      </c>
      <c r="E50" s="203" t="s">
        <v>251</v>
      </c>
      <c r="F50" s="204"/>
    </row>
    <row r="51" spans="1:6" ht="15.95" customHeight="1" x14ac:dyDescent="0.3">
      <c r="A51" s="201">
        <v>1</v>
      </c>
      <c r="B51" s="202">
        <v>2</v>
      </c>
      <c r="C51" s="202">
        <v>21</v>
      </c>
      <c r="D51" s="203" t="s">
        <v>501</v>
      </c>
      <c r="E51" s="203" t="s">
        <v>252</v>
      </c>
      <c r="F51" s="204"/>
    </row>
    <row r="52" spans="1:6" ht="15.95" customHeight="1" x14ac:dyDescent="0.3">
      <c r="A52" s="201">
        <v>1</v>
      </c>
      <c r="B52" s="202">
        <v>2</v>
      </c>
      <c r="C52" s="202">
        <v>22</v>
      </c>
      <c r="D52" s="203" t="s">
        <v>501</v>
      </c>
      <c r="E52" s="203" t="s">
        <v>253</v>
      </c>
      <c r="F52" s="204"/>
    </row>
    <row r="53" spans="1:6" ht="16.7" customHeight="1" x14ac:dyDescent="0.3">
      <c r="A53" s="201">
        <v>1</v>
      </c>
      <c r="B53" s="202">
        <v>2</v>
      </c>
      <c r="C53" s="202">
        <v>24</v>
      </c>
      <c r="D53" s="203" t="s">
        <v>501</v>
      </c>
      <c r="E53" s="203" t="s">
        <v>254</v>
      </c>
      <c r="F53" s="205" t="s">
        <v>505</v>
      </c>
    </row>
    <row r="54" spans="1:6" ht="15.95" customHeight="1" x14ac:dyDescent="0.3">
      <c r="A54" s="201">
        <v>1</v>
      </c>
      <c r="B54" s="202">
        <v>2</v>
      </c>
      <c r="C54" s="202">
        <v>25</v>
      </c>
      <c r="D54" s="203" t="s">
        <v>501</v>
      </c>
      <c r="E54" s="203" t="s">
        <v>255</v>
      </c>
      <c r="F54" s="204"/>
    </row>
    <row r="55" spans="1:6" ht="15.95" customHeight="1" x14ac:dyDescent="0.3">
      <c r="A55" s="201">
        <v>1</v>
      </c>
      <c r="B55" s="202">
        <v>2</v>
      </c>
      <c r="C55" s="202">
        <v>26</v>
      </c>
      <c r="D55" s="203" t="s">
        <v>501</v>
      </c>
      <c r="E55" s="203" t="s">
        <v>256</v>
      </c>
      <c r="F55" s="204"/>
    </row>
    <row r="56" spans="1:6" ht="15.95" customHeight="1" x14ac:dyDescent="0.3">
      <c r="A56" s="201">
        <v>1</v>
      </c>
      <c r="B56" s="202">
        <v>2</v>
      </c>
      <c r="C56" s="202">
        <v>27</v>
      </c>
      <c r="D56" s="203" t="s">
        <v>501</v>
      </c>
      <c r="E56" s="203" t="s">
        <v>257</v>
      </c>
      <c r="F56" s="204"/>
    </row>
    <row r="57" spans="1:6" ht="15.95" customHeight="1" x14ac:dyDescent="0.3">
      <c r="A57" s="201">
        <v>1</v>
      </c>
      <c r="B57" s="202">
        <v>2</v>
      </c>
      <c r="C57" s="202">
        <v>28</v>
      </c>
      <c r="D57" s="203" t="s">
        <v>501</v>
      </c>
      <c r="E57" s="203" t="s">
        <v>258</v>
      </c>
      <c r="F57" s="204"/>
    </row>
    <row r="58" spans="1:6" ht="15.95" customHeight="1" x14ac:dyDescent="0.3">
      <c r="A58" s="201">
        <v>1</v>
      </c>
      <c r="B58" s="202">
        <v>2</v>
      </c>
      <c r="C58" s="202">
        <v>29</v>
      </c>
      <c r="D58" s="203" t="s">
        <v>501</v>
      </c>
      <c r="E58" s="203" t="s">
        <v>259</v>
      </c>
      <c r="F58" s="204"/>
    </row>
    <row r="59" spans="1:6" ht="16.7" customHeight="1" x14ac:dyDescent="0.3">
      <c r="A59" s="201">
        <v>1</v>
      </c>
      <c r="B59" s="202">
        <v>2</v>
      </c>
      <c r="C59" s="202">
        <v>30</v>
      </c>
      <c r="D59" s="203" t="s">
        <v>501</v>
      </c>
      <c r="E59" s="203" t="s">
        <v>260</v>
      </c>
      <c r="F59" s="205" t="s">
        <v>506</v>
      </c>
    </row>
    <row r="60" spans="1:6" ht="15.95" customHeight="1" x14ac:dyDescent="0.3">
      <c r="A60" s="201">
        <v>1</v>
      </c>
      <c r="B60" s="202">
        <v>2</v>
      </c>
      <c r="C60" s="202">
        <v>31</v>
      </c>
      <c r="D60" s="203" t="s">
        <v>501</v>
      </c>
      <c r="E60" s="203" t="s">
        <v>261</v>
      </c>
      <c r="F60" s="204"/>
    </row>
    <row r="61" spans="1:6" ht="15.95" customHeight="1" x14ac:dyDescent="0.3">
      <c r="A61" s="201">
        <v>1</v>
      </c>
      <c r="B61" s="202">
        <v>3</v>
      </c>
      <c r="C61" s="202">
        <v>1</v>
      </c>
      <c r="D61" s="203" t="s">
        <v>493</v>
      </c>
      <c r="E61" s="203" t="s">
        <v>262</v>
      </c>
      <c r="F61" s="204"/>
    </row>
    <row r="62" spans="1:6" ht="15.95" customHeight="1" x14ac:dyDescent="0.3">
      <c r="A62" s="201">
        <v>1</v>
      </c>
      <c r="B62" s="202">
        <v>3</v>
      </c>
      <c r="C62" s="202">
        <v>2</v>
      </c>
      <c r="D62" s="203" t="s">
        <v>493</v>
      </c>
      <c r="E62" s="203" t="s">
        <v>263</v>
      </c>
      <c r="F62" s="204"/>
    </row>
    <row r="63" spans="1:6" ht="15.95" customHeight="1" x14ac:dyDescent="0.3">
      <c r="A63" s="201">
        <v>1</v>
      </c>
      <c r="B63" s="202">
        <v>3</v>
      </c>
      <c r="C63" s="202">
        <v>3</v>
      </c>
      <c r="D63" s="203" t="s">
        <v>493</v>
      </c>
      <c r="E63" s="203" t="s">
        <v>264</v>
      </c>
      <c r="F63" s="204"/>
    </row>
    <row r="64" spans="1:6" ht="15.95" customHeight="1" x14ac:dyDescent="0.3">
      <c r="A64" s="201">
        <v>1</v>
      </c>
      <c r="B64" s="202">
        <v>3</v>
      </c>
      <c r="C64" s="202">
        <v>4</v>
      </c>
      <c r="D64" s="203" t="s">
        <v>493</v>
      </c>
      <c r="E64" s="203" t="s">
        <v>265</v>
      </c>
      <c r="F64" s="204"/>
    </row>
    <row r="65" spans="1:6" ht="15.95" customHeight="1" x14ac:dyDescent="0.3">
      <c r="A65" s="201">
        <v>1</v>
      </c>
      <c r="B65" s="202">
        <v>3</v>
      </c>
      <c r="C65" s="202">
        <v>5</v>
      </c>
      <c r="D65" s="203" t="s">
        <v>493</v>
      </c>
      <c r="E65" s="203" t="s">
        <v>266</v>
      </c>
      <c r="F65" s="204"/>
    </row>
    <row r="66" spans="1:6" ht="16.7" customHeight="1" x14ac:dyDescent="0.3">
      <c r="A66" s="201">
        <v>1</v>
      </c>
      <c r="B66" s="202">
        <v>3</v>
      </c>
      <c r="C66" s="202">
        <v>6</v>
      </c>
      <c r="D66" s="203" t="s">
        <v>493</v>
      </c>
      <c r="E66" s="203" t="s">
        <v>267</v>
      </c>
      <c r="F66" s="205" t="s">
        <v>507</v>
      </c>
    </row>
    <row r="67" spans="1:6" ht="15.95" customHeight="1" x14ac:dyDescent="0.3">
      <c r="A67" s="201">
        <v>1</v>
      </c>
      <c r="B67" s="202">
        <v>3</v>
      </c>
      <c r="C67" s="202">
        <v>7</v>
      </c>
      <c r="D67" s="203" t="s">
        <v>493</v>
      </c>
      <c r="E67" s="203" t="s">
        <v>268</v>
      </c>
      <c r="F67" s="204"/>
    </row>
    <row r="68" spans="1:6" ht="15.95" customHeight="1" x14ac:dyDescent="0.3">
      <c r="A68" s="201">
        <v>1</v>
      </c>
      <c r="B68" s="202">
        <v>3</v>
      </c>
      <c r="C68" s="202">
        <v>8</v>
      </c>
      <c r="D68" s="203" t="s">
        <v>493</v>
      </c>
      <c r="E68" s="203" t="s">
        <v>269</v>
      </c>
      <c r="F68" s="204"/>
    </row>
    <row r="69" spans="1:6" ht="15.95" customHeight="1" x14ac:dyDescent="0.3">
      <c r="A69" s="201">
        <v>1</v>
      </c>
      <c r="B69" s="202">
        <v>3</v>
      </c>
      <c r="C69" s="202">
        <v>9</v>
      </c>
      <c r="D69" s="203" t="s">
        <v>493</v>
      </c>
      <c r="E69" s="203" t="s">
        <v>270</v>
      </c>
      <c r="F69" s="204"/>
    </row>
    <row r="70" spans="1:6" ht="15.95" customHeight="1" x14ac:dyDescent="0.3">
      <c r="A70" s="201">
        <v>1</v>
      </c>
      <c r="B70" s="202">
        <v>3</v>
      </c>
      <c r="C70" s="202">
        <v>10</v>
      </c>
      <c r="D70" s="203" t="s">
        <v>493</v>
      </c>
      <c r="E70" s="203" t="s">
        <v>271</v>
      </c>
      <c r="F70" s="204"/>
    </row>
    <row r="71" spans="1:6" ht="15.95" customHeight="1" x14ac:dyDescent="0.3">
      <c r="A71" s="201">
        <v>1</v>
      </c>
      <c r="B71" s="202">
        <v>3</v>
      </c>
      <c r="C71" s="202">
        <v>11</v>
      </c>
      <c r="D71" s="203" t="s">
        <v>493</v>
      </c>
      <c r="E71" s="203" t="s">
        <v>272</v>
      </c>
      <c r="F71" s="204"/>
    </row>
    <row r="72" spans="1:6" ht="15.95" customHeight="1" x14ac:dyDescent="0.3">
      <c r="A72" s="201">
        <v>1</v>
      </c>
      <c r="B72" s="202">
        <v>3</v>
      </c>
      <c r="C72" s="202">
        <v>12</v>
      </c>
      <c r="D72" s="203" t="s">
        <v>493</v>
      </c>
      <c r="E72" s="203" t="s">
        <v>273</v>
      </c>
      <c r="F72" s="204"/>
    </row>
    <row r="73" spans="1:6" ht="15.95" customHeight="1" x14ac:dyDescent="0.3">
      <c r="A73" s="201">
        <v>1</v>
      </c>
      <c r="B73" s="202">
        <v>3</v>
      </c>
      <c r="C73" s="202">
        <v>13</v>
      </c>
      <c r="D73" s="203" t="s">
        <v>493</v>
      </c>
      <c r="E73" s="203" t="s">
        <v>274</v>
      </c>
      <c r="F73" s="204"/>
    </row>
    <row r="74" spans="1:6" ht="15.95" customHeight="1" x14ac:dyDescent="0.3">
      <c r="A74" s="201">
        <v>1</v>
      </c>
      <c r="B74" s="202">
        <v>3</v>
      </c>
      <c r="C74" s="202">
        <v>14</v>
      </c>
      <c r="D74" s="203" t="s">
        <v>493</v>
      </c>
      <c r="E74" s="203" t="s">
        <v>275</v>
      </c>
      <c r="F74" s="204"/>
    </row>
    <row r="75" spans="1:6" ht="15.95" customHeight="1" x14ac:dyDescent="0.3">
      <c r="A75" s="201">
        <v>1</v>
      </c>
      <c r="B75" s="202">
        <v>3</v>
      </c>
      <c r="C75" s="202">
        <v>15</v>
      </c>
      <c r="D75" s="203" t="s">
        <v>493</v>
      </c>
      <c r="E75" s="203" t="s">
        <v>276</v>
      </c>
      <c r="F75" s="204"/>
    </row>
    <row r="76" spans="1:6" ht="15.95" customHeight="1" x14ac:dyDescent="0.3">
      <c r="A76" s="201">
        <v>1</v>
      </c>
      <c r="B76" s="202">
        <v>3</v>
      </c>
      <c r="C76" s="202">
        <v>16</v>
      </c>
      <c r="D76" s="203" t="s">
        <v>501</v>
      </c>
      <c r="E76" s="203" t="s">
        <v>277</v>
      </c>
      <c r="F76" s="204"/>
    </row>
    <row r="77" spans="1:6" ht="15.95" customHeight="1" x14ac:dyDescent="0.3">
      <c r="A77" s="201">
        <v>1</v>
      </c>
      <c r="B77" s="202">
        <v>3</v>
      </c>
      <c r="C77" s="202">
        <v>17</v>
      </c>
      <c r="D77" s="203" t="s">
        <v>501</v>
      </c>
      <c r="E77" s="203" t="s">
        <v>278</v>
      </c>
      <c r="F77" s="204"/>
    </row>
    <row r="78" spans="1:6" ht="15.95" customHeight="1" x14ac:dyDescent="0.3">
      <c r="A78" s="201">
        <v>1</v>
      </c>
      <c r="B78" s="202">
        <v>3</v>
      </c>
      <c r="C78" s="202">
        <v>18</v>
      </c>
      <c r="D78" s="203" t="s">
        <v>501</v>
      </c>
      <c r="E78" s="203" t="s">
        <v>279</v>
      </c>
      <c r="F78" s="204"/>
    </row>
    <row r="79" spans="1:6" ht="15.95" customHeight="1" x14ac:dyDescent="0.3">
      <c r="A79" s="201">
        <v>1</v>
      </c>
      <c r="B79" s="202">
        <v>3</v>
      </c>
      <c r="C79" s="202">
        <v>19</v>
      </c>
      <c r="D79" s="203" t="s">
        <v>501</v>
      </c>
      <c r="E79" s="203" t="s">
        <v>280</v>
      </c>
      <c r="F79" s="204"/>
    </row>
    <row r="80" spans="1:6" ht="15.95" customHeight="1" x14ac:dyDescent="0.3">
      <c r="A80" s="201">
        <v>1</v>
      </c>
      <c r="B80" s="202">
        <v>3</v>
      </c>
      <c r="C80" s="202">
        <v>20</v>
      </c>
      <c r="D80" s="203" t="s">
        <v>501</v>
      </c>
      <c r="E80" s="203" t="s">
        <v>281</v>
      </c>
      <c r="F80" s="204"/>
    </row>
    <row r="81" spans="1:6" ht="15.95" customHeight="1" x14ac:dyDescent="0.3">
      <c r="A81" s="201">
        <v>1</v>
      </c>
      <c r="B81" s="202">
        <v>3</v>
      </c>
      <c r="C81" s="202">
        <v>21</v>
      </c>
      <c r="D81" s="203" t="s">
        <v>501</v>
      </c>
      <c r="E81" s="203" t="s">
        <v>282</v>
      </c>
      <c r="F81" s="204"/>
    </row>
    <row r="82" spans="1:6" ht="15.95" customHeight="1" x14ac:dyDescent="0.3">
      <c r="A82" s="201">
        <v>1</v>
      </c>
      <c r="B82" s="202">
        <v>3</v>
      </c>
      <c r="C82" s="202">
        <v>22</v>
      </c>
      <c r="D82" s="203" t="s">
        <v>501</v>
      </c>
      <c r="E82" s="203" t="s">
        <v>283</v>
      </c>
      <c r="F82" s="204"/>
    </row>
    <row r="83" spans="1:6" ht="15.95" customHeight="1" x14ac:dyDescent="0.3">
      <c r="A83" s="201">
        <v>1</v>
      </c>
      <c r="B83" s="202">
        <v>3</v>
      </c>
      <c r="C83" s="202">
        <v>23</v>
      </c>
      <c r="D83" s="203" t="s">
        <v>501</v>
      </c>
      <c r="E83" s="203" t="s">
        <v>284</v>
      </c>
      <c r="F83" s="204"/>
    </row>
    <row r="84" spans="1:6" ht="15.95" customHeight="1" x14ac:dyDescent="0.3">
      <c r="A84" s="201">
        <v>1</v>
      </c>
      <c r="B84" s="202">
        <v>3</v>
      </c>
      <c r="C84" s="202">
        <v>24</v>
      </c>
      <c r="D84" s="203" t="s">
        <v>501</v>
      </c>
      <c r="E84" s="203" t="s">
        <v>285</v>
      </c>
      <c r="F84" s="204"/>
    </row>
    <row r="85" spans="1:6" ht="15.95" customHeight="1" x14ac:dyDescent="0.3">
      <c r="A85" s="201">
        <v>1</v>
      </c>
      <c r="B85" s="202">
        <v>3</v>
      </c>
      <c r="C85" s="202">
        <v>25</v>
      </c>
      <c r="D85" s="203" t="s">
        <v>501</v>
      </c>
      <c r="E85" s="203" t="s">
        <v>286</v>
      </c>
      <c r="F85" s="204"/>
    </row>
    <row r="86" spans="1:6" ht="15.95" customHeight="1" x14ac:dyDescent="0.3">
      <c r="A86" s="201">
        <v>1</v>
      </c>
      <c r="B86" s="202">
        <v>3</v>
      </c>
      <c r="C86" s="202">
        <v>26</v>
      </c>
      <c r="D86" s="203" t="s">
        <v>501</v>
      </c>
      <c r="E86" s="203" t="s">
        <v>287</v>
      </c>
      <c r="F86" s="204"/>
    </row>
    <row r="87" spans="1:6" ht="15.95" customHeight="1" x14ac:dyDescent="0.3">
      <c r="A87" s="201">
        <v>1</v>
      </c>
      <c r="B87" s="202">
        <v>3</v>
      </c>
      <c r="C87" s="202">
        <v>27</v>
      </c>
      <c r="D87" s="203" t="s">
        <v>501</v>
      </c>
      <c r="E87" s="203" t="s">
        <v>288</v>
      </c>
      <c r="F87" s="204"/>
    </row>
    <row r="88" spans="1:6" ht="15.95" customHeight="1" x14ac:dyDescent="0.3">
      <c r="A88" s="201">
        <v>1</v>
      </c>
      <c r="B88" s="202">
        <v>3</v>
      </c>
      <c r="C88" s="202">
        <v>28</v>
      </c>
      <c r="D88" s="203" t="s">
        <v>501</v>
      </c>
      <c r="E88" s="203" t="s">
        <v>289</v>
      </c>
      <c r="F88" s="204"/>
    </row>
    <row r="89" spans="1:6" ht="15.95" customHeight="1" x14ac:dyDescent="0.3">
      <c r="A89" s="201">
        <v>1</v>
      </c>
      <c r="B89" s="202">
        <v>3</v>
      </c>
      <c r="C89" s="202">
        <v>29</v>
      </c>
      <c r="D89" s="203" t="s">
        <v>501</v>
      </c>
      <c r="E89" s="203" t="s">
        <v>290</v>
      </c>
      <c r="F89" s="204"/>
    </row>
    <row r="90" spans="1:6" ht="15.95" customHeight="1" x14ac:dyDescent="0.3">
      <c r="A90" s="201">
        <v>1</v>
      </c>
      <c r="B90" s="202">
        <v>3</v>
      </c>
      <c r="C90" s="202">
        <v>30</v>
      </c>
      <c r="D90" s="203" t="s">
        <v>501</v>
      </c>
      <c r="E90" s="203" t="s">
        <v>291</v>
      </c>
      <c r="F90" s="204"/>
    </row>
    <row r="91" spans="1:6" ht="15.95" customHeight="1" x14ac:dyDescent="0.3">
      <c r="A91" s="201">
        <v>1</v>
      </c>
      <c r="B91" s="202">
        <v>4</v>
      </c>
      <c r="C91" s="202">
        <v>2</v>
      </c>
      <c r="D91" s="203" t="s">
        <v>493</v>
      </c>
      <c r="E91" s="203" t="s">
        <v>292</v>
      </c>
      <c r="F91" s="204"/>
    </row>
    <row r="92" spans="1:6" ht="15.95" customHeight="1" x14ac:dyDescent="0.3">
      <c r="A92" s="201">
        <v>1</v>
      </c>
      <c r="B92" s="202">
        <v>4</v>
      </c>
      <c r="C92" s="202">
        <v>3</v>
      </c>
      <c r="D92" s="203" t="s">
        <v>493</v>
      </c>
      <c r="E92" s="203" t="s">
        <v>293</v>
      </c>
      <c r="F92" s="204"/>
    </row>
    <row r="93" spans="1:6" ht="15.95" customHeight="1" x14ac:dyDescent="0.3">
      <c r="A93" s="201">
        <v>1</v>
      </c>
      <c r="B93" s="202">
        <v>4</v>
      </c>
      <c r="C93" s="202">
        <v>4</v>
      </c>
      <c r="D93" s="203" t="s">
        <v>493</v>
      </c>
      <c r="E93" s="203" t="s">
        <v>294</v>
      </c>
      <c r="F93" s="204"/>
    </row>
    <row r="94" spans="1:6" ht="16.7" customHeight="1" x14ac:dyDescent="0.3">
      <c r="A94" s="201">
        <v>1</v>
      </c>
      <c r="B94" s="202">
        <v>4</v>
      </c>
      <c r="C94" s="202">
        <v>5</v>
      </c>
      <c r="D94" s="203" t="s">
        <v>493</v>
      </c>
      <c r="E94" s="203" t="s">
        <v>295</v>
      </c>
      <c r="F94" s="205" t="s">
        <v>508</v>
      </c>
    </row>
    <row r="95" spans="1:6" ht="15.95" customHeight="1" x14ac:dyDescent="0.3">
      <c r="A95" s="201">
        <v>1</v>
      </c>
      <c r="B95" s="202">
        <v>4</v>
      </c>
      <c r="C95" s="202">
        <v>6</v>
      </c>
      <c r="D95" s="203" t="s">
        <v>493</v>
      </c>
      <c r="E95" s="203" t="s">
        <v>296</v>
      </c>
      <c r="F95" s="204"/>
    </row>
    <row r="96" spans="1:6" ht="15.95" customHeight="1" x14ac:dyDescent="0.3">
      <c r="A96" s="201">
        <v>1</v>
      </c>
      <c r="B96" s="202">
        <v>4</v>
      </c>
      <c r="C96" s="202">
        <v>7</v>
      </c>
      <c r="D96" s="203" t="s">
        <v>493</v>
      </c>
      <c r="E96" s="203" t="s">
        <v>297</v>
      </c>
      <c r="F96" s="204"/>
    </row>
    <row r="97" spans="1:6" ht="15.95" customHeight="1" x14ac:dyDescent="0.3">
      <c r="A97" s="201">
        <v>1</v>
      </c>
      <c r="B97" s="202">
        <v>4</v>
      </c>
      <c r="C97" s="202">
        <v>8</v>
      </c>
      <c r="D97" s="203" t="s">
        <v>493</v>
      </c>
      <c r="E97" s="203" t="s">
        <v>298</v>
      </c>
      <c r="F97" s="204"/>
    </row>
    <row r="98" spans="1:6" ht="15.95" customHeight="1" x14ac:dyDescent="0.3">
      <c r="A98" s="201">
        <v>1</v>
      </c>
      <c r="B98" s="202">
        <v>4</v>
      </c>
      <c r="C98" s="202">
        <v>9</v>
      </c>
      <c r="D98" s="203" t="s">
        <v>493</v>
      </c>
      <c r="E98" s="203" t="s">
        <v>299</v>
      </c>
      <c r="F98" s="204"/>
    </row>
    <row r="99" spans="1:6" ht="15.95" customHeight="1" x14ac:dyDescent="0.3">
      <c r="A99" s="201">
        <v>1</v>
      </c>
      <c r="B99" s="202">
        <v>4</v>
      </c>
      <c r="C99" s="202">
        <v>10</v>
      </c>
      <c r="D99" s="203" t="s">
        <v>493</v>
      </c>
      <c r="E99" s="203" t="s">
        <v>300</v>
      </c>
      <c r="F99" s="204"/>
    </row>
    <row r="100" spans="1:6" ht="15.95" customHeight="1" x14ac:dyDescent="0.3">
      <c r="A100" s="201">
        <v>1</v>
      </c>
      <c r="B100" s="202">
        <v>4</v>
      </c>
      <c r="C100" s="202">
        <v>11</v>
      </c>
      <c r="D100" s="203" t="s">
        <v>493</v>
      </c>
      <c r="E100" s="203" t="s">
        <v>301</v>
      </c>
      <c r="F100" s="204"/>
    </row>
    <row r="101" spans="1:6" ht="15.95" customHeight="1" x14ac:dyDescent="0.3">
      <c r="A101" s="201">
        <v>1</v>
      </c>
      <c r="B101" s="202">
        <v>4</v>
      </c>
      <c r="C101" s="202">
        <v>12</v>
      </c>
      <c r="D101" s="203" t="s">
        <v>493</v>
      </c>
      <c r="E101" s="203" t="s">
        <v>302</v>
      </c>
      <c r="F101" s="204"/>
    </row>
    <row r="102" spans="1:6" ht="15.95" customHeight="1" x14ac:dyDescent="0.3">
      <c r="A102" s="201">
        <v>1</v>
      </c>
      <c r="B102" s="202">
        <v>4</v>
      </c>
      <c r="C102" s="202">
        <v>13</v>
      </c>
      <c r="D102" s="203" t="s">
        <v>493</v>
      </c>
      <c r="E102" s="203" t="s">
        <v>303</v>
      </c>
      <c r="F102" s="204"/>
    </row>
    <row r="103" spans="1:6" ht="15.95" customHeight="1" x14ac:dyDescent="0.3">
      <c r="A103" s="201">
        <v>1</v>
      </c>
      <c r="B103" s="202">
        <v>4</v>
      </c>
      <c r="C103" s="202">
        <v>14</v>
      </c>
      <c r="D103" s="203" t="s">
        <v>493</v>
      </c>
      <c r="E103" s="203" t="s">
        <v>304</v>
      </c>
      <c r="F103" s="204"/>
    </row>
    <row r="104" spans="1:6" ht="15.95" customHeight="1" x14ac:dyDescent="0.3">
      <c r="A104" s="201">
        <v>1</v>
      </c>
      <c r="B104" s="202">
        <v>4</v>
      </c>
      <c r="C104" s="202">
        <v>15</v>
      </c>
      <c r="D104" s="203" t="s">
        <v>493</v>
      </c>
      <c r="E104" s="203" t="s">
        <v>305</v>
      </c>
      <c r="F104" s="204"/>
    </row>
    <row r="105" spans="1:6" ht="15.95" customHeight="1" x14ac:dyDescent="0.3">
      <c r="A105" s="201">
        <v>1</v>
      </c>
      <c r="B105" s="202">
        <v>4</v>
      </c>
      <c r="C105" s="202">
        <v>16</v>
      </c>
      <c r="D105" s="203" t="s">
        <v>501</v>
      </c>
      <c r="E105" s="203" t="s">
        <v>306</v>
      </c>
      <c r="F105" s="204"/>
    </row>
    <row r="106" spans="1:6" ht="49.5" customHeight="1" x14ac:dyDescent="0.3">
      <c r="A106" s="201">
        <v>1</v>
      </c>
      <c r="B106" s="202">
        <v>4</v>
      </c>
      <c r="C106" s="202">
        <v>17</v>
      </c>
      <c r="D106" s="203" t="s">
        <v>501</v>
      </c>
      <c r="E106" s="203" t="s">
        <v>307</v>
      </c>
      <c r="F106" s="205" t="s">
        <v>509</v>
      </c>
    </row>
    <row r="107" spans="1:6" ht="15.95" customHeight="1" x14ac:dyDescent="0.3">
      <c r="A107" s="201">
        <v>1</v>
      </c>
      <c r="B107" s="202">
        <v>4</v>
      </c>
      <c r="C107" s="202">
        <v>18</v>
      </c>
      <c r="D107" s="203" t="s">
        <v>501</v>
      </c>
      <c r="E107" s="203" t="s">
        <v>308</v>
      </c>
      <c r="F107" s="204"/>
    </row>
    <row r="108" spans="1:6" ht="15.95" customHeight="1" x14ac:dyDescent="0.3">
      <c r="A108" s="201">
        <v>1</v>
      </c>
      <c r="B108" s="202">
        <v>4</v>
      </c>
      <c r="C108" s="202">
        <v>19</v>
      </c>
      <c r="D108" s="203" t="s">
        <v>501</v>
      </c>
      <c r="E108" s="203" t="s">
        <v>309</v>
      </c>
      <c r="F108" s="204"/>
    </row>
    <row r="109" spans="1:6" ht="16.7" customHeight="1" x14ac:dyDescent="0.3">
      <c r="A109" s="201">
        <v>1</v>
      </c>
      <c r="B109" s="202">
        <v>4</v>
      </c>
      <c r="C109" s="202">
        <v>20</v>
      </c>
      <c r="D109" s="203" t="s">
        <v>501</v>
      </c>
      <c r="E109" s="203" t="s">
        <v>310</v>
      </c>
      <c r="F109" s="205" t="s">
        <v>510</v>
      </c>
    </row>
    <row r="110" spans="1:6" ht="15.95" customHeight="1" x14ac:dyDescent="0.3">
      <c r="A110" s="201">
        <v>1</v>
      </c>
      <c r="B110" s="202">
        <v>4</v>
      </c>
      <c r="C110" s="202">
        <v>21</v>
      </c>
      <c r="D110" s="203" t="s">
        <v>501</v>
      </c>
      <c r="E110" s="203" t="s">
        <v>311</v>
      </c>
      <c r="F110" s="204"/>
    </row>
    <row r="111" spans="1:6" ht="15.95" customHeight="1" x14ac:dyDescent="0.3">
      <c r="A111" s="201">
        <v>1</v>
      </c>
      <c r="B111" s="202">
        <v>4</v>
      </c>
      <c r="C111" s="202">
        <v>22</v>
      </c>
      <c r="D111" s="203" t="s">
        <v>501</v>
      </c>
      <c r="E111" s="203" t="s">
        <v>312</v>
      </c>
      <c r="F111" s="204"/>
    </row>
    <row r="112" spans="1:6" ht="16.7" customHeight="1" x14ac:dyDescent="0.3">
      <c r="A112" s="201">
        <v>1</v>
      </c>
      <c r="B112" s="202">
        <v>4</v>
      </c>
      <c r="C112" s="202">
        <v>23</v>
      </c>
      <c r="D112" s="203" t="s">
        <v>501</v>
      </c>
      <c r="E112" s="203" t="s">
        <v>313</v>
      </c>
      <c r="F112" s="205" t="s">
        <v>511</v>
      </c>
    </row>
    <row r="113" spans="1:6" ht="16.7" customHeight="1" x14ac:dyDescent="0.3">
      <c r="A113" s="201">
        <v>1</v>
      </c>
      <c r="B113" s="202">
        <v>4</v>
      </c>
      <c r="C113" s="202">
        <v>24</v>
      </c>
      <c r="D113" s="203" t="s">
        <v>501</v>
      </c>
      <c r="E113" s="203" t="s">
        <v>314</v>
      </c>
      <c r="F113" s="205" t="s">
        <v>512</v>
      </c>
    </row>
    <row r="114" spans="1:6" ht="16.7" customHeight="1" x14ac:dyDescent="0.3">
      <c r="A114" s="201">
        <v>1</v>
      </c>
      <c r="B114" s="202">
        <v>4</v>
      </c>
      <c r="C114" s="202">
        <v>25</v>
      </c>
      <c r="D114" s="203" t="s">
        <v>501</v>
      </c>
      <c r="E114" s="203" t="s">
        <v>315</v>
      </c>
      <c r="F114" s="205" t="s">
        <v>513</v>
      </c>
    </row>
    <row r="115" spans="1:6" ht="33" customHeight="1" x14ac:dyDescent="0.3">
      <c r="A115" s="201">
        <v>1</v>
      </c>
      <c r="B115" s="202">
        <v>4</v>
      </c>
      <c r="C115" s="202">
        <v>26</v>
      </c>
      <c r="D115" s="203" t="s">
        <v>501</v>
      </c>
      <c r="E115" s="203" t="s">
        <v>316</v>
      </c>
      <c r="F115" s="205" t="s">
        <v>514</v>
      </c>
    </row>
    <row r="116" spans="1:6" ht="15.95" customHeight="1" x14ac:dyDescent="0.3">
      <c r="A116" s="201">
        <v>1</v>
      </c>
      <c r="B116" s="202">
        <v>4</v>
      </c>
      <c r="C116" s="202">
        <v>28</v>
      </c>
      <c r="D116" s="203" t="s">
        <v>501</v>
      </c>
      <c r="E116" s="203" t="s">
        <v>317</v>
      </c>
      <c r="F116" s="204"/>
    </row>
    <row r="117" spans="1:6" ht="15.95" customHeight="1" x14ac:dyDescent="0.3">
      <c r="A117" s="201">
        <v>1</v>
      </c>
      <c r="B117" s="202">
        <v>4</v>
      </c>
      <c r="C117" s="202">
        <v>29</v>
      </c>
      <c r="D117" s="203" t="s">
        <v>501</v>
      </c>
      <c r="E117" s="203" t="s">
        <v>318</v>
      </c>
      <c r="F117" s="204"/>
    </row>
    <row r="118" spans="1:6" ht="15.95" customHeight="1" x14ac:dyDescent="0.3">
      <c r="A118" s="201">
        <v>1</v>
      </c>
      <c r="B118" s="202">
        <v>4</v>
      </c>
      <c r="C118" s="202">
        <v>30</v>
      </c>
      <c r="D118" s="203" t="s">
        <v>501</v>
      </c>
      <c r="E118" s="203" t="s">
        <v>319</v>
      </c>
      <c r="F118" s="204"/>
    </row>
    <row r="119" spans="1:6" ht="15.95" customHeight="1" x14ac:dyDescent="0.3">
      <c r="A119" s="201">
        <v>1</v>
      </c>
      <c r="B119" s="202">
        <v>5</v>
      </c>
      <c r="C119" s="202">
        <v>1</v>
      </c>
      <c r="D119" s="203" t="s">
        <v>493</v>
      </c>
      <c r="E119" s="203" t="s">
        <v>320</v>
      </c>
      <c r="F119" s="204"/>
    </row>
    <row r="120" spans="1:6" ht="16.7" customHeight="1" x14ac:dyDescent="0.3">
      <c r="A120" s="201">
        <v>1</v>
      </c>
      <c r="B120" s="202">
        <v>5</v>
      </c>
      <c r="C120" s="202">
        <v>2</v>
      </c>
      <c r="D120" s="203" t="s">
        <v>493</v>
      </c>
      <c r="E120" s="203" t="s">
        <v>321</v>
      </c>
      <c r="F120" s="205" t="s">
        <v>515</v>
      </c>
    </row>
    <row r="121" spans="1:6" ht="16.7" customHeight="1" x14ac:dyDescent="0.3">
      <c r="A121" s="201">
        <v>1</v>
      </c>
      <c r="B121" s="202">
        <v>5</v>
      </c>
      <c r="C121" s="202">
        <v>3</v>
      </c>
      <c r="D121" s="203" t="s">
        <v>493</v>
      </c>
      <c r="E121" s="203" t="s">
        <v>322</v>
      </c>
      <c r="F121" s="205" t="s">
        <v>516</v>
      </c>
    </row>
    <row r="122" spans="1:6" ht="15.95" customHeight="1" x14ac:dyDescent="0.3">
      <c r="A122" s="201">
        <v>1</v>
      </c>
      <c r="B122" s="202">
        <v>5</v>
      </c>
      <c r="C122" s="202">
        <v>4</v>
      </c>
      <c r="D122" s="203" t="s">
        <v>493</v>
      </c>
      <c r="E122" s="203" t="s">
        <v>323</v>
      </c>
      <c r="F122" s="204"/>
    </row>
    <row r="123" spans="1:6" ht="15.95" customHeight="1" x14ac:dyDescent="0.3">
      <c r="A123" s="201">
        <v>1</v>
      </c>
      <c r="B123" s="202">
        <v>5</v>
      </c>
      <c r="C123" s="202">
        <v>5</v>
      </c>
      <c r="D123" s="203" t="s">
        <v>493</v>
      </c>
      <c r="E123" s="203" t="s">
        <v>324</v>
      </c>
      <c r="F123" s="204"/>
    </row>
    <row r="124" spans="1:6" ht="15.95" customHeight="1" x14ac:dyDescent="0.3">
      <c r="A124" s="201">
        <v>1</v>
      </c>
      <c r="B124" s="202">
        <v>5</v>
      </c>
      <c r="C124" s="202">
        <v>6</v>
      </c>
      <c r="D124" s="203" t="s">
        <v>493</v>
      </c>
      <c r="E124" s="203" t="s">
        <v>325</v>
      </c>
      <c r="F124" s="204"/>
    </row>
    <row r="125" spans="1:6" ht="16.7" customHeight="1" x14ac:dyDescent="0.3">
      <c r="A125" s="201">
        <v>1</v>
      </c>
      <c r="B125" s="202">
        <v>5</v>
      </c>
      <c r="C125" s="202">
        <v>7</v>
      </c>
      <c r="D125" s="203" t="s">
        <v>493</v>
      </c>
      <c r="E125" s="203" t="s">
        <v>204</v>
      </c>
      <c r="F125" s="205" t="s">
        <v>517</v>
      </c>
    </row>
    <row r="126" spans="1:6" ht="15.95" customHeight="1" x14ac:dyDescent="0.3">
      <c r="A126" s="201">
        <v>1</v>
      </c>
      <c r="B126" s="202">
        <v>5</v>
      </c>
      <c r="C126" s="202">
        <v>8</v>
      </c>
      <c r="D126" s="203" t="s">
        <v>493</v>
      </c>
      <c r="E126" s="203" t="s">
        <v>326</v>
      </c>
      <c r="F126" s="204"/>
    </row>
    <row r="127" spans="1:6" ht="15.95" customHeight="1" x14ac:dyDescent="0.3">
      <c r="A127" s="201">
        <v>1</v>
      </c>
      <c r="B127" s="202">
        <v>5</v>
      </c>
      <c r="C127" s="202">
        <v>9</v>
      </c>
      <c r="D127" s="203" t="s">
        <v>493</v>
      </c>
      <c r="E127" s="203" t="s">
        <v>327</v>
      </c>
      <c r="F127" s="204"/>
    </row>
    <row r="128" spans="1:6" ht="15.95" customHeight="1" x14ac:dyDescent="0.3">
      <c r="A128" s="201">
        <v>1</v>
      </c>
      <c r="B128" s="202">
        <v>5</v>
      </c>
      <c r="C128" s="202">
        <v>10</v>
      </c>
      <c r="D128" s="203" t="s">
        <v>493</v>
      </c>
      <c r="E128" s="203" t="s">
        <v>328</v>
      </c>
      <c r="F128" s="204"/>
    </row>
    <row r="129" spans="1:6" ht="15.95" customHeight="1" x14ac:dyDescent="0.3">
      <c r="A129" s="201">
        <v>1</v>
      </c>
      <c r="B129" s="202">
        <v>5</v>
      </c>
      <c r="C129" s="202">
        <v>11</v>
      </c>
      <c r="D129" s="203" t="s">
        <v>493</v>
      </c>
      <c r="E129" s="203" t="s">
        <v>329</v>
      </c>
      <c r="F129" s="204"/>
    </row>
    <row r="130" spans="1:6" ht="15.95" customHeight="1" x14ac:dyDescent="0.3">
      <c r="A130" s="201">
        <v>1</v>
      </c>
      <c r="B130" s="202">
        <v>5</v>
      </c>
      <c r="C130" s="202">
        <v>12</v>
      </c>
      <c r="D130" s="203" t="s">
        <v>493</v>
      </c>
      <c r="E130" s="203" t="s">
        <v>330</v>
      </c>
      <c r="F130" s="204"/>
    </row>
    <row r="131" spans="1:6" ht="15.95" customHeight="1" x14ac:dyDescent="0.3">
      <c r="A131" s="201">
        <v>1</v>
      </c>
      <c r="B131" s="202">
        <v>5</v>
      </c>
      <c r="C131" s="202">
        <v>13</v>
      </c>
      <c r="D131" s="203" t="s">
        <v>493</v>
      </c>
      <c r="E131" s="203" t="s">
        <v>331</v>
      </c>
      <c r="F131" s="204"/>
    </row>
    <row r="132" spans="1:6" ht="16.7" customHeight="1" x14ac:dyDescent="0.3">
      <c r="A132" s="201">
        <v>1</v>
      </c>
      <c r="B132" s="202">
        <v>5</v>
      </c>
      <c r="C132" s="202">
        <v>14</v>
      </c>
      <c r="D132" s="203" t="s">
        <v>493</v>
      </c>
      <c r="E132" s="203" t="s">
        <v>332</v>
      </c>
      <c r="F132" s="205" t="s">
        <v>500</v>
      </c>
    </row>
    <row r="133" spans="1:6" ht="15.95" customHeight="1" x14ac:dyDescent="0.3">
      <c r="A133" s="201">
        <v>1</v>
      </c>
      <c r="B133" s="202">
        <v>5</v>
      </c>
      <c r="C133" s="202">
        <v>15</v>
      </c>
      <c r="D133" s="203" t="s">
        <v>501</v>
      </c>
      <c r="E133" s="203" t="s">
        <v>333</v>
      </c>
      <c r="F133" s="204"/>
    </row>
    <row r="134" spans="1:6" ht="15.95" customHeight="1" x14ac:dyDescent="0.3">
      <c r="A134" s="201">
        <v>1</v>
      </c>
      <c r="B134" s="202">
        <v>5</v>
      </c>
      <c r="C134" s="202">
        <v>16</v>
      </c>
      <c r="D134" s="203" t="s">
        <v>501</v>
      </c>
      <c r="E134" s="203" t="s">
        <v>334</v>
      </c>
      <c r="F134" s="204"/>
    </row>
    <row r="135" spans="1:6" ht="15.95" customHeight="1" x14ac:dyDescent="0.3">
      <c r="A135" s="201">
        <v>1</v>
      </c>
      <c r="B135" s="202">
        <v>5</v>
      </c>
      <c r="C135" s="202">
        <v>17</v>
      </c>
      <c r="D135" s="203" t="s">
        <v>501</v>
      </c>
      <c r="E135" s="203" t="s">
        <v>335</v>
      </c>
      <c r="F135" s="204"/>
    </row>
    <row r="136" spans="1:6" ht="15.95" customHeight="1" x14ac:dyDescent="0.3">
      <c r="A136" s="201">
        <v>1</v>
      </c>
      <c r="B136" s="202">
        <v>5</v>
      </c>
      <c r="C136" s="202">
        <v>18</v>
      </c>
      <c r="D136" s="203" t="s">
        <v>501</v>
      </c>
      <c r="E136" s="203" t="s">
        <v>336</v>
      </c>
      <c r="F136" s="204"/>
    </row>
    <row r="137" spans="1:6" ht="15.95" customHeight="1" x14ac:dyDescent="0.3">
      <c r="A137" s="201">
        <v>1</v>
      </c>
      <c r="B137" s="202">
        <v>5</v>
      </c>
      <c r="C137" s="202">
        <v>19</v>
      </c>
      <c r="D137" s="203" t="s">
        <v>501</v>
      </c>
      <c r="E137" s="203" t="s">
        <v>337</v>
      </c>
      <c r="F137" s="204"/>
    </row>
    <row r="138" spans="1:6" ht="15.95" customHeight="1" x14ac:dyDescent="0.3">
      <c r="A138" s="201">
        <v>1</v>
      </c>
      <c r="B138" s="202">
        <v>5</v>
      </c>
      <c r="C138" s="202">
        <v>20</v>
      </c>
      <c r="D138" s="203" t="s">
        <v>501</v>
      </c>
      <c r="E138" s="203" t="s">
        <v>338</v>
      </c>
      <c r="F138" s="204"/>
    </row>
    <row r="139" spans="1:6" ht="15.95" customHeight="1" x14ac:dyDescent="0.3">
      <c r="A139" s="201">
        <v>1</v>
      </c>
      <c r="B139" s="202">
        <v>5</v>
      </c>
      <c r="C139" s="202">
        <v>21</v>
      </c>
      <c r="D139" s="203" t="s">
        <v>501</v>
      </c>
      <c r="E139" s="203" t="s">
        <v>339</v>
      </c>
      <c r="F139" s="204"/>
    </row>
    <row r="140" spans="1:6" ht="15.95" customHeight="1" x14ac:dyDescent="0.3">
      <c r="A140" s="201">
        <v>1</v>
      </c>
      <c r="B140" s="202">
        <v>5</v>
      </c>
      <c r="C140" s="202">
        <v>22</v>
      </c>
      <c r="D140" s="203" t="s">
        <v>501</v>
      </c>
      <c r="E140" s="203" t="s">
        <v>340</v>
      </c>
      <c r="F140" s="204"/>
    </row>
    <row r="141" spans="1:6" ht="15.95" customHeight="1" x14ac:dyDescent="0.3">
      <c r="A141" s="201">
        <v>1</v>
      </c>
      <c r="B141" s="202">
        <v>5</v>
      </c>
      <c r="C141" s="202">
        <v>23</v>
      </c>
      <c r="D141" s="203" t="s">
        <v>501</v>
      </c>
      <c r="E141" s="203" t="s">
        <v>341</v>
      </c>
      <c r="F141" s="204"/>
    </row>
    <row r="142" spans="1:6" ht="15.95" customHeight="1" x14ac:dyDescent="0.3">
      <c r="A142" s="201">
        <v>1</v>
      </c>
      <c r="B142" s="202">
        <v>5</v>
      </c>
      <c r="C142" s="202">
        <v>24</v>
      </c>
      <c r="D142" s="203" t="s">
        <v>501</v>
      </c>
      <c r="E142" s="203" t="s">
        <v>342</v>
      </c>
      <c r="F142" s="204"/>
    </row>
    <row r="143" spans="1:6" ht="15.95" customHeight="1" x14ac:dyDescent="0.3">
      <c r="A143" s="201">
        <v>1</v>
      </c>
      <c r="B143" s="202">
        <v>5</v>
      </c>
      <c r="C143" s="202">
        <v>25</v>
      </c>
      <c r="D143" s="203" t="s">
        <v>501</v>
      </c>
      <c r="E143" s="203" t="s">
        <v>343</v>
      </c>
      <c r="F143" s="204"/>
    </row>
    <row r="144" spans="1:6" ht="15.95" customHeight="1" x14ac:dyDescent="0.3">
      <c r="A144" s="201">
        <v>1</v>
      </c>
      <c r="B144" s="202">
        <v>5</v>
      </c>
      <c r="C144" s="202">
        <v>26</v>
      </c>
      <c r="D144" s="203" t="s">
        <v>501</v>
      </c>
      <c r="E144" s="203" t="s">
        <v>344</v>
      </c>
      <c r="F144" s="204"/>
    </row>
    <row r="145" spans="1:6" ht="15.95" customHeight="1" x14ac:dyDescent="0.3">
      <c r="A145" s="201">
        <v>1</v>
      </c>
      <c r="B145" s="202">
        <v>5</v>
      </c>
      <c r="C145" s="202">
        <v>27</v>
      </c>
      <c r="D145" s="203" t="s">
        <v>501</v>
      </c>
      <c r="E145" s="203" t="s">
        <v>345</v>
      </c>
      <c r="F145" s="204"/>
    </row>
    <row r="146" spans="1:6" ht="15.95" customHeight="1" x14ac:dyDescent="0.3">
      <c r="A146" s="201">
        <v>1</v>
      </c>
      <c r="B146" s="202">
        <v>5</v>
      </c>
      <c r="C146" s="202">
        <v>28</v>
      </c>
      <c r="D146" s="203" t="s">
        <v>501</v>
      </c>
      <c r="E146" s="203" t="s">
        <v>346</v>
      </c>
      <c r="F146" s="204"/>
    </row>
    <row r="147" spans="1:6" ht="15.95" customHeight="1" x14ac:dyDescent="0.3">
      <c r="A147" s="201">
        <v>1</v>
      </c>
      <c r="B147" s="202">
        <v>5</v>
      </c>
      <c r="C147" s="202">
        <v>29</v>
      </c>
      <c r="D147" s="203" t="s">
        <v>501</v>
      </c>
      <c r="E147" s="203" t="s">
        <v>347</v>
      </c>
      <c r="F147" s="204"/>
    </row>
    <row r="148" spans="1:6" ht="15.95" customHeight="1" x14ac:dyDescent="0.3">
      <c r="A148" s="201">
        <v>1</v>
      </c>
      <c r="B148" s="202">
        <v>5</v>
      </c>
      <c r="C148" s="202">
        <v>30</v>
      </c>
      <c r="D148" s="203" t="s">
        <v>493</v>
      </c>
      <c r="E148" s="203" t="s">
        <v>348</v>
      </c>
      <c r="F148" s="204"/>
    </row>
    <row r="149" spans="1:6" ht="49.5" customHeight="1" x14ac:dyDescent="0.3">
      <c r="A149" s="201">
        <v>1</v>
      </c>
      <c r="B149" s="202">
        <v>6</v>
      </c>
      <c r="C149" s="202">
        <v>1</v>
      </c>
      <c r="D149" s="203" t="s">
        <v>493</v>
      </c>
      <c r="E149" s="203" t="s">
        <v>349</v>
      </c>
      <c r="F149" s="205" t="s">
        <v>518</v>
      </c>
    </row>
    <row r="150" spans="1:6" ht="15.95" customHeight="1" x14ac:dyDescent="0.3">
      <c r="A150" s="201">
        <v>1</v>
      </c>
      <c r="B150" s="202">
        <v>6</v>
      </c>
      <c r="C150" s="202">
        <v>2</v>
      </c>
      <c r="D150" s="203" t="s">
        <v>493</v>
      </c>
      <c r="E150" s="203" t="s">
        <v>350</v>
      </c>
      <c r="F150" s="204"/>
    </row>
    <row r="151" spans="1:6" ht="15.95" customHeight="1" x14ac:dyDescent="0.3">
      <c r="A151" s="201">
        <v>1</v>
      </c>
      <c r="B151" s="202">
        <v>6</v>
      </c>
      <c r="C151" s="202">
        <v>3</v>
      </c>
      <c r="D151" s="203" t="s">
        <v>493</v>
      </c>
      <c r="E151" s="203" t="s">
        <v>306</v>
      </c>
      <c r="F151" s="204"/>
    </row>
    <row r="152" spans="1:6" ht="15.95" customHeight="1" x14ac:dyDescent="0.3">
      <c r="A152" s="201">
        <v>1</v>
      </c>
      <c r="B152" s="202">
        <v>6</v>
      </c>
      <c r="C152" s="202">
        <v>4</v>
      </c>
      <c r="D152" s="203" t="s">
        <v>493</v>
      </c>
      <c r="E152" s="203" t="s">
        <v>351</v>
      </c>
      <c r="F152" s="204"/>
    </row>
    <row r="153" spans="1:6" ht="16.7" customHeight="1" x14ac:dyDescent="0.3">
      <c r="A153" s="201">
        <v>1</v>
      </c>
      <c r="B153" s="202">
        <v>6</v>
      </c>
      <c r="C153" s="202">
        <v>5</v>
      </c>
      <c r="D153" s="203" t="s">
        <v>493</v>
      </c>
      <c r="E153" s="203" t="s">
        <v>352</v>
      </c>
      <c r="F153" s="205" t="s">
        <v>519</v>
      </c>
    </row>
    <row r="154" spans="1:6" ht="15.95" customHeight="1" x14ac:dyDescent="0.3">
      <c r="A154" s="201">
        <v>1</v>
      </c>
      <c r="B154" s="202">
        <v>6</v>
      </c>
      <c r="C154" s="202">
        <v>6</v>
      </c>
      <c r="D154" s="203" t="s">
        <v>493</v>
      </c>
      <c r="E154" s="203" t="s">
        <v>353</v>
      </c>
      <c r="F154" s="204"/>
    </row>
    <row r="155" spans="1:6" ht="15.95" customHeight="1" x14ac:dyDescent="0.3">
      <c r="A155" s="201">
        <v>1</v>
      </c>
      <c r="B155" s="202">
        <v>6</v>
      </c>
      <c r="C155" s="202">
        <v>7</v>
      </c>
      <c r="D155" s="203" t="s">
        <v>493</v>
      </c>
      <c r="E155" s="203" t="s">
        <v>354</v>
      </c>
      <c r="F155" s="204"/>
    </row>
    <row r="156" spans="1:6" ht="15.95" customHeight="1" x14ac:dyDescent="0.3">
      <c r="A156" s="201">
        <v>1</v>
      </c>
      <c r="B156" s="202">
        <v>6</v>
      </c>
      <c r="C156" s="202">
        <v>8</v>
      </c>
      <c r="D156" s="203" t="s">
        <v>493</v>
      </c>
      <c r="E156" s="203" t="s">
        <v>355</v>
      </c>
      <c r="F156" s="204"/>
    </row>
    <row r="157" spans="1:6" ht="15.95" customHeight="1" x14ac:dyDescent="0.3">
      <c r="A157" s="201">
        <v>1</v>
      </c>
      <c r="B157" s="202">
        <v>6</v>
      </c>
      <c r="C157" s="202">
        <v>9</v>
      </c>
      <c r="D157" s="203" t="s">
        <v>493</v>
      </c>
      <c r="E157" s="203" t="s">
        <v>356</v>
      </c>
      <c r="F157" s="204"/>
    </row>
    <row r="158" spans="1:6" ht="15.95" customHeight="1" x14ac:dyDescent="0.3">
      <c r="A158" s="201">
        <v>1</v>
      </c>
      <c r="B158" s="202">
        <v>6</v>
      </c>
      <c r="C158" s="202">
        <v>10</v>
      </c>
      <c r="D158" s="203" t="s">
        <v>493</v>
      </c>
      <c r="E158" s="203" t="s">
        <v>301</v>
      </c>
      <c r="F158" s="204"/>
    </row>
    <row r="159" spans="1:6" ht="15.95" customHeight="1" x14ac:dyDescent="0.3">
      <c r="A159" s="201">
        <v>1</v>
      </c>
      <c r="B159" s="202">
        <v>6</v>
      </c>
      <c r="C159" s="202">
        <v>11</v>
      </c>
      <c r="D159" s="203" t="s">
        <v>493</v>
      </c>
      <c r="E159" s="203" t="s">
        <v>357</v>
      </c>
      <c r="F159" s="204"/>
    </row>
    <row r="160" spans="1:6" ht="15.95" customHeight="1" x14ac:dyDescent="0.3">
      <c r="A160" s="201">
        <v>1</v>
      </c>
      <c r="B160" s="202">
        <v>6</v>
      </c>
      <c r="C160" s="202">
        <v>12</v>
      </c>
      <c r="D160" s="203" t="s">
        <v>493</v>
      </c>
      <c r="E160" s="203" t="s">
        <v>358</v>
      </c>
      <c r="F160" s="204"/>
    </row>
    <row r="161" spans="1:6" ht="15.95" customHeight="1" x14ac:dyDescent="0.3">
      <c r="A161" s="201">
        <v>1</v>
      </c>
      <c r="B161" s="202">
        <v>6</v>
      </c>
      <c r="C161" s="202">
        <v>13</v>
      </c>
      <c r="D161" s="203" t="s">
        <v>493</v>
      </c>
      <c r="E161" s="203" t="s">
        <v>359</v>
      </c>
      <c r="F161" s="204"/>
    </row>
    <row r="162" spans="1:6" ht="33" customHeight="1" x14ac:dyDescent="0.3">
      <c r="A162" s="201">
        <v>1</v>
      </c>
      <c r="B162" s="202">
        <v>6</v>
      </c>
      <c r="C162" s="202">
        <v>14</v>
      </c>
      <c r="D162" s="203" t="s">
        <v>493</v>
      </c>
      <c r="E162" s="203" t="s">
        <v>360</v>
      </c>
      <c r="F162" s="205" t="s">
        <v>520</v>
      </c>
    </row>
    <row r="163" spans="1:6" ht="15.95" customHeight="1" x14ac:dyDescent="0.3">
      <c r="A163" s="201">
        <v>1</v>
      </c>
      <c r="B163" s="202">
        <v>6</v>
      </c>
      <c r="C163" s="202">
        <v>15</v>
      </c>
      <c r="D163" s="203" t="s">
        <v>501</v>
      </c>
      <c r="E163" s="203" t="s">
        <v>361</v>
      </c>
      <c r="F163" s="204"/>
    </row>
    <row r="164" spans="1:6" ht="16.7" customHeight="1" x14ac:dyDescent="0.3">
      <c r="A164" s="201">
        <v>1</v>
      </c>
      <c r="B164" s="202">
        <v>6</v>
      </c>
      <c r="C164" s="202">
        <v>16</v>
      </c>
      <c r="D164" s="203" t="s">
        <v>501</v>
      </c>
      <c r="E164" s="203" t="s">
        <v>362</v>
      </c>
      <c r="F164" s="205" t="s">
        <v>521</v>
      </c>
    </row>
    <row r="165" spans="1:6" ht="15.95" customHeight="1" x14ac:dyDescent="0.3">
      <c r="A165" s="201">
        <v>1</v>
      </c>
      <c r="B165" s="202">
        <v>6</v>
      </c>
      <c r="C165" s="202">
        <v>17</v>
      </c>
      <c r="D165" s="203" t="s">
        <v>501</v>
      </c>
      <c r="E165" s="203" t="s">
        <v>363</v>
      </c>
      <c r="F165" s="204"/>
    </row>
    <row r="166" spans="1:6" ht="15.95" customHeight="1" x14ac:dyDescent="0.3">
      <c r="A166" s="201">
        <v>1</v>
      </c>
      <c r="B166" s="202">
        <v>6</v>
      </c>
      <c r="C166" s="202">
        <v>18</v>
      </c>
      <c r="D166" s="203" t="s">
        <v>501</v>
      </c>
      <c r="E166" s="203" t="s">
        <v>364</v>
      </c>
      <c r="F166" s="204"/>
    </row>
    <row r="167" spans="1:6" ht="15.95" customHeight="1" x14ac:dyDescent="0.3">
      <c r="A167" s="201">
        <v>1</v>
      </c>
      <c r="B167" s="202">
        <v>6</v>
      </c>
      <c r="C167" s="202">
        <v>19</v>
      </c>
      <c r="D167" s="203" t="s">
        <v>501</v>
      </c>
      <c r="E167" s="203" t="s">
        <v>365</v>
      </c>
      <c r="F167" s="204"/>
    </row>
    <row r="168" spans="1:6" ht="15.95" customHeight="1" x14ac:dyDescent="0.3">
      <c r="A168" s="201">
        <v>1</v>
      </c>
      <c r="B168" s="202">
        <v>6</v>
      </c>
      <c r="C168" s="202">
        <v>20</v>
      </c>
      <c r="D168" s="203" t="s">
        <v>501</v>
      </c>
      <c r="E168" s="203" t="s">
        <v>366</v>
      </c>
      <c r="F168" s="204"/>
    </row>
    <row r="169" spans="1:6" ht="16.7" customHeight="1" x14ac:dyDescent="0.3">
      <c r="A169" s="201">
        <v>1</v>
      </c>
      <c r="B169" s="202">
        <v>6</v>
      </c>
      <c r="C169" s="202">
        <v>21</v>
      </c>
      <c r="D169" s="203" t="s">
        <v>501</v>
      </c>
      <c r="E169" s="203" t="s">
        <v>367</v>
      </c>
      <c r="F169" s="205" t="s">
        <v>522</v>
      </c>
    </row>
    <row r="170" spans="1:6" ht="15.95" customHeight="1" x14ac:dyDescent="0.3">
      <c r="A170" s="201">
        <v>1</v>
      </c>
      <c r="B170" s="202">
        <v>6</v>
      </c>
      <c r="C170" s="202">
        <v>22</v>
      </c>
      <c r="D170" s="203" t="s">
        <v>501</v>
      </c>
      <c r="E170" s="203" t="s">
        <v>368</v>
      </c>
      <c r="F170" s="204"/>
    </row>
    <row r="171" spans="1:6" ht="15.95" customHeight="1" x14ac:dyDescent="0.3">
      <c r="A171" s="201">
        <v>1</v>
      </c>
      <c r="B171" s="202">
        <v>6</v>
      </c>
      <c r="C171" s="202">
        <v>23</v>
      </c>
      <c r="D171" s="203" t="s">
        <v>501</v>
      </c>
      <c r="E171" s="203" t="s">
        <v>369</v>
      </c>
      <c r="F171" s="204"/>
    </row>
    <row r="172" spans="1:6" ht="15.95" customHeight="1" x14ac:dyDescent="0.3">
      <c r="A172" s="201">
        <v>1</v>
      </c>
      <c r="B172" s="202">
        <v>6</v>
      </c>
      <c r="C172" s="202">
        <v>24</v>
      </c>
      <c r="D172" s="203" t="s">
        <v>501</v>
      </c>
      <c r="E172" s="203" t="s">
        <v>370</v>
      </c>
      <c r="F172" s="204"/>
    </row>
    <row r="173" spans="1:6" ht="15.95" customHeight="1" x14ac:dyDescent="0.3">
      <c r="A173" s="201">
        <v>1</v>
      </c>
      <c r="B173" s="202">
        <v>6</v>
      </c>
      <c r="C173" s="202">
        <v>25</v>
      </c>
      <c r="D173" s="203" t="s">
        <v>501</v>
      </c>
      <c r="E173" s="203" t="s">
        <v>371</v>
      </c>
      <c r="F173" s="204"/>
    </row>
    <row r="174" spans="1:6" ht="15.95" customHeight="1" x14ac:dyDescent="0.3">
      <c r="A174" s="201">
        <v>1</v>
      </c>
      <c r="B174" s="202">
        <v>6</v>
      </c>
      <c r="C174" s="202">
        <v>26</v>
      </c>
      <c r="D174" s="203" t="s">
        <v>501</v>
      </c>
      <c r="E174" s="203" t="s">
        <v>372</v>
      </c>
      <c r="F174" s="204"/>
    </row>
    <row r="175" spans="1:6" ht="15.95" customHeight="1" x14ac:dyDescent="0.3">
      <c r="A175" s="201">
        <v>1</v>
      </c>
      <c r="B175" s="202">
        <v>6</v>
      </c>
      <c r="C175" s="202">
        <v>27</v>
      </c>
      <c r="D175" s="203" t="s">
        <v>501</v>
      </c>
      <c r="E175" s="203" t="s">
        <v>373</v>
      </c>
      <c r="F175" s="204"/>
    </row>
    <row r="176" spans="1:6" ht="16.7" customHeight="1" x14ac:dyDescent="0.3">
      <c r="A176" s="201">
        <v>1</v>
      </c>
      <c r="B176" s="202">
        <v>6</v>
      </c>
      <c r="C176" s="202">
        <v>28</v>
      </c>
      <c r="D176" s="203" t="s">
        <v>501</v>
      </c>
      <c r="E176" s="203" t="s">
        <v>374</v>
      </c>
      <c r="F176" s="205" t="s">
        <v>523</v>
      </c>
    </row>
    <row r="177" spans="1:6" ht="15.95" customHeight="1" x14ac:dyDescent="0.3">
      <c r="A177" s="201">
        <v>1</v>
      </c>
      <c r="B177" s="202">
        <v>6</v>
      </c>
      <c r="C177" s="202">
        <v>29</v>
      </c>
      <c r="D177" s="203" t="s">
        <v>501</v>
      </c>
      <c r="E177" s="203" t="s">
        <v>375</v>
      </c>
      <c r="F177" s="204"/>
    </row>
    <row r="178" spans="1:6" ht="16.7" customHeight="1" x14ac:dyDescent="0.3">
      <c r="A178" s="201">
        <v>1</v>
      </c>
      <c r="B178" s="202">
        <v>7</v>
      </c>
      <c r="C178" s="202">
        <v>1</v>
      </c>
      <c r="D178" s="203" t="s">
        <v>493</v>
      </c>
      <c r="E178" s="203" t="s">
        <v>376</v>
      </c>
      <c r="F178" s="205" t="s">
        <v>499</v>
      </c>
    </row>
    <row r="179" spans="1:6" ht="15.95" customHeight="1" x14ac:dyDescent="0.3">
      <c r="A179" s="201">
        <v>1</v>
      </c>
      <c r="B179" s="202">
        <v>7</v>
      </c>
      <c r="C179" s="202">
        <v>2</v>
      </c>
      <c r="D179" s="203" t="s">
        <v>493</v>
      </c>
      <c r="E179" s="203" t="s">
        <v>377</v>
      </c>
      <c r="F179" s="204"/>
    </row>
    <row r="180" spans="1:6" ht="15.95" customHeight="1" x14ac:dyDescent="0.3">
      <c r="A180" s="201">
        <v>1</v>
      </c>
      <c r="B180" s="202">
        <v>7</v>
      </c>
      <c r="C180" s="202">
        <v>3</v>
      </c>
      <c r="D180" s="203" t="s">
        <v>493</v>
      </c>
      <c r="E180" s="203" t="s">
        <v>378</v>
      </c>
      <c r="F180" s="204"/>
    </row>
    <row r="181" spans="1:6" ht="15.95" customHeight="1" x14ac:dyDescent="0.3">
      <c r="A181" s="201">
        <v>1</v>
      </c>
      <c r="B181" s="202">
        <v>7</v>
      </c>
      <c r="C181" s="202">
        <v>4</v>
      </c>
      <c r="D181" s="203" t="s">
        <v>493</v>
      </c>
      <c r="E181" s="203" t="s">
        <v>379</v>
      </c>
      <c r="F181" s="204"/>
    </row>
    <row r="182" spans="1:6" ht="15.95" customHeight="1" x14ac:dyDescent="0.3">
      <c r="A182" s="201">
        <v>1</v>
      </c>
      <c r="B182" s="202">
        <v>7</v>
      </c>
      <c r="C182" s="202">
        <v>5</v>
      </c>
      <c r="D182" s="203" t="s">
        <v>493</v>
      </c>
      <c r="E182" s="203" t="s">
        <v>380</v>
      </c>
      <c r="F182" s="204"/>
    </row>
    <row r="183" spans="1:6" ht="15.95" customHeight="1" x14ac:dyDescent="0.3">
      <c r="A183" s="201">
        <v>1</v>
      </c>
      <c r="B183" s="202">
        <v>7</v>
      </c>
      <c r="C183" s="202">
        <v>6</v>
      </c>
      <c r="D183" s="203" t="s">
        <v>493</v>
      </c>
      <c r="E183" s="203" t="s">
        <v>381</v>
      </c>
      <c r="F183" s="204"/>
    </row>
    <row r="184" spans="1:6" ht="15.95" customHeight="1" x14ac:dyDescent="0.3">
      <c r="A184" s="201">
        <v>1</v>
      </c>
      <c r="B184" s="202">
        <v>7</v>
      </c>
      <c r="C184" s="202">
        <v>7</v>
      </c>
      <c r="D184" s="203" t="s">
        <v>493</v>
      </c>
      <c r="E184" s="203" t="s">
        <v>382</v>
      </c>
      <c r="F184" s="204"/>
    </row>
    <row r="185" spans="1:6" ht="16.7" customHeight="1" x14ac:dyDescent="0.3">
      <c r="A185" s="201">
        <v>1</v>
      </c>
      <c r="B185" s="202">
        <v>7</v>
      </c>
      <c r="C185" s="202">
        <v>8</v>
      </c>
      <c r="D185" s="203" t="s">
        <v>493</v>
      </c>
      <c r="E185" s="203" t="s">
        <v>383</v>
      </c>
      <c r="F185" s="205" t="s">
        <v>524</v>
      </c>
    </row>
    <row r="186" spans="1:6" ht="15.95" customHeight="1" x14ac:dyDescent="0.3">
      <c r="A186" s="201">
        <v>1</v>
      </c>
      <c r="B186" s="202">
        <v>7</v>
      </c>
      <c r="C186" s="202">
        <v>9</v>
      </c>
      <c r="D186" s="203" t="s">
        <v>493</v>
      </c>
      <c r="E186" s="203" t="s">
        <v>384</v>
      </c>
      <c r="F186" s="204"/>
    </row>
    <row r="187" spans="1:6" ht="15.95" customHeight="1" x14ac:dyDescent="0.3">
      <c r="A187" s="201">
        <v>1</v>
      </c>
      <c r="B187" s="202">
        <v>7</v>
      </c>
      <c r="C187" s="202">
        <v>10</v>
      </c>
      <c r="D187" s="203" t="s">
        <v>493</v>
      </c>
      <c r="E187" s="203" t="s">
        <v>385</v>
      </c>
      <c r="F187" s="204"/>
    </row>
    <row r="188" spans="1:6" ht="16.7" customHeight="1" x14ac:dyDescent="0.3">
      <c r="A188" s="201">
        <v>1</v>
      </c>
      <c r="B188" s="202">
        <v>7</v>
      </c>
      <c r="C188" s="202">
        <v>11</v>
      </c>
      <c r="D188" s="203" t="s">
        <v>493</v>
      </c>
      <c r="E188" s="203" t="s">
        <v>386</v>
      </c>
      <c r="F188" s="205" t="s">
        <v>525</v>
      </c>
    </row>
    <row r="189" spans="1:6" ht="15.95" customHeight="1" x14ac:dyDescent="0.3">
      <c r="A189" s="201">
        <v>1</v>
      </c>
      <c r="B189" s="202">
        <v>7</v>
      </c>
      <c r="C189" s="202">
        <v>12</v>
      </c>
      <c r="D189" s="203" t="s">
        <v>493</v>
      </c>
      <c r="E189" s="203" t="s">
        <v>387</v>
      </c>
      <c r="F189" s="204"/>
    </row>
    <row r="190" spans="1:6" ht="15.95" customHeight="1" x14ac:dyDescent="0.3">
      <c r="A190" s="201">
        <v>1</v>
      </c>
      <c r="B190" s="202">
        <v>7</v>
      </c>
      <c r="C190" s="202">
        <v>13</v>
      </c>
      <c r="D190" s="203" t="s">
        <v>493</v>
      </c>
      <c r="E190" s="203" t="s">
        <v>388</v>
      </c>
      <c r="F190" s="204"/>
    </row>
    <row r="191" spans="1:6" ht="33" customHeight="1" x14ac:dyDescent="0.3">
      <c r="A191" s="201">
        <v>1</v>
      </c>
      <c r="B191" s="202">
        <v>7</v>
      </c>
      <c r="C191" s="202">
        <v>14</v>
      </c>
      <c r="D191" s="203" t="s">
        <v>493</v>
      </c>
      <c r="E191" s="203" t="s">
        <v>389</v>
      </c>
      <c r="F191" s="205" t="s">
        <v>526</v>
      </c>
    </row>
    <row r="192" spans="1:6" ht="16.7" customHeight="1" x14ac:dyDescent="0.3">
      <c r="A192" s="201">
        <v>1</v>
      </c>
      <c r="B192" s="202">
        <v>7</v>
      </c>
      <c r="C192" s="202">
        <v>15</v>
      </c>
      <c r="D192" s="203" t="s">
        <v>501</v>
      </c>
      <c r="E192" s="203" t="s">
        <v>390</v>
      </c>
      <c r="F192" s="205" t="s">
        <v>499</v>
      </c>
    </row>
    <row r="193" spans="1:6" ht="15.95" customHeight="1" x14ac:dyDescent="0.3">
      <c r="A193" s="201">
        <v>1</v>
      </c>
      <c r="B193" s="202">
        <v>7</v>
      </c>
      <c r="C193" s="202">
        <v>16</v>
      </c>
      <c r="D193" s="203" t="s">
        <v>501</v>
      </c>
      <c r="E193" s="203" t="s">
        <v>391</v>
      </c>
      <c r="F193" s="204"/>
    </row>
    <row r="194" spans="1:6" ht="15.95" customHeight="1" x14ac:dyDescent="0.3">
      <c r="A194" s="201">
        <v>1</v>
      </c>
      <c r="B194" s="202">
        <v>7</v>
      </c>
      <c r="C194" s="202">
        <v>17</v>
      </c>
      <c r="D194" s="203" t="s">
        <v>501</v>
      </c>
      <c r="E194" s="203" t="s">
        <v>392</v>
      </c>
      <c r="F194" s="204"/>
    </row>
    <row r="195" spans="1:6" ht="15.95" customHeight="1" x14ac:dyDescent="0.3">
      <c r="A195" s="201">
        <v>1</v>
      </c>
      <c r="B195" s="202">
        <v>7</v>
      </c>
      <c r="C195" s="202">
        <v>18</v>
      </c>
      <c r="D195" s="203" t="s">
        <v>501</v>
      </c>
      <c r="E195" s="203" t="s">
        <v>393</v>
      </c>
      <c r="F195" s="204"/>
    </row>
    <row r="196" spans="1:6" ht="15.95" customHeight="1" x14ac:dyDescent="0.3">
      <c r="A196" s="201">
        <v>1</v>
      </c>
      <c r="B196" s="202">
        <v>7</v>
      </c>
      <c r="C196" s="202">
        <v>19</v>
      </c>
      <c r="D196" s="203" t="s">
        <v>501</v>
      </c>
      <c r="E196" s="203" t="s">
        <v>394</v>
      </c>
      <c r="F196" s="204"/>
    </row>
    <row r="197" spans="1:6" ht="15.95" customHeight="1" x14ac:dyDescent="0.3">
      <c r="A197" s="201">
        <v>1</v>
      </c>
      <c r="B197" s="202">
        <v>7</v>
      </c>
      <c r="C197" s="202">
        <v>20</v>
      </c>
      <c r="D197" s="203" t="s">
        <v>501</v>
      </c>
      <c r="E197" s="203" t="s">
        <v>395</v>
      </c>
      <c r="F197" s="204"/>
    </row>
    <row r="198" spans="1:6" ht="15.95" customHeight="1" x14ac:dyDescent="0.3">
      <c r="A198" s="201">
        <v>1</v>
      </c>
      <c r="B198" s="202">
        <v>7</v>
      </c>
      <c r="C198" s="202">
        <v>21</v>
      </c>
      <c r="D198" s="203" t="s">
        <v>501</v>
      </c>
      <c r="E198" s="203" t="s">
        <v>396</v>
      </c>
      <c r="F198" s="204"/>
    </row>
    <row r="199" spans="1:6" ht="15.95" customHeight="1" x14ac:dyDescent="0.3">
      <c r="A199" s="201">
        <v>1</v>
      </c>
      <c r="B199" s="202">
        <v>7</v>
      </c>
      <c r="C199" s="202">
        <v>22</v>
      </c>
      <c r="D199" s="203" t="s">
        <v>501</v>
      </c>
      <c r="E199" s="203" t="s">
        <v>397</v>
      </c>
      <c r="F199" s="204"/>
    </row>
    <row r="200" spans="1:6" ht="16.7" customHeight="1" x14ac:dyDescent="0.3">
      <c r="A200" s="201">
        <v>1</v>
      </c>
      <c r="B200" s="202">
        <v>7</v>
      </c>
      <c r="C200" s="202">
        <v>23</v>
      </c>
      <c r="D200" s="203" t="s">
        <v>501</v>
      </c>
      <c r="E200" s="203" t="s">
        <v>398</v>
      </c>
      <c r="F200" s="205" t="s">
        <v>527</v>
      </c>
    </row>
    <row r="201" spans="1:6" ht="15.95" customHeight="1" x14ac:dyDescent="0.3">
      <c r="A201" s="201">
        <v>1</v>
      </c>
      <c r="B201" s="202">
        <v>7</v>
      </c>
      <c r="C201" s="202">
        <v>24</v>
      </c>
      <c r="D201" s="203" t="s">
        <v>501</v>
      </c>
      <c r="E201" s="203" t="s">
        <v>399</v>
      </c>
      <c r="F201" s="204"/>
    </row>
    <row r="202" spans="1:6" ht="33" customHeight="1" x14ac:dyDescent="0.3">
      <c r="A202" s="201">
        <v>1</v>
      </c>
      <c r="B202" s="202">
        <v>7</v>
      </c>
      <c r="C202" s="202">
        <v>25</v>
      </c>
      <c r="D202" s="203" t="s">
        <v>501</v>
      </c>
      <c r="E202" s="203" t="s">
        <v>400</v>
      </c>
      <c r="F202" s="205" t="s">
        <v>528</v>
      </c>
    </row>
    <row r="203" spans="1:6" ht="15.95" customHeight="1" x14ac:dyDescent="0.3">
      <c r="A203" s="201">
        <v>1</v>
      </c>
      <c r="B203" s="202">
        <v>7</v>
      </c>
      <c r="C203" s="202">
        <v>26</v>
      </c>
      <c r="D203" s="203" t="s">
        <v>501</v>
      </c>
      <c r="E203" s="203" t="s">
        <v>401</v>
      </c>
      <c r="F203" s="204"/>
    </row>
    <row r="204" spans="1:6" ht="15.95" customHeight="1" x14ac:dyDescent="0.3">
      <c r="A204" s="201">
        <v>1</v>
      </c>
      <c r="B204" s="202">
        <v>7</v>
      </c>
      <c r="C204" s="202">
        <v>27</v>
      </c>
      <c r="D204" s="203" t="s">
        <v>501</v>
      </c>
      <c r="E204" s="203" t="s">
        <v>402</v>
      </c>
      <c r="F204" s="204"/>
    </row>
    <row r="205" spans="1:6" ht="15.95" customHeight="1" x14ac:dyDescent="0.3">
      <c r="A205" s="201">
        <v>1</v>
      </c>
      <c r="B205" s="202">
        <v>7</v>
      </c>
      <c r="C205" s="202">
        <v>28</v>
      </c>
      <c r="D205" s="203" t="s">
        <v>501</v>
      </c>
      <c r="E205" s="203" t="s">
        <v>403</v>
      </c>
      <c r="F205" s="204"/>
    </row>
    <row r="206" spans="1:6" ht="15.95" customHeight="1" x14ac:dyDescent="0.3">
      <c r="A206" s="201">
        <v>1</v>
      </c>
      <c r="B206" s="202">
        <v>7</v>
      </c>
      <c r="C206" s="202">
        <v>29</v>
      </c>
      <c r="D206" s="203" t="s">
        <v>501</v>
      </c>
      <c r="E206" s="203" t="s">
        <v>404</v>
      </c>
      <c r="F206" s="204"/>
    </row>
    <row r="207" spans="1:6" ht="15.95" customHeight="1" x14ac:dyDescent="0.3">
      <c r="A207" s="201">
        <v>1</v>
      </c>
      <c r="B207" s="202">
        <v>7</v>
      </c>
      <c r="C207" s="202">
        <v>30</v>
      </c>
      <c r="D207" s="203" t="s">
        <v>501</v>
      </c>
      <c r="E207" s="203" t="s">
        <v>405</v>
      </c>
      <c r="F207" s="204"/>
    </row>
    <row r="208" spans="1:6" ht="15.95" customHeight="1" x14ac:dyDescent="0.3">
      <c r="A208" s="201">
        <v>1</v>
      </c>
      <c r="B208" s="202">
        <v>8</v>
      </c>
      <c r="C208" s="202">
        <v>1</v>
      </c>
      <c r="D208" s="203" t="s">
        <v>493</v>
      </c>
      <c r="E208" s="203" t="s">
        <v>406</v>
      </c>
      <c r="F208" s="204"/>
    </row>
    <row r="209" spans="1:6" ht="15.95" customHeight="1" x14ac:dyDescent="0.3">
      <c r="A209" s="201">
        <v>1</v>
      </c>
      <c r="B209" s="202">
        <v>8</v>
      </c>
      <c r="C209" s="202">
        <v>2</v>
      </c>
      <c r="D209" s="203" t="s">
        <v>493</v>
      </c>
      <c r="E209" s="203" t="s">
        <v>407</v>
      </c>
      <c r="F209" s="204"/>
    </row>
    <row r="210" spans="1:6" ht="15.95" customHeight="1" x14ac:dyDescent="0.3">
      <c r="A210" s="201">
        <v>1</v>
      </c>
      <c r="B210" s="202">
        <v>8</v>
      </c>
      <c r="C210" s="202">
        <v>3</v>
      </c>
      <c r="D210" s="203" t="s">
        <v>493</v>
      </c>
      <c r="E210" s="203" t="s">
        <v>408</v>
      </c>
      <c r="F210" s="204"/>
    </row>
    <row r="211" spans="1:6" ht="15.95" customHeight="1" x14ac:dyDescent="0.3">
      <c r="A211" s="201">
        <v>1</v>
      </c>
      <c r="B211" s="202">
        <v>8</v>
      </c>
      <c r="C211" s="202">
        <v>4</v>
      </c>
      <c r="D211" s="203" t="s">
        <v>493</v>
      </c>
      <c r="E211" s="203" t="s">
        <v>409</v>
      </c>
      <c r="F211" s="204"/>
    </row>
    <row r="212" spans="1:6" ht="15.95" customHeight="1" x14ac:dyDescent="0.3">
      <c r="A212" s="201">
        <v>1</v>
      </c>
      <c r="B212" s="202">
        <v>8</v>
      </c>
      <c r="C212" s="202">
        <v>5</v>
      </c>
      <c r="D212" s="203" t="s">
        <v>493</v>
      </c>
      <c r="E212" s="203" t="s">
        <v>410</v>
      </c>
      <c r="F212" s="204"/>
    </row>
    <row r="213" spans="1:6" ht="15.95" customHeight="1" x14ac:dyDescent="0.3">
      <c r="A213" s="201">
        <v>1</v>
      </c>
      <c r="B213" s="202">
        <v>8</v>
      </c>
      <c r="C213" s="202">
        <v>6</v>
      </c>
      <c r="D213" s="203" t="s">
        <v>493</v>
      </c>
      <c r="E213" s="203" t="s">
        <v>411</v>
      </c>
      <c r="F213" s="204"/>
    </row>
    <row r="214" spans="1:6" ht="15.95" customHeight="1" x14ac:dyDescent="0.3">
      <c r="A214" s="201">
        <v>1</v>
      </c>
      <c r="B214" s="202">
        <v>8</v>
      </c>
      <c r="C214" s="202">
        <v>7</v>
      </c>
      <c r="D214" s="203" t="s">
        <v>493</v>
      </c>
      <c r="E214" s="203" t="s">
        <v>412</v>
      </c>
      <c r="F214" s="204"/>
    </row>
    <row r="215" spans="1:6" ht="15.95" customHeight="1" x14ac:dyDescent="0.3">
      <c r="A215" s="201">
        <v>1</v>
      </c>
      <c r="B215" s="202">
        <v>8</v>
      </c>
      <c r="C215" s="202">
        <v>8</v>
      </c>
      <c r="D215" s="203" t="s">
        <v>493</v>
      </c>
      <c r="E215" s="203" t="s">
        <v>413</v>
      </c>
      <c r="F215" s="204"/>
    </row>
    <row r="216" spans="1:6" ht="15.95" customHeight="1" x14ac:dyDescent="0.3">
      <c r="A216" s="201">
        <v>1</v>
      </c>
      <c r="B216" s="202">
        <v>8</v>
      </c>
      <c r="C216" s="202">
        <v>9</v>
      </c>
      <c r="D216" s="203" t="s">
        <v>493</v>
      </c>
      <c r="E216" s="203" t="s">
        <v>414</v>
      </c>
      <c r="F216" s="204"/>
    </row>
    <row r="217" spans="1:6" ht="33" customHeight="1" x14ac:dyDescent="0.3">
      <c r="A217" s="201">
        <v>1</v>
      </c>
      <c r="B217" s="202">
        <v>8</v>
      </c>
      <c r="C217" s="202">
        <v>10</v>
      </c>
      <c r="D217" s="203" t="s">
        <v>493</v>
      </c>
      <c r="E217" s="203" t="s">
        <v>415</v>
      </c>
      <c r="F217" s="205" t="s">
        <v>529</v>
      </c>
    </row>
    <row r="218" spans="1:6" ht="15.95" customHeight="1" x14ac:dyDescent="0.3">
      <c r="A218" s="201">
        <v>1</v>
      </c>
      <c r="B218" s="202">
        <v>8</v>
      </c>
      <c r="C218" s="202">
        <v>11</v>
      </c>
      <c r="D218" s="203" t="s">
        <v>493</v>
      </c>
      <c r="E218" s="203" t="s">
        <v>416</v>
      </c>
      <c r="F218" s="204"/>
    </row>
    <row r="219" spans="1:6" ht="15.95" customHeight="1" x14ac:dyDescent="0.3">
      <c r="A219" s="201">
        <v>1</v>
      </c>
      <c r="B219" s="202">
        <v>8</v>
      </c>
      <c r="C219" s="202">
        <v>12</v>
      </c>
      <c r="D219" s="203" t="s">
        <v>493</v>
      </c>
      <c r="E219" s="203" t="s">
        <v>417</v>
      </c>
      <c r="F219" s="204"/>
    </row>
    <row r="220" spans="1:6" ht="15.95" customHeight="1" x14ac:dyDescent="0.3">
      <c r="A220" s="201">
        <v>1</v>
      </c>
      <c r="B220" s="202">
        <v>8</v>
      </c>
      <c r="C220" s="202">
        <v>13</v>
      </c>
      <c r="D220" s="203" t="s">
        <v>493</v>
      </c>
      <c r="E220" s="203" t="s">
        <v>418</v>
      </c>
      <c r="F220" s="204"/>
    </row>
    <row r="221" spans="1:6" ht="15.95" customHeight="1" x14ac:dyDescent="0.3">
      <c r="A221" s="201">
        <v>1</v>
      </c>
      <c r="B221" s="202">
        <v>8</v>
      </c>
      <c r="C221" s="202">
        <v>14</v>
      </c>
      <c r="D221" s="203" t="s">
        <v>493</v>
      </c>
      <c r="E221" s="203" t="s">
        <v>419</v>
      </c>
      <c r="F221" s="204"/>
    </row>
    <row r="222" spans="1:6" ht="15.95" customHeight="1" x14ac:dyDescent="0.3">
      <c r="A222" s="201">
        <v>1</v>
      </c>
      <c r="B222" s="202">
        <v>8</v>
      </c>
      <c r="C222" s="202">
        <v>16</v>
      </c>
      <c r="D222" s="203" t="s">
        <v>501</v>
      </c>
      <c r="E222" s="203" t="s">
        <v>420</v>
      </c>
      <c r="F222" s="204"/>
    </row>
    <row r="223" spans="1:6" ht="15.95" customHeight="1" x14ac:dyDescent="0.3">
      <c r="A223" s="201">
        <v>1</v>
      </c>
      <c r="B223" s="202">
        <v>8</v>
      </c>
      <c r="C223" s="202">
        <v>17</v>
      </c>
      <c r="D223" s="203" t="s">
        <v>501</v>
      </c>
      <c r="E223" s="203" t="s">
        <v>421</v>
      </c>
      <c r="F223" s="204"/>
    </row>
    <row r="224" spans="1:6" ht="15.95" customHeight="1" x14ac:dyDescent="0.3">
      <c r="A224" s="201">
        <v>1</v>
      </c>
      <c r="B224" s="202">
        <v>8</v>
      </c>
      <c r="C224" s="202">
        <v>18</v>
      </c>
      <c r="D224" s="203" t="s">
        <v>501</v>
      </c>
      <c r="E224" s="203" t="s">
        <v>422</v>
      </c>
      <c r="F224" s="204"/>
    </row>
    <row r="225" spans="1:6" ht="15.95" customHeight="1" x14ac:dyDescent="0.3">
      <c r="A225" s="201">
        <v>1</v>
      </c>
      <c r="B225" s="202">
        <v>8</v>
      </c>
      <c r="C225" s="202">
        <v>19</v>
      </c>
      <c r="D225" s="203" t="s">
        <v>501</v>
      </c>
      <c r="E225" s="203" t="s">
        <v>423</v>
      </c>
      <c r="F225" s="204"/>
    </row>
    <row r="226" spans="1:6" ht="15.95" customHeight="1" x14ac:dyDescent="0.3">
      <c r="A226" s="201">
        <v>1</v>
      </c>
      <c r="B226" s="202">
        <v>8</v>
      </c>
      <c r="C226" s="202">
        <v>20</v>
      </c>
      <c r="D226" s="203" t="s">
        <v>501</v>
      </c>
      <c r="E226" s="203" t="s">
        <v>424</v>
      </c>
      <c r="F226" s="204"/>
    </row>
    <row r="227" spans="1:6" ht="15.95" customHeight="1" x14ac:dyDescent="0.3">
      <c r="A227" s="201">
        <v>1</v>
      </c>
      <c r="B227" s="202">
        <v>8</v>
      </c>
      <c r="C227" s="202">
        <v>21</v>
      </c>
      <c r="D227" s="203" t="s">
        <v>501</v>
      </c>
      <c r="E227" s="203" t="s">
        <v>425</v>
      </c>
      <c r="F227" s="204"/>
    </row>
    <row r="228" spans="1:6" ht="15.95" customHeight="1" x14ac:dyDescent="0.3">
      <c r="A228" s="201">
        <v>1</v>
      </c>
      <c r="B228" s="202">
        <v>8</v>
      </c>
      <c r="C228" s="202">
        <v>22</v>
      </c>
      <c r="D228" s="203" t="s">
        <v>501</v>
      </c>
      <c r="E228" s="203" t="s">
        <v>426</v>
      </c>
      <c r="F228" s="204"/>
    </row>
    <row r="229" spans="1:6" ht="15.95" customHeight="1" x14ac:dyDescent="0.3">
      <c r="A229" s="201">
        <v>1</v>
      </c>
      <c r="B229" s="202">
        <v>8</v>
      </c>
      <c r="C229" s="202">
        <v>23</v>
      </c>
      <c r="D229" s="203" t="s">
        <v>501</v>
      </c>
      <c r="E229" s="203" t="s">
        <v>427</v>
      </c>
      <c r="F229" s="204"/>
    </row>
    <row r="230" spans="1:6" ht="15.95" customHeight="1" x14ac:dyDescent="0.3">
      <c r="A230" s="201">
        <v>1</v>
      </c>
      <c r="B230" s="202">
        <v>8</v>
      </c>
      <c r="C230" s="202">
        <v>24</v>
      </c>
      <c r="D230" s="203" t="s">
        <v>501</v>
      </c>
      <c r="E230" s="203" t="s">
        <v>428</v>
      </c>
      <c r="F230" s="204"/>
    </row>
    <row r="231" spans="1:6" ht="15.95" customHeight="1" x14ac:dyDescent="0.3">
      <c r="A231" s="201">
        <v>1</v>
      </c>
      <c r="B231" s="202">
        <v>8</v>
      </c>
      <c r="C231" s="202">
        <v>25</v>
      </c>
      <c r="D231" s="203" t="s">
        <v>501</v>
      </c>
      <c r="E231" s="203" t="s">
        <v>429</v>
      </c>
      <c r="F231" s="204"/>
    </row>
    <row r="232" spans="1:6" ht="15.95" customHeight="1" x14ac:dyDescent="0.3">
      <c r="A232" s="201">
        <v>1</v>
      </c>
      <c r="B232" s="202">
        <v>8</v>
      </c>
      <c r="C232" s="202">
        <v>26</v>
      </c>
      <c r="D232" s="203" t="s">
        <v>501</v>
      </c>
      <c r="E232" s="203" t="s">
        <v>430</v>
      </c>
      <c r="F232" s="204"/>
    </row>
    <row r="233" spans="1:6" ht="15.95" customHeight="1" x14ac:dyDescent="0.3">
      <c r="A233" s="201">
        <v>1</v>
      </c>
      <c r="B233" s="202">
        <v>8</v>
      </c>
      <c r="C233" s="202">
        <v>27</v>
      </c>
      <c r="D233" s="203" t="s">
        <v>501</v>
      </c>
      <c r="E233" s="203" t="s">
        <v>431</v>
      </c>
      <c r="F233" s="204"/>
    </row>
    <row r="234" spans="1:6" ht="15.95" customHeight="1" x14ac:dyDescent="0.3">
      <c r="A234" s="201">
        <v>1</v>
      </c>
      <c r="B234" s="202">
        <v>8</v>
      </c>
      <c r="C234" s="202">
        <v>28</v>
      </c>
      <c r="D234" s="203" t="s">
        <v>501</v>
      </c>
      <c r="E234" s="203" t="s">
        <v>432</v>
      </c>
      <c r="F234" s="204"/>
    </row>
    <row r="235" spans="1:6" ht="15.95" customHeight="1" x14ac:dyDescent="0.3">
      <c r="A235" s="201">
        <v>1</v>
      </c>
      <c r="B235" s="202">
        <v>8</v>
      </c>
      <c r="C235" s="202">
        <v>29</v>
      </c>
      <c r="D235" s="203" t="s">
        <v>501</v>
      </c>
      <c r="E235" s="203" t="s">
        <v>375</v>
      </c>
      <c r="F235" s="204"/>
    </row>
    <row r="236" spans="1:6" ht="15.95" customHeight="1" x14ac:dyDescent="0.3">
      <c r="A236" s="201">
        <v>1</v>
      </c>
      <c r="B236" s="202">
        <v>8</v>
      </c>
      <c r="C236" s="202">
        <v>30</v>
      </c>
      <c r="D236" s="203" t="s">
        <v>493</v>
      </c>
      <c r="E236" s="203" t="s">
        <v>198</v>
      </c>
      <c r="F236" s="204"/>
    </row>
    <row r="237" spans="1:6" ht="15.95" customHeight="1" x14ac:dyDescent="0.3">
      <c r="A237" s="201">
        <v>1</v>
      </c>
      <c r="B237" s="202">
        <v>9</v>
      </c>
      <c r="C237" s="202">
        <v>1</v>
      </c>
      <c r="D237" s="203" t="s">
        <v>493</v>
      </c>
      <c r="E237" s="203" t="s">
        <v>433</v>
      </c>
      <c r="F237" s="204"/>
    </row>
    <row r="238" spans="1:6" ht="15.95" customHeight="1" x14ac:dyDescent="0.3">
      <c r="A238" s="201">
        <v>1</v>
      </c>
      <c r="B238" s="202">
        <v>9</v>
      </c>
      <c r="C238" s="202">
        <v>2</v>
      </c>
      <c r="D238" s="203" t="s">
        <v>493</v>
      </c>
      <c r="E238" s="203" t="s">
        <v>434</v>
      </c>
      <c r="F238" s="204"/>
    </row>
    <row r="239" spans="1:6" ht="15.95" customHeight="1" x14ac:dyDescent="0.3">
      <c r="A239" s="201">
        <v>1</v>
      </c>
      <c r="B239" s="202">
        <v>9</v>
      </c>
      <c r="C239" s="202">
        <v>3</v>
      </c>
      <c r="D239" s="203" t="s">
        <v>493</v>
      </c>
      <c r="E239" s="203" t="s">
        <v>435</v>
      </c>
      <c r="F239" s="204"/>
    </row>
    <row r="240" spans="1:6" ht="15.95" customHeight="1" x14ac:dyDescent="0.3">
      <c r="A240" s="201">
        <v>1</v>
      </c>
      <c r="B240" s="202">
        <v>9</v>
      </c>
      <c r="C240" s="202">
        <v>4</v>
      </c>
      <c r="D240" s="203" t="s">
        <v>493</v>
      </c>
      <c r="E240" s="203" t="s">
        <v>436</v>
      </c>
      <c r="F240" s="204"/>
    </row>
    <row r="241" spans="1:6" ht="15.95" customHeight="1" x14ac:dyDescent="0.3">
      <c r="A241" s="201">
        <v>1</v>
      </c>
      <c r="B241" s="202">
        <v>9</v>
      </c>
      <c r="C241" s="202">
        <v>5</v>
      </c>
      <c r="D241" s="203" t="s">
        <v>493</v>
      </c>
      <c r="E241" s="203" t="s">
        <v>437</v>
      </c>
      <c r="F241" s="204"/>
    </row>
    <row r="242" spans="1:6" ht="15.95" customHeight="1" x14ac:dyDescent="0.3">
      <c r="A242" s="201">
        <v>1</v>
      </c>
      <c r="B242" s="202">
        <v>9</v>
      </c>
      <c r="C242" s="202">
        <v>6</v>
      </c>
      <c r="D242" s="203" t="s">
        <v>493</v>
      </c>
      <c r="E242" s="203" t="s">
        <v>438</v>
      </c>
      <c r="F242" s="204"/>
    </row>
    <row r="243" spans="1:6" ht="15.95" customHeight="1" x14ac:dyDescent="0.3">
      <c r="A243" s="201">
        <v>1</v>
      </c>
      <c r="B243" s="202">
        <v>9</v>
      </c>
      <c r="C243" s="202">
        <v>7</v>
      </c>
      <c r="D243" s="203" t="s">
        <v>493</v>
      </c>
      <c r="E243" s="203" t="s">
        <v>439</v>
      </c>
      <c r="F243" s="204"/>
    </row>
    <row r="244" spans="1:6" ht="15.95" customHeight="1" x14ac:dyDescent="0.3">
      <c r="A244" s="201">
        <v>1</v>
      </c>
      <c r="B244" s="202">
        <v>9</v>
      </c>
      <c r="C244" s="202">
        <v>8</v>
      </c>
      <c r="D244" s="203" t="s">
        <v>493</v>
      </c>
      <c r="E244" s="203" t="s">
        <v>440</v>
      </c>
      <c r="F244" s="204"/>
    </row>
    <row r="245" spans="1:6" ht="15.95" customHeight="1" x14ac:dyDescent="0.3">
      <c r="A245" s="201">
        <v>1</v>
      </c>
      <c r="B245" s="202">
        <v>9</v>
      </c>
      <c r="C245" s="202">
        <v>9</v>
      </c>
      <c r="D245" s="203" t="s">
        <v>493</v>
      </c>
      <c r="E245" s="203" t="s">
        <v>441</v>
      </c>
      <c r="F245" s="204"/>
    </row>
    <row r="246" spans="1:6" ht="15.95" customHeight="1" x14ac:dyDescent="0.3">
      <c r="A246" s="201">
        <v>1</v>
      </c>
      <c r="B246" s="202">
        <v>9</v>
      </c>
      <c r="C246" s="202">
        <v>10</v>
      </c>
      <c r="D246" s="203" t="s">
        <v>493</v>
      </c>
      <c r="E246" s="203" t="s">
        <v>442</v>
      </c>
      <c r="F246" s="204"/>
    </row>
    <row r="247" spans="1:6" ht="15.95" customHeight="1" x14ac:dyDescent="0.3">
      <c r="A247" s="201">
        <v>1</v>
      </c>
      <c r="B247" s="202">
        <v>9</v>
      </c>
      <c r="C247" s="202">
        <v>11</v>
      </c>
      <c r="D247" s="203" t="s">
        <v>493</v>
      </c>
      <c r="E247" s="203" t="s">
        <v>443</v>
      </c>
      <c r="F247" s="204"/>
    </row>
    <row r="248" spans="1:6" ht="15.95" customHeight="1" x14ac:dyDescent="0.3">
      <c r="A248" s="201">
        <v>1</v>
      </c>
      <c r="B248" s="202">
        <v>9</v>
      </c>
      <c r="C248" s="202">
        <v>12</v>
      </c>
      <c r="D248" s="203" t="s">
        <v>493</v>
      </c>
      <c r="E248" s="203" t="s">
        <v>444</v>
      </c>
      <c r="F248" s="204"/>
    </row>
    <row r="249" spans="1:6" ht="15.95" customHeight="1" x14ac:dyDescent="0.3">
      <c r="A249" s="201">
        <v>1</v>
      </c>
      <c r="B249" s="202">
        <v>9</v>
      </c>
      <c r="C249" s="202">
        <v>13</v>
      </c>
      <c r="D249" s="203" t="s">
        <v>493</v>
      </c>
      <c r="E249" s="203" t="s">
        <v>445</v>
      </c>
      <c r="F249" s="204"/>
    </row>
    <row r="250" spans="1:6" ht="15.95" customHeight="1" x14ac:dyDescent="0.3">
      <c r="A250" s="201">
        <v>1</v>
      </c>
      <c r="B250" s="202">
        <v>9</v>
      </c>
      <c r="C250" s="202">
        <v>14</v>
      </c>
      <c r="D250" s="203" t="s">
        <v>493</v>
      </c>
      <c r="E250" s="203" t="s">
        <v>446</v>
      </c>
      <c r="F250" s="204"/>
    </row>
    <row r="251" spans="1:6" ht="15.95" customHeight="1" x14ac:dyDescent="0.3">
      <c r="A251" s="201">
        <v>1</v>
      </c>
      <c r="B251" s="202">
        <v>9</v>
      </c>
      <c r="C251" s="202">
        <v>15</v>
      </c>
      <c r="D251" s="203" t="s">
        <v>493</v>
      </c>
      <c r="E251" s="203" t="s">
        <v>447</v>
      </c>
      <c r="F251" s="204"/>
    </row>
    <row r="252" spans="1:6" ht="15.95" customHeight="1" x14ac:dyDescent="0.3">
      <c r="A252" s="201">
        <v>1</v>
      </c>
      <c r="B252" s="202">
        <v>9</v>
      </c>
      <c r="C252" s="202">
        <v>17</v>
      </c>
      <c r="D252" s="203" t="s">
        <v>501</v>
      </c>
      <c r="E252" s="203" t="s">
        <v>448</v>
      </c>
      <c r="F252" s="204"/>
    </row>
    <row r="253" spans="1:6" ht="15.95" customHeight="1" x14ac:dyDescent="0.3">
      <c r="A253" s="201">
        <v>1</v>
      </c>
      <c r="B253" s="202">
        <v>9</v>
      </c>
      <c r="C253" s="202">
        <v>18</v>
      </c>
      <c r="D253" s="203" t="s">
        <v>501</v>
      </c>
      <c r="E253" s="203" t="s">
        <v>449</v>
      </c>
      <c r="F253" s="204"/>
    </row>
    <row r="254" spans="1:6" ht="15.95" customHeight="1" x14ac:dyDescent="0.3">
      <c r="A254" s="201">
        <v>1</v>
      </c>
      <c r="B254" s="202">
        <v>9</v>
      </c>
      <c r="C254" s="202">
        <v>19</v>
      </c>
      <c r="D254" s="203" t="s">
        <v>501</v>
      </c>
      <c r="E254" s="203" t="s">
        <v>450</v>
      </c>
      <c r="F254" s="204"/>
    </row>
    <row r="255" spans="1:6" ht="15.95" customHeight="1" x14ac:dyDescent="0.3">
      <c r="A255" s="201">
        <v>1</v>
      </c>
      <c r="B255" s="202">
        <v>9</v>
      </c>
      <c r="C255" s="202">
        <v>20</v>
      </c>
      <c r="D255" s="203" t="s">
        <v>501</v>
      </c>
      <c r="E255" s="203" t="s">
        <v>451</v>
      </c>
      <c r="F255" s="204"/>
    </row>
    <row r="256" spans="1:6" ht="15.95" customHeight="1" x14ac:dyDescent="0.3">
      <c r="A256" s="201">
        <v>1</v>
      </c>
      <c r="B256" s="202">
        <v>9</v>
      </c>
      <c r="C256" s="202">
        <v>21</v>
      </c>
      <c r="D256" s="203" t="s">
        <v>501</v>
      </c>
      <c r="E256" s="203" t="s">
        <v>452</v>
      </c>
      <c r="F256" s="204"/>
    </row>
    <row r="257" spans="1:6" ht="15.95" customHeight="1" x14ac:dyDescent="0.3">
      <c r="A257" s="201">
        <v>1</v>
      </c>
      <c r="B257" s="202">
        <v>9</v>
      </c>
      <c r="C257" s="202">
        <v>22</v>
      </c>
      <c r="D257" s="203" t="s">
        <v>501</v>
      </c>
      <c r="E257" s="203" t="s">
        <v>453</v>
      </c>
      <c r="F257" s="204"/>
    </row>
    <row r="258" spans="1:6" ht="15.95" customHeight="1" x14ac:dyDescent="0.3">
      <c r="A258" s="201">
        <v>1</v>
      </c>
      <c r="B258" s="202">
        <v>9</v>
      </c>
      <c r="C258" s="202">
        <v>23</v>
      </c>
      <c r="D258" s="203" t="s">
        <v>501</v>
      </c>
      <c r="E258" s="203" t="s">
        <v>454</v>
      </c>
      <c r="F258" s="204"/>
    </row>
    <row r="259" spans="1:6" ht="15.95" customHeight="1" x14ac:dyDescent="0.3">
      <c r="A259" s="201">
        <v>1</v>
      </c>
      <c r="B259" s="202">
        <v>9</v>
      </c>
      <c r="C259" s="202">
        <v>24</v>
      </c>
      <c r="D259" s="203" t="s">
        <v>501</v>
      </c>
      <c r="E259" s="203" t="s">
        <v>455</v>
      </c>
      <c r="F259" s="204"/>
    </row>
    <row r="260" spans="1:6" ht="15.95" customHeight="1" x14ac:dyDescent="0.3">
      <c r="A260" s="201">
        <v>1</v>
      </c>
      <c r="B260" s="202">
        <v>9</v>
      </c>
      <c r="C260" s="202">
        <v>25</v>
      </c>
      <c r="D260" s="203" t="s">
        <v>501</v>
      </c>
      <c r="E260" s="203" t="s">
        <v>456</v>
      </c>
      <c r="F260" s="204"/>
    </row>
    <row r="261" spans="1:6" ht="15.95" customHeight="1" x14ac:dyDescent="0.3">
      <c r="A261" s="201">
        <v>1</v>
      </c>
      <c r="B261" s="202">
        <v>9</v>
      </c>
      <c r="C261" s="202">
        <v>26</v>
      </c>
      <c r="D261" s="203" t="s">
        <v>501</v>
      </c>
      <c r="E261" s="203" t="s">
        <v>457</v>
      </c>
      <c r="F261" s="204"/>
    </row>
    <row r="262" spans="1:6" ht="15.95" customHeight="1" x14ac:dyDescent="0.3">
      <c r="A262" s="201">
        <v>1</v>
      </c>
      <c r="B262" s="202">
        <v>9</v>
      </c>
      <c r="C262" s="202">
        <v>27</v>
      </c>
      <c r="D262" s="203" t="s">
        <v>501</v>
      </c>
      <c r="E262" s="203" t="s">
        <v>458</v>
      </c>
      <c r="F262" s="204"/>
    </row>
    <row r="263" spans="1:6" ht="15.95" customHeight="1" x14ac:dyDescent="0.3">
      <c r="A263" s="201">
        <v>1</v>
      </c>
      <c r="B263" s="202">
        <v>9</v>
      </c>
      <c r="C263" s="202">
        <v>28</v>
      </c>
      <c r="D263" s="203" t="s">
        <v>501</v>
      </c>
      <c r="E263" s="203" t="s">
        <v>459</v>
      </c>
      <c r="F263" s="204"/>
    </row>
    <row r="264" spans="1:6" ht="15.95" customHeight="1" x14ac:dyDescent="0.3">
      <c r="A264" s="201">
        <v>1</v>
      </c>
      <c r="B264" s="202">
        <v>9</v>
      </c>
      <c r="C264" s="202">
        <v>29</v>
      </c>
      <c r="D264" s="203" t="s">
        <v>501</v>
      </c>
      <c r="E264" s="203" t="s">
        <v>256</v>
      </c>
      <c r="F264" s="204"/>
    </row>
    <row r="265" spans="1:6" ht="15.95" customHeight="1" x14ac:dyDescent="0.3">
      <c r="A265" s="201">
        <v>1</v>
      </c>
      <c r="B265" s="202">
        <v>9</v>
      </c>
      <c r="C265" s="202">
        <v>30</v>
      </c>
      <c r="D265" s="203" t="s">
        <v>501</v>
      </c>
      <c r="E265" s="203" t="s">
        <v>460</v>
      </c>
      <c r="F265" s="204"/>
    </row>
    <row r="266" spans="1:6" ht="15.95" customHeight="1" x14ac:dyDescent="0.3">
      <c r="A266" s="201">
        <v>1</v>
      </c>
      <c r="B266" s="202">
        <v>9</v>
      </c>
      <c r="C266" s="202">
        <v>31</v>
      </c>
      <c r="D266" s="203" t="s">
        <v>493</v>
      </c>
      <c r="E266" s="203" t="s">
        <v>461</v>
      </c>
      <c r="F266" s="204"/>
    </row>
    <row r="267" spans="1:6" ht="15.95" customHeight="1" x14ac:dyDescent="0.3">
      <c r="A267" s="201">
        <v>1</v>
      </c>
      <c r="B267" s="202">
        <v>10</v>
      </c>
      <c r="C267" s="202">
        <v>1</v>
      </c>
      <c r="D267" s="203" t="s">
        <v>493</v>
      </c>
      <c r="E267" s="203" t="s">
        <v>462</v>
      </c>
      <c r="F267" s="204"/>
    </row>
    <row r="268" spans="1:6" ht="15.95" customHeight="1" x14ac:dyDescent="0.3">
      <c r="A268" s="201">
        <v>1</v>
      </c>
      <c r="B268" s="202">
        <v>10</v>
      </c>
      <c r="C268" s="202">
        <v>2</v>
      </c>
      <c r="D268" s="203" t="s">
        <v>493</v>
      </c>
      <c r="E268" s="203" t="s">
        <v>463</v>
      </c>
      <c r="F268" s="204"/>
    </row>
    <row r="269" spans="1:6" ht="15.95" customHeight="1" x14ac:dyDescent="0.3">
      <c r="A269" s="201">
        <v>1</v>
      </c>
      <c r="B269" s="202">
        <v>10</v>
      </c>
      <c r="C269" s="202">
        <v>3</v>
      </c>
      <c r="D269" s="203" t="s">
        <v>493</v>
      </c>
      <c r="E269" s="203" t="s">
        <v>464</v>
      </c>
      <c r="F269" s="204"/>
    </row>
    <row r="270" spans="1:6" ht="15.95" customHeight="1" x14ac:dyDescent="0.3">
      <c r="A270" s="201">
        <v>1</v>
      </c>
      <c r="B270" s="202">
        <v>10</v>
      </c>
      <c r="C270" s="202">
        <v>4</v>
      </c>
      <c r="D270" s="203" t="s">
        <v>493</v>
      </c>
      <c r="E270" s="203" t="s">
        <v>465</v>
      </c>
      <c r="F270" s="204"/>
    </row>
    <row r="271" spans="1:6" ht="15.95" customHeight="1" x14ac:dyDescent="0.3">
      <c r="A271" s="201">
        <v>1</v>
      </c>
      <c r="B271" s="202">
        <v>10</v>
      </c>
      <c r="C271" s="202">
        <v>5</v>
      </c>
      <c r="D271" s="203" t="s">
        <v>493</v>
      </c>
      <c r="E271" s="203" t="s">
        <v>466</v>
      </c>
      <c r="F271" s="204"/>
    </row>
    <row r="272" spans="1:6" ht="15.95" customHeight="1" x14ac:dyDescent="0.3">
      <c r="A272" s="201">
        <v>1</v>
      </c>
      <c r="B272" s="202">
        <v>10</v>
      </c>
      <c r="C272" s="202">
        <v>6</v>
      </c>
      <c r="D272" s="203" t="s">
        <v>493</v>
      </c>
      <c r="E272" s="203" t="s">
        <v>467</v>
      </c>
      <c r="F272" s="204"/>
    </row>
    <row r="273" spans="1:6" ht="15.95" customHeight="1" x14ac:dyDescent="0.3">
      <c r="A273" s="201">
        <v>1</v>
      </c>
      <c r="B273" s="202">
        <v>10</v>
      </c>
      <c r="C273" s="202">
        <v>7</v>
      </c>
      <c r="D273" s="203" t="s">
        <v>493</v>
      </c>
      <c r="E273" s="203" t="s">
        <v>468</v>
      </c>
      <c r="F273" s="204"/>
    </row>
    <row r="274" spans="1:6" ht="15.95" customHeight="1" x14ac:dyDescent="0.3">
      <c r="A274" s="201">
        <v>1</v>
      </c>
      <c r="B274" s="202">
        <v>10</v>
      </c>
      <c r="C274" s="202">
        <v>8</v>
      </c>
      <c r="D274" s="203" t="s">
        <v>493</v>
      </c>
      <c r="E274" s="203" t="s">
        <v>327</v>
      </c>
      <c r="F274" s="204"/>
    </row>
    <row r="275" spans="1:6" ht="15.95" customHeight="1" x14ac:dyDescent="0.3">
      <c r="A275" s="201">
        <v>1</v>
      </c>
      <c r="B275" s="202">
        <v>10</v>
      </c>
      <c r="C275" s="202">
        <v>9</v>
      </c>
      <c r="D275" s="203" t="s">
        <v>493</v>
      </c>
      <c r="E275" s="203" t="s">
        <v>469</v>
      </c>
      <c r="F275" s="204"/>
    </row>
    <row r="276" spans="1:6" ht="15.95" customHeight="1" x14ac:dyDescent="0.3">
      <c r="A276" s="201">
        <v>1</v>
      </c>
      <c r="B276" s="202">
        <v>10</v>
      </c>
      <c r="C276" s="202">
        <v>10</v>
      </c>
      <c r="D276" s="203" t="s">
        <v>493</v>
      </c>
      <c r="E276" s="203" t="s">
        <v>470</v>
      </c>
      <c r="F276" s="204"/>
    </row>
    <row r="277" spans="1:6" ht="15.95" customHeight="1" x14ac:dyDescent="0.3">
      <c r="A277" s="201">
        <v>1</v>
      </c>
      <c r="B277" s="202">
        <v>10</v>
      </c>
      <c r="C277" s="202">
        <v>11</v>
      </c>
      <c r="D277" s="203" t="s">
        <v>493</v>
      </c>
      <c r="E277" s="203" t="s">
        <v>471</v>
      </c>
      <c r="F277" s="204"/>
    </row>
    <row r="278" spans="1:6" ht="15.95" customHeight="1" x14ac:dyDescent="0.3">
      <c r="A278" s="201">
        <v>1</v>
      </c>
      <c r="B278" s="202">
        <v>10</v>
      </c>
      <c r="C278" s="202">
        <v>12</v>
      </c>
      <c r="D278" s="203" t="s">
        <v>493</v>
      </c>
      <c r="E278" s="203" t="s">
        <v>472</v>
      </c>
      <c r="F278" s="204"/>
    </row>
    <row r="279" spans="1:6" ht="15.95" customHeight="1" x14ac:dyDescent="0.3">
      <c r="A279" s="201">
        <v>1</v>
      </c>
      <c r="B279" s="202">
        <v>10</v>
      </c>
      <c r="C279" s="202">
        <v>14</v>
      </c>
      <c r="D279" s="203" t="s">
        <v>493</v>
      </c>
      <c r="E279" s="203" t="s">
        <v>473</v>
      </c>
      <c r="F279" s="204"/>
    </row>
    <row r="280" spans="1:6" ht="15.95" customHeight="1" x14ac:dyDescent="0.3">
      <c r="A280" s="201">
        <v>1</v>
      </c>
      <c r="B280" s="202">
        <v>10</v>
      </c>
      <c r="C280" s="202">
        <v>15</v>
      </c>
      <c r="D280" s="203" t="s">
        <v>501</v>
      </c>
      <c r="E280" s="203" t="s">
        <v>474</v>
      </c>
      <c r="F280" s="204"/>
    </row>
    <row r="281" spans="1:6" ht="15.95" customHeight="1" x14ac:dyDescent="0.3">
      <c r="A281" s="201">
        <v>1</v>
      </c>
      <c r="B281" s="202">
        <v>10</v>
      </c>
      <c r="C281" s="202">
        <v>16</v>
      </c>
      <c r="D281" s="203" t="s">
        <v>501</v>
      </c>
      <c r="E281" s="203" t="s">
        <v>475</v>
      </c>
      <c r="F281" s="204"/>
    </row>
    <row r="282" spans="1:6" ht="15.95" customHeight="1" x14ac:dyDescent="0.3">
      <c r="A282" s="201">
        <v>1</v>
      </c>
      <c r="B282" s="202">
        <v>10</v>
      </c>
      <c r="C282" s="202">
        <v>17</v>
      </c>
      <c r="D282" s="203" t="s">
        <v>501</v>
      </c>
      <c r="E282" s="203" t="s">
        <v>476</v>
      </c>
      <c r="F282" s="204"/>
    </row>
    <row r="283" spans="1:6" ht="15.95" customHeight="1" x14ac:dyDescent="0.3">
      <c r="A283" s="201">
        <v>1</v>
      </c>
      <c r="B283" s="202">
        <v>10</v>
      </c>
      <c r="C283" s="202">
        <v>19</v>
      </c>
      <c r="D283" s="203" t="s">
        <v>501</v>
      </c>
      <c r="E283" s="203" t="s">
        <v>477</v>
      </c>
      <c r="F283" s="204"/>
    </row>
    <row r="284" spans="1:6" ht="15.95" customHeight="1" x14ac:dyDescent="0.3">
      <c r="A284" s="201">
        <v>1</v>
      </c>
      <c r="B284" s="202">
        <v>10</v>
      </c>
      <c r="C284" s="202">
        <v>20</v>
      </c>
      <c r="D284" s="203" t="s">
        <v>501</v>
      </c>
      <c r="E284" s="203" t="s">
        <v>478</v>
      </c>
      <c r="F284" s="204"/>
    </row>
    <row r="285" spans="1:6" ht="15.95" customHeight="1" x14ac:dyDescent="0.3">
      <c r="A285" s="201">
        <v>1</v>
      </c>
      <c r="B285" s="202">
        <v>10</v>
      </c>
      <c r="C285" s="202">
        <v>21</v>
      </c>
      <c r="D285" s="203" t="s">
        <v>501</v>
      </c>
      <c r="E285" s="203" t="s">
        <v>479</v>
      </c>
      <c r="F285" s="204"/>
    </row>
    <row r="286" spans="1:6" ht="15.95" customHeight="1" x14ac:dyDescent="0.3">
      <c r="A286" s="201">
        <v>1</v>
      </c>
      <c r="B286" s="202">
        <v>10</v>
      </c>
      <c r="C286" s="202">
        <v>22</v>
      </c>
      <c r="D286" s="203" t="s">
        <v>501</v>
      </c>
      <c r="E286" s="203" t="s">
        <v>480</v>
      </c>
      <c r="F286" s="204"/>
    </row>
    <row r="287" spans="1:6" ht="15.95" customHeight="1" x14ac:dyDescent="0.3">
      <c r="A287" s="201">
        <v>1</v>
      </c>
      <c r="B287" s="202">
        <v>10</v>
      </c>
      <c r="C287" s="202">
        <v>23</v>
      </c>
      <c r="D287" s="203" t="s">
        <v>501</v>
      </c>
      <c r="E287" s="203" t="s">
        <v>481</v>
      </c>
      <c r="F287" s="204"/>
    </row>
    <row r="288" spans="1:6" ht="15.95" customHeight="1" x14ac:dyDescent="0.3">
      <c r="A288" s="201">
        <v>1</v>
      </c>
      <c r="B288" s="202">
        <v>10</v>
      </c>
      <c r="C288" s="202">
        <v>24</v>
      </c>
      <c r="D288" s="203" t="s">
        <v>501</v>
      </c>
      <c r="E288" s="203" t="s">
        <v>482</v>
      </c>
      <c r="F288" s="204"/>
    </row>
    <row r="289" spans="1:6" ht="15.95" customHeight="1" x14ac:dyDescent="0.3">
      <c r="A289" s="201">
        <v>1</v>
      </c>
      <c r="B289" s="202">
        <v>10</v>
      </c>
      <c r="C289" s="202">
        <v>25</v>
      </c>
      <c r="D289" s="203" t="s">
        <v>501</v>
      </c>
      <c r="E289" s="203" t="s">
        <v>483</v>
      </c>
      <c r="F289" s="204"/>
    </row>
    <row r="290" spans="1:6" ht="15.95" customHeight="1" x14ac:dyDescent="0.3">
      <c r="A290" s="201">
        <v>1</v>
      </c>
      <c r="B290" s="202">
        <v>10</v>
      </c>
      <c r="C290" s="202">
        <v>26</v>
      </c>
      <c r="D290" s="203" t="s">
        <v>501</v>
      </c>
      <c r="E290" s="203" t="s">
        <v>484</v>
      </c>
      <c r="F290" s="204"/>
    </row>
    <row r="291" spans="1:6" ht="15.95" customHeight="1" x14ac:dyDescent="0.3">
      <c r="A291" s="201">
        <v>1</v>
      </c>
      <c r="B291" s="202">
        <v>10</v>
      </c>
      <c r="C291" s="202">
        <v>27</v>
      </c>
      <c r="D291" s="203" t="s">
        <v>501</v>
      </c>
      <c r="E291" s="203" t="s">
        <v>485</v>
      </c>
      <c r="F291" s="204"/>
    </row>
    <row r="292" spans="1:6" ht="15.95" customHeight="1" x14ac:dyDescent="0.3">
      <c r="A292" s="201">
        <v>1</v>
      </c>
      <c r="B292" s="202">
        <v>10</v>
      </c>
      <c r="C292" s="202">
        <v>28</v>
      </c>
      <c r="D292" s="203" t="s">
        <v>501</v>
      </c>
      <c r="E292" s="203" t="s">
        <v>486</v>
      </c>
      <c r="F292" s="204"/>
    </row>
    <row r="293" spans="1:6" ht="15.95" customHeight="1" x14ac:dyDescent="0.3">
      <c r="A293" s="201">
        <v>1</v>
      </c>
      <c r="B293" s="202">
        <v>10</v>
      </c>
      <c r="C293" s="202">
        <v>29</v>
      </c>
      <c r="D293" s="203" t="s">
        <v>501</v>
      </c>
      <c r="E293" s="203" t="s">
        <v>487</v>
      </c>
      <c r="F293" s="204"/>
    </row>
    <row r="294" spans="1:6" ht="15.95" customHeight="1" x14ac:dyDescent="0.3">
      <c r="A294" s="201">
        <v>1</v>
      </c>
      <c r="B294" s="202">
        <v>10</v>
      </c>
      <c r="C294" s="202">
        <v>30</v>
      </c>
      <c r="D294" s="203" t="s">
        <v>501</v>
      </c>
      <c r="E294" s="203" t="s">
        <v>488</v>
      </c>
      <c r="F294" s="204"/>
    </row>
  </sheetData>
  <phoneticPr fontId="3" type="noConversion"/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설명</vt:lpstr>
      <vt:lpstr>사용방법</vt:lpstr>
      <vt:lpstr>이름 일치</vt:lpstr>
      <vt:lpstr>통합-정리전</vt:lpstr>
      <vt:lpstr>통합-정리전 (2)</vt:lpstr>
      <vt:lpstr>임시반번호순</vt:lpstr>
      <vt:lpstr>장대중_1_반편성 Compact.xlsx</vt:lpstr>
      <vt:lpstr>천보중_1_반편성A(능력)_명렬표.xlsx</vt:lpstr>
      <vt:lpstr>임시반번호순!Print_Titles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박지연</dc:creator>
  <cp:lastModifiedBy>부유민</cp:lastModifiedBy>
  <cp:lastPrinted>2019-05-15T06:43:45Z</cp:lastPrinted>
  <dcterms:created xsi:type="dcterms:W3CDTF">2018-12-24T03:38:56Z</dcterms:created>
  <dcterms:modified xsi:type="dcterms:W3CDTF">2025-11-14T07:23:41Z</dcterms:modified>
</cp:coreProperties>
</file>